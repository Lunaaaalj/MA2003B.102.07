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rmandina Valdez\Desktop\ESCRITORIO 2\AGENCIA\INVENTARIO\"/>
    </mc:Choice>
  </mc:AlternateContent>
  <bookViews>
    <workbookView xWindow="0" yWindow="0" windowWidth="28800" windowHeight="11610" activeTab="3"/>
  </bookViews>
  <sheets>
    <sheet name="NL 2018" sheetId="1" r:id="rId1"/>
    <sheet name="ZMM 2018" sheetId="2" r:id="rId2"/>
    <sheet name="Sheet1" sheetId="4" r:id="rId3"/>
    <sheet name="Hoja1" sheetId="3" r:id="rId4"/>
  </sheets>
  <definedNames>
    <definedName name="_xlnm._FilterDatabase" localSheetId="0" hidden="1">'NL 2018'!$A$1:$Q$2817</definedName>
    <definedName name="_xlnm._FilterDatabase" localSheetId="1" hidden="1">'ZMM 2018'!$A$1:$Q$1110</definedName>
  </definedNames>
  <calcPr calcId="162913"/>
  <pivotCaches>
    <pivotCache cacheId="12" r:id="rId5"/>
    <pivotCache cacheId="13" r:id="rId6"/>
    <pivotCache cacheId="1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60" i="2" l="1"/>
  <c r="AW60" i="2" s="1"/>
  <c r="AX47" i="2"/>
  <c r="AW47" i="2" s="1"/>
  <c r="AX48" i="2"/>
  <c r="AW48" i="2" s="1"/>
  <c r="AX49" i="2"/>
  <c r="AW49" i="2" s="1"/>
  <c r="AX50" i="2"/>
  <c r="AW50" i="2" s="1"/>
  <c r="AX46" i="2"/>
  <c r="AW46" i="2" s="1"/>
  <c r="U11" i="2"/>
  <c r="U10" i="2"/>
  <c r="U9" i="2"/>
  <c r="U8" i="2"/>
  <c r="AX45" i="2" l="1"/>
  <c r="AO7" i="2"/>
  <c r="AO6" i="2"/>
  <c r="AG41" i="2"/>
  <c r="AX61" i="2" l="1"/>
  <c r="AX62" i="2"/>
  <c r="AW62" i="2" s="1"/>
  <c r="AX63" i="2"/>
  <c r="AW63" i="2" s="1"/>
  <c r="AX64" i="2"/>
  <c r="AW64" i="2" s="1"/>
  <c r="AX34" i="2"/>
  <c r="AW34" i="2" s="1"/>
  <c r="AX35" i="2"/>
  <c r="AW35" i="2" s="1"/>
  <c r="AX36" i="2"/>
  <c r="AW36" i="2" s="1"/>
  <c r="AX37" i="2"/>
  <c r="AW37" i="2" s="1"/>
  <c r="AX33" i="2"/>
  <c r="AP7" i="2"/>
  <c r="AQ7" i="2"/>
  <c r="AR7" i="2"/>
  <c r="AS7" i="2"/>
  <c r="AT7" i="2"/>
  <c r="AU7" i="2"/>
  <c r="AP6" i="2"/>
  <c r="AQ6" i="2"/>
  <c r="AR6" i="2"/>
  <c r="AS6" i="2"/>
  <c r="AT6" i="2"/>
  <c r="AU6" i="2"/>
  <c r="V9" i="2"/>
  <c r="W9" i="2"/>
  <c r="X9" i="2"/>
  <c r="Y9" i="2"/>
  <c r="Z9" i="2"/>
  <c r="AA9" i="2"/>
  <c r="AA8" i="2"/>
  <c r="V8" i="2"/>
  <c r="W8" i="2"/>
  <c r="X8" i="2"/>
  <c r="Y8" i="2"/>
  <c r="Z8" i="2"/>
  <c r="AW61" i="2" l="1"/>
  <c r="AX59" i="2"/>
  <c r="AX32" i="2"/>
  <c r="AW33" i="2"/>
  <c r="AK72" i="2"/>
  <c r="AK73" i="2"/>
  <c r="AK74" i="2"/>
  <c r="AK75" i="2"/>
  <c r="AK76" i="2"/>
  <c r="AK77" i="2"/>
  <c r="AK78" i="2"/>
  <c r="AK79" i="2"/>
  <c r="AK71" i="2"/>
  <c r="AK64" i="2"/>
  <c r="AK57" i="2"/>
  <c r="AK58" i="2"/>
  <c r="AK59" i="2"/>
  <c r="AK60" i="2"/>
  <c r="AK61" i="2"/>
  <c r="AK62" i="2"/>
  <c r="AK63" i="2"/>
  <c r="AK56" i="2"/>
  <c r="AK41" i="2"/>
  <c r="AK42" i="2"/>
  <c r="AK43" i="2"/>
  <c r="AK44" i="2"/>
  <c r="AK45" i="2"/>
  <c r="AK46" i="2"/>
  <c r="AK47" i="2"/>
  <c r="AK48" i="2"/>
  <c r="AK40" i="2"/>
  <c r="AG72" i="2"/>
  <c r="AG73" i="2"/>
  <c r="AG74" i="2"/>
  <c r="AG75" i="2"/>
  <c r="AG76" i="2"/>
  <c r="AG77" i="2"/>
  <c r="AG78" i="2"/>
  <c r="AG79" i="2"/>
  <c r="AG71" i="2"/>
  <c r="AG57" i="2"/>
  <c r="AG58" i="2"/>
  <c r="AG59" i="2"/>
  <c r="AG60" i="2"/>
  <c r="AG61" i="2"/>
  <c r="AG62" i="2"/>
  <c r="AG63" i="2"/>
  <c r="AG64" i="2"/>
  <c r="AG56" i="2"/>
  <c r="AG42" i="2"/>
  <c r="AG43" i="2"/>
  <c r="AG44" i="2"/>
  <c r="AG45" i="2"/>
  <c r="AG46" i="2"/>
  <c r="AG47" i="2"/>
  <c r="AG48" i="2"/>
  <c r="AG40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34" i="2"/>
  <c r="V10" i="2"/>
  <c r="W10" i="2"/>
  <c r="X10" i="2"/>
  <c r="Y10" i="2"/>
  <c r="Z10" i="2"/>
  <c r="AA10" i="2"/>
  <c r="V11" i="2"/>
  <c r="W11" i="2"/>
  <c r="X11" i="2"/>
  <c r="Y11" i="2"/>
  <c r="Z11" i="2"/>
  <c r="AA11" i="2"/>
  <c r="AF46" i="2" l="1"/>
  <c r="AF47" i="2"/>
  <c r="AJ44" i="2"/>
  <c r="AJ47" i="2"/>
  <c r="AJ46" i="2"/>
  <c r="AF57" i="2"/>
  <c r="AF56" i="2"/>
  <c r="AF72" i="2"/>
  <c r="AF74" i="2"/>
  <c r="AF73" i="2"/>
  <c r="AJ45" i="2"/>
  <c r="AF63" i="2"/>
  <c r="AJ40" i="2"/>
  <c r="AF62" i="2"/>
  <c r="AJ48" i="2"/>
  <c r="AJ64" i="2"/>
  <c r="AF59" i="2"/>
  <c r="AF48" i="2"/>
  <c r="AJ78" i="2"/>
  <c r="AJ77" i="2"/>
  <c r="AF45" i="2"/>
  <c r="AJ56" i="2"/>
  <c r="AF42" i="2"/>
  <c r="AF75" i="2"/>
  <c r="AJ60" i="2"/>
  <c r="AF44" i="2"/>
  <c r="AJ59" i="2"/>
  <c r="AF43" i="2"/>
  <c r="AF71" i="2"/>
  <c r="AJ58" i="2"/>
  <c r="AF79" i="2"/>
  <c r="AJ57" i="2"/>
  <c r="AF41" i="2"/>
  <c r="AF78" i="2"/>
  <c r="AF77" i="2"/>
  <c r="AJ43" i="2"/>
  <c r="AF76" i="2"/>
  <c r="AJ42" i="2"/>
  <c r="AG65" i="2"/>
  <c r="AG66" i="2" s="1"/>
  <c r="AG67" i="2" s="1"/>
  <c r="AJ41" i="2"/>
  <c r="AJ71" i="2"/>
  <c r="AF64" i="2"/>
  <c r="AJ79" i="2"/>
  <c r="AF61" i="2"/>
  <c r="AJ76" i="2"/>
  <c r="AF40" i="2"/>
  <c r="AF60" i="2"/>
  <c r="AJ75" i="2"/>
  <c r="AJ63" i="2"/>
  <c r="AJ74" i="2"/>
  <c r="AF58" i="2"/>
  <c r="AJ62" i="2"/>
  <c r="AJ73" i="2"/>
  <c r="AJ61" i="2"/>
  <c r="AJ72" i="2"/>
  <c r="AK65" i="2"/>
  <c r="AK66" i="2" s="1"/>
  <c r="AK67" i="2" s="1"/>
  <c r="AK80" i="2"/>
  <c r="AK81" i="2" s="1"/>
  <c r="AK82" i="2" s="1"/>
  <c r="AG49" i="2"/>
  <c r="AG50" i="2" s="1"/>
  <c r="AG51" i="2" s="1"/>
  <c r="AG80" i="2"/>
  <c r="AG81" i="2" s="1"/>
  <c r="AG82" i="2" s="1"/>
  <c r="AK49" i="2"/>
  <c r="AK50" i="2" s="1"/>
  <c r="AK51" i="2" s="1"/>
</calcChain>
</file>

<file path=xl/sharedStrings.xml><?xml version="1.0" encoding="utf-8"?>
<sst xmlns="http://schemas.openxmlformats.org/spreadsheetml/2006/main" count="36211" uniqueCount="278">
  <si>
    <t>F_emi</t>
  </si>
  <si>
    <t>Nom_Edo</t>
  </si>
  <si>
    <t>CVE_Edo</t>
  </si>
  <si>
    <t>CV_ZM</t>
  </si>
  <si>
    <t>Nom_ZM</t>
  </si>
  <si>
    <t>CVE_Mun</t>
  </si>
  <si>
    <t>Nom_Mun</t>
  </si>
  <si>
    <t>CAT</t>
  </si>
  <si>
    <t>SUB_CAT</t>
  </si>
  <si>
    <t>E_PM10</t>
  </si>
  <si>
    <t>E_PM2.5</t>
  </si>
  <si>
    <t>E_SO2</t>
  </si>
  <si>
    <t>E_CO</t>
  </si>
  <si>
    <t>E_NOX</t>
  </si>
  <si>
    <t>E_COV</t>
  </si>
  <si>
    <t>E_NH3</t>
  </si>
  <si>
    <t>Jurisdicción</t>
  </si>
  <si>
    <t>Fuentes de Área</t>
  </si>
  <si>
    <t>Nuevo León</t>
  </si>
  <si>
    <t>19</t>
  </si>
  <si>
    <t>19.01</t>
  </si>
  <si>
    <t>Monterrey</t>
  </si>
  <si>
    <t>19001</t>
  </si>
  <si>
    <t>Abasolo</t>
  </si>
  <si>
    <t>Combustión</t>
  </si>
  <si>
    <t>Combustión Agrícola</t>
  </si>
  <si>
    <t>Estatal</t>
  </si>
  <si>
    <t>19002</t>
  </si>
  <si>
    <t>Agualeguas</t>
  </si>
  <si>
    <t>19003</t>
  </si>
  <si>
    <t>Los Aldamas</t>
  </si>
  <si>
    <t>19004</t>
  </si>
  <si>
    <t>Allende</t>
  </si>
  <si>
    <t>19005</t>
  </si>
  <si>
    <t>Anáhuac</t>
  </si>
  <si>
    <t>19006</t>
  </si>
  <si>
    <t>Apodaca</t>
  </si>
  <si>
    <t>19007</t>
  </si>
  <si>
    <t>Aramberri</t>
  </si>
  <si>
    <t>19008</t>
  </si>
  <si>
    <t>Bustamante</t>
  </si>
  <si>
    <t>19009</t>
  </si>
  <si>
    <t>Cadereyta Jiménez</t>
  </si>
  <si>
    <t>19010</t>
  </si>
  <si>
    <t>El Carmen</t>
  </si>
  <si>
    <t>19011</t>
  </si>
  <si>
    <t>Cerralvo</t>
  </si>
  <si>
    <t>19012</t>
  </si>
  <si>
    <t>Ciénega de Flores</t>
  </si>
  <si>
    <t>19013</t>
  </si>
  <si>
    <t>China</t>
  </si>
  <si>
    <t>19014</t>
  </si>
  <si>
    <t>Doctor Arroyo</t>
  </si>
  <si>
    <t>19015</t>
  </si>
  <si>
    <t>Doctor Coss</t>
  </si>
  <si>
    <t>19016</t>
  </si>
  <si>
    <t>Doctor González</t>
  </si>
  <si>
    <t>19017</t>
  </si>
  <si>
    <t>Galeana</t>
  </si>
  <si>
    <t>19018</t>
  </si>
  <si>
    <t>García</t>
  </si>
  <si>
    <t>19019</t>
  </si>
  <si>
    <t>San Pedro Garza García</t>
  </si>
  <si>
    <t>19020</t>
  </si>
  <si>
    <t>General Bravo</t>
  </si>
  <si>
    <t>19021</t>
  </si>
  <si>
    <t>General Escobedo</t>
  </si>
  <si>
    <t>19022</t>
  </si>
  <si>
    <t>General Terán</t>
  </si>
  <si>
    <t>19023</t>
  </si>
  <si>
    <t>General Treviño</t>
  </si>
  <si>
    <t>19024</t>
  </si>
  <si>
    <t>General Zaragoza</t>
  </si>
  <si>
    <t>19025</t>
  </si>
  <si>
    <t>General Zuazua</t>
  </si>
  <si>
    <t>19026</t>
  </si>
  <si>
    <t>Guadalupe</t>
  </si>
  <si>
    <t>19027</t>
  </si>
  <si>
    <t>Los Herreras</t>
  </si>
  <si>
    <t>19028</t>
  </si>
  <si>
    <t>Higueras</t>
  </si>
  <si>
    <t>19029</t>
  </si>
  <si>
    <t>Hualahuises</t>
  </si>
  <si>
    <t>19030</t>
  </si>
  <si>
    <t>Iturbide</t>
  </si>
  <si>
    <t>19031</t>
  </si>
  <si>
    <t>Juárez</t>
  </si>
  <si>
    <t>19032</t>
  </si>
  <si>
    <t>Lampazos de Naranjo</t>
  </si>
  <si>
    <t>19033</t>
  </si>
  <si>
    <t>Linares</t>
  </si>
  <si>
    <t>19034</t>
  </si>
  <si>
    <t>Marín</t>
  </si>
  <si>
    <t>19035</t>
  </si>
  <si>
    <t>Melchor Ocampo</t>
  </si>
  <si>
    <t>19036</t>
  </si>
  <si>
    <t>Mier y Noriega</t>
  </si>
  <si>
    <t>19037</t>
  </si>
  <si>
    <t>Mina</t>
  </si>
  <si>
    <t>19038</t>
  </si>
  <si>
    <t>Montemorelos</t>
  </si>
  <si>
    <t>19039</t>
  </si>
  <si>
    <t>19040</t>
  </si>
  <si>
    <t>Parás</t>
  </si>
  <si>
    <t>19041</t>
  </si>
  <si>
    <t>Pesquería</t>
  </si>
  <si>
    <t>19042</t>
  </si>
  <si>
    <t>Los Ramones</t>
  </si>
  <si>
    <t>19043</t>
  </si>
  <si>
    <t>Rayones</t>
  </si>
  <si>
    <t>19044</t>
  </si>
  <si>
    <t>Sabinas Hidalgo</t>
  </si>
  <si>
    <t>19045</t>
  </si>
  <si>
    <t>Salinas Victoria</t>
  </si>
  <si>
    <t>19046</t>
  </si>
  <si>
    <t>San Nicolás de los Garza</t>
  </si>
  <si>
    <t>19047</t>
  </si>
  <si>
    <t>Hidalgo</t>
  </si>
  <si>
    <t>19048</t>
  </si>
  <si>
    <t>Santa Catarina</t>
  </si>
  <si>
    <t>19049</t>
  </si>
  <si>
    <t>Santiago</t>
  </si>
  <si>
    <t>19050</t>
  </si>
  <si>
    <t>Vallecillo</t>
  </si>
  <si>
    <t>19051</t>
  </si>
  <si>
    <t>Villaldama</t>
  </si>
  <si>
    <t>Combustión Doméstica</t>
  </si>
  <si>
    <t>Uso de solventes</t>
  </si>
  <si>
    <t>Asfaltado</t>
  </si>
  <si>
    <t>Lavado en Seco</t>
  </si>
  <si>
    <t>Limpieza de superficies industriales</t>
  </si>
  <si>
    <t>Pintado Automotriz</t>
  </si>
  <si>
    <t>Recubrimiento de superficies arquitectónicas</t>
  </si>
  <si>
    <t>Recubrimiento de superficies en la Industria</t>
  </si>
  <si>
    <t>Uso doméstico de solventes</t>
  </si>
  <si>
    <t>Almacenamiento y transporte de derivados del petróleo</t>
  </si>
  <si>
    <t>Manejo y Distribución de gas L.P.</t>
  </si>
  <si>
    <t>Federal</t>
  </si>
  <si>
    <t>Manejo y distribución de Combustibles</t>
  </si>
  <si>
    <t>Fuentes industriales ligeras y comerciales</t>
  </si>
  <si>
    <t>Actividades de la construcción</t>
  </si>
  <si>
    <t>Asados al carbón</t>
  </si>
  <si>
    <t>Panificación</t>
  </si>
  <si>
    <t>Agropecuarias</t>
  </si>
  <si>
    <t>Aplicación de fertilizantes</t>
  </si>
  <si>
    <t>Aplicación de plaguicidas</t>
  </si>
  <si>
    <t>Emisiones Ganaderas</t>
  </si>
  <si>
    <t>Corrales de engorda</t>
  </si>
  <si>
    <t>Labranza</t>
  </si>
  <si>
    <t>Residuos</t>
  </si>
  <si>
    <t>Aguas Residuales</t>
  </si>
  <si>
    <t>Quema de Residuos</t>
  </si>
  <si>
    <t>Rellenos Sanitarios</t>
  </si>
  <si>
    <t>Fuentes miscelaneas</t>
  </si>
  <si>
    <t>Caminos pavimentados y sin pavimentar</t>
  </si>
  <si>
    <t>Emisiones domésticas de amoniaco</t>
  </si>
  <si>
    <t>Incendios Forestales</t>
  </si>
  <si>
    <t>Esterilizacción de material hospitalario</t>
  </si>
  <si>
    <t>Incendios en construcciones</t>
  </si>
  <si>
    <t>Ladrilleras</t>
  </si>
  <si>
    <t>Fuentes Naturales</t>
  </si>
  <si>
    <t>Emisiones Biogénicas</t>
  </si>
  <si>
    <t>Fuentes Móviles</t>
  </si>
  <si>
    <t>no carreteras</t>
  </si>
  <si>
    <t>Embarcaciones marinas</t>
  </si>
  <si>
    <t>Equipos en Aeropuertos</t>
  </si>
  <si>
    <t>cruces fronterizos</t>
  </si>
  <si>
    <t>Embarcaciones Marinas</t>
  </si>
  <si>
    <t>Locomotoras de patio</t>
  </si>
  <si>
    <t>Locomotoras de recorrido</t>
  </si>
  <si>
    <t>terminales de autobuses</t>
  </si>
  <si>
    <t>Maquinaria Agrícola y de Construcción</t>
  </si>
  <si>
    <t>carreteras</t>
  </si>
  <si>
    <t>Motocicletas</t>
  </si>
  <si>
    <t>Autos Particulares</t>
  </si>
  <si>
    <t>Taxi</t>
  </si>
  <si>
    <t>Camionetas Particulares</t>
  </si>
  <si>
    <t>Combi</t>
  </si>
  <si>
    <t>Autobús</t>
  </si>
  <si>
    <t>Veh&gt;3.8Ton</t>
  </si>
  <si>
    <t>Tractocamiones</t>
  </si>
  <si>
    <t>Pickup y Veh&lt;3.8Ton</t>
  </si>
  <si>
    <t>Fuentes Fijas</t>
  </si>
  <si>
    <t>001</t>
  </si>
  <si>
    <t>Extracción/Beneficio minerales no metálicos</t>
  </si>
  <si>
    <t>Plástico y hule</t>
  </si>
  <si>
    <t>002</t>
  </si>
  <si>
    <t>Accesorios, aparatos eléctricos y equipos de generación eléctrica</t>
  </si>
  <si>
    <t>005</t>
  </si>
  <si>
    <t>006</t>
  </si>
  <si>
    <t>Alimentos y Bebidas</t>
  </si>
  <si>
    <t>Almacenamiento de combustibles</t>
  </si>
  <si>
    <t>Impresión</t>
  </si>
  <si>
    <t>Industria de la madera</t>
  </si>
  <si>
    <t>Industria textil</t>
  </si>
  <si>
    <t>Manejo de desechos y remediación</t>
  </si>
  <si>
    <t>Metálico</t>
  </si>
  <si>
    <t>Mezclas químicas</t>
  </si>
  <si>
    <t>Minerales no metálicos</t>
  </si>
  <si>
    <t>Otras Industrias</t>
  </si>
  <si>
    <t xml:space="preserve">Papel y cartón </t>
  </si>
  <si>
    <t>009</t>
  </si>
  <si>
    <t>010</t>
  </si>
  <si>
    <t>Cuero, piel y materiales sucedáneos</t>
  </si>
  <si>
    <t>012</t>
  </si>
  <si>
    <t>014</t>
  </si>
  <si>
    <t>016</t>
  </si>
  <si>
    <t>018</t>
  </si>
  <si>
    <t>019</t>
  </si>
  <si>
    <t>021</t>
  </si>
  <si>
    <t>Derivados del petróleo y carbón</t>
  </si>
  <si>
    <t>025</t>
  </si>
  <si>
    <t>026</t>
  </si>
  <si>
    <t>031</t>
  </si>
  <si>
    <t>032</t>
  </si>
  <si>
    <t>033</t>
  </si>
  <si>
    <t>034</t>
  </si>
  <si>
    <t>037</t>
  </si>
  <si>
    <t>038</t>
  </si>
  <si>
    <t>039</t>
  </si>
  <si>
    <t>041</t>
  </si>
  <si>
    <t>044</t>
  </si>
  <si>
    <t>045</t>
  </si>
  <si>
    <t>046</t>
  </si>
  <si>
    <t>Muebles, colchones y persianas</t>
  </si>
  <si>
    <t>048</t>
  </si>
  <si>
    <t>049</t>
  </si>
  <si>
    <t>Federales</t>
  </si>
  <si>
    <t>Metalúrgica (incluye la siderúrgica) </t>
  </si>
  <si>
    <t>Automotriz</t>
  </si>
  <si>
    <t>Celulosa y papel </t>
  </si>
  <si>
    <t>Generación de energía eléctrica</t>
  </si>
  <si>
    <t>Pinturas y tintas</t>
  </si>
  <si>
    <t>Química</t>
  </si>
  <si>
    <t>Tratamiento de residuos peligrosos </t>
  </si>
  <si>
    <t>Vidrio</t>
  </si>
  <si>
    <t>Petróleo y petroquímica</t>
  </si>
  <si>
    <t>Cemento y cal</t>
  </si>
  <si>
    <t>Combustión Comercial</t>
  </si>
  <si>
    <t>Combustión Industrial</t>
  </si>
  <si>
    <t>Uso de Solventes</t>
  </si>
  <si>
    <t>Artes gráficas</t>
  </si>
  <si>
    <t>Pintura para señalización víal</t>
  </si>
  <si>
    <t>Quemas Agrícolas</t>
  </si>
  <si>
    <t>Etiquetas de fila</t>
  </si>
  <si>
    <t>Total general</t>
  </si>
  <si>
    <t>Suma de E_PM10</t>
  </si>
  <si>
    <t>Suma de E_PM2.5</t>
  </si>
  <si>
    <t>Suma de E_SO2</t>
  </si>
  <si>
    <t>Suma de E_CO</t>
  </si>
  <si>
    <t>Suma de E_NOX</t>
  </si>
  <si>
    <t>Suma de E_COV</t>
  </si>
  <si>
    <t>Suma de E_NH3</t>
  </si>
  <si>
    <t>PM10</t>
  </si>
  <si>
    <t>PM2.5</t>
  </si>
  <si>
    <t>SO2</t>
  </si>
  <si>
    <t>CO</t>
  </si>
  <si>
    <t>NOX</t>
  </si>
  <si>
    <t>COV</t>
  </si>
  <si>
    <t>NH3</t>
  </si>
  <si>
    <t>Subcategoría</t>
  </si>
  <si>
    <t>Emisión (T/año)</t>
  </si>
  <si>
    <t>Resto</t>
  </si>
  <si>
    <t>Zona Metropolitana de Monterrey</t>
  </si>
  <si>
    <t>Fuentes Fijas Federales</t>
  </si>
  <si>
    <t>Fuentes Fijas estatales</t>
  </si>
  <si>
    <t>Fuentes fijas Federales</t>
  </si>
  <si>
    <t>Fuentes Fijas Estatales</t>
  </si>
  <si>
    <t>Sector</t>
  </si>
  <si>
    <t>resto</t>
  </si>
  <si>
    <t>Emisión PM10</t>
  </si>
  <si>
    <t>Emisión SO2</t>
  </si>
  <si>
    <t>Emisión NOX</t>
  </si>
  <si>
    <t>Emisiones</t>
  </si>
  <si>
    <t>Categoria</t>
  </si>
  <si>
    <t>Categoría</t>
  </si>
  <si>
    <t>(en blanco)</t>
  </si>
  <si>
    <t>federales antiguas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</si>
</sst>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_-;\-* #,##0.0_-;_-* &quot;-&quot;??_-;_-@_-"/>
    <numFmt numFmtId="165" formatCode="_-* #,##0.0000_-;\-* #,##0.0000_-;_-* &quot;-&quot;??_-;_-@_-"/>
    <numFmt numFmtId="166" formatCode="_-* #,##0_-;\-* #,##0_-;_-* &quot;-&quot;??_-;_-@_-"/>
    <numFmt numFmtId="167" formatCode="_-* #,##0.000000_-;\-* #,##0.00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0" fillId="2" borderId="1" xfId="1" applyNumberFormat="1" applyFont="1" applyFill="1" applyBorder="1"/>
    <xf numFmtId="165" fontId="0" fillId="2" borderId="1" xfId="1" applyNumberFormat="1" applyFont="1" applyFill="1" applyBorder="1"/>
    <xf numFmtId="166" fontId="0" fillId="2" borderId="1" xfId="1" applyNumberFormat="1" applyFont="1" applyFill="1" applyBorder="1"/>
    <xf numFmtId="165" fontId="0" fillId="2" borderId="2" xfId="1" applyNumberFormat="1" applyFont="1" applyFill="1" applyBorder="1"/>
    <xf numFmtId="0" fontId="0" fillId="0" borderId="1" xfId="0" applyFill="1" applyBorder="1"/>
    <xf numFmtId="165" fontId="0" fillId="0" borderId="1" xfId="1" applyNumberFormat="1" applyFont="1" applyFill="1" applyBorder="1"/>
    <xf numFmtId="0" fontId="0" fillId="3" borderId="1" xfId="0" applyFill="1" applyBorder="1"/>
    <xf numFmtId="165" fontId="0" fillId="3" borderId="1" xfId="1" applyNumberFormat="1" applyFont="1" applyFill="1" applyBorder="1"/>
    <xf numFmtId="0" fontId="0" fillId="3" borderId="0" xfId="0" applyFill="1"/>
    <xf numFmtId="167" fontId="0" fillId="0" borderId="1" xfId="1" applyNumberFormat="1" applyFont="1" applyFill="1" applyBorder="1"/>
    <xf numFmtId="0" fontId="2" fillId="0" borderId="1" xfId="0" applyFont="1" applyFill="1" applyBorder="1"/>
    <xf numFmtId="43" fontId="0" fillId="0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166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166" fontId="3" fillId="0" borderId="0" xfId="0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4" fillId="0" borderId="0" xfId="0" applyFont="1" applyAlignment="1"/>
    <xf numFmtId="166" fontId="0" fillId="0" borderId="0" xfId="0" applyNumberFormat="1" applyAlignment="1">
      <alignment horizontal="right"/>
    </xf>
    <xf numFmtId="9" fontId="0" fillId="0" borderId="0" xfId="2" applyFont="1"/>
    <xf numFmtId="166" fontId="0" fillId="0" borderId="0" xfId="1" applyNumberFormat="1" applyFont="1"/>
    <xf numFmtId="0" fontId="0" fillId="0" borderId="0" xfId="0" applyBorder="1"/>
    <xf numFmtId="166" fontId="0" fillId="0" borderId="0" xfId="1" applyNumberFormat="1" applyFont="1" applyAlignment="1">
      <alignment horizontal="right"/>
    </xf>
    <xf numFmtId="164" fontId="0" fillId="0" borderId="0" xfId="1" applyNumberFormat="1" applyFont="1"/>
    <xf numFmtId="164" fontId="0" fillId="3" borderId="0" xfId="0" applyNumberFormat="1" applyFill="1"/>
    <xf numFmtId="43" fontId="0" fillId="0" borderId="0" xfId="1" applyNumberFormat="1" applyFont="1"/>
    <xf numFmtId="0" fontId="0" fillId="2" borderId="0" xfId="0" applyFill="1"/>
    <xf numFmtId="164" fontId="0" fillId="2" borderId="0" xfId="0" applyNumberFormat="1" applyFill="1"/>
    <xf numFmtId="43" fontId="0" fillId="2" borderId="1" xfId="1" applyFont="1" applyFill="1" applyBorder="1"/>
    <xf numFmtId="43" fontId="0" fillId="2" borderId="1" xfId="1" applyFont="1" applyFill="1" applyBorder="1" applyAlignment="1">
      <alignment horizontal="left"/>
    </xf>
    <xf numFmtId="43" fontId="0" fillId="2" borderId="2" xfId="1" applyFont="1" applyFill="1" applyBorder="1"/>
    <xf numFmtId="43" fontId="0" fillId="0" borderId="1" xfId="1" applyFont="1" applyFill="1" applyBorder="1"/>
    <xf numFmtId="43" fontId="0" fillId="0" borderId="0" xfId="1" applyFont="1"/>
    <xf numFmtId="43" fontId="2" fillId="0" borderId="1" xfId="1" applyFont="1" applyFill="1" applyBorder="1"/>
    <xf numFmtId="43" fontId="0" fillId="0" borderId="1" xfId="1" applyFont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3" fontId="0" fillId="2" borderId="1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8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</dxfs>
  <tableStyles count="0" defaultTableStyle="TableStyleMedium2" defaultPivotStyle="PivotStyleLight16"/>
  <colors>
    <mruColors>
      <color rgb="FFD4C19C"/>
      <color rgb="FF39B973"/>
      <color rgb="FF1D5D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'ZMM 2018'!$T$8</c:f>
              <c:strCache>
                <c:ptCount val="1"/>
                <c:pt idx="0">
                  <c:v>Fuentes Fijas Federales</c:v>
                </c:pt>
              </c:strCache>
            </c:strRef>
          </c:tx>
          <c:spPr>
            <a:solidFill>
              <a:srgbClr val="1D5D3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'ZMM 2018'!$U$7:$AA$7</c15:sqref>
                  </c15:fullRef>
                </c:ext>
              </c:extLst>
              <c:f>'ZMM 2018'!$U$7:$Z$7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SO2</c:v>
                </c:pt>
                <c:pt idx="3">
                  <c:v>CO</c:v>
                </c:pt>
                <c:pt idx="4">
                  <c:v>NOX</c:v>
                </c:pt>
                <c:pt idx="5">
                  <c:v>COV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'ZMM 2018'!$U$8:$AA$8</c15:sqref>
                  </c15:fullRef>
                </c:ext>
              </c:extLst>
              <c:f>'ZMM 2018'!$U$8:$Z$8</c:f>
              <c:numCache>
                <c:formatCode>0%</c:formatCode>
                <c:ptCount val="6"/>
                <c:pt idx="0">
                  <c:v>0.37757756766813511</c:v>
                </c:pt>
                <c:pt idx="1">
                  <c:v>0.39014094149884121</c:v>
                </c:pt>
                <c:pt idx="2">
                  <c:v>0.95563515136570421</c:v>
                </c:pt>
                <c:pt idx="3">
                  <c:v>4.1586596441338851E-2</c:v>
                </c:pt>
                <c:pt idx="4">
                  <c:v>0.20827966841627318</c:v>
                </c:pt>
                <c:pt idx="5">
                  <c:v>7.0824340083452245E-2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D-474A-A017-5B36932771BA}"/>
            </c:ext>
          </c:extLst>
        </c:ser>
        <c:ser>
          <c:idx val="3"/>
          <c:order val="1"/>
          <c:tx>
            <c:strRef>
              <c:f>'ZMM 2018'!$T$9</c:f>
              <c:strCache>
                <c:ptCount val="1"/>
                <c:pt idx="0">
                  <c:v>Fuentes Fijas estatales</c:v>
                </c:pt>
              </c:strCache>
            </c:strRef>
          </c:tx>
          <c:spPr>
            <a:solidFill>
              <a:srgbClr val="39B973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3D-474A-A017-5B36932771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3D-474A-A017-5B36932771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'ZMM 2018'!$U$7:$AA$7</c15:sqref>
                  </c15:fullRef>
                </c:ext>
              </c:extLst>
              <c:f>'ZMM 2018'!$U$7:$Z$7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SO2</c:v>
                </c:pt>
                <c:pt idx="3">
                  <c:v>CO</c:v>
                </c:pt>
                <c:pt idx="4">
                  <c:v>NOX</c:v>
                </c:pt>
                <c:pt idx="5">
                  <c:v>COV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'ZMM 2018'!$U$9:$AA$9</c15:sqref>
                  </c15:fullRef>
                </c:ext>
              </c:extLst>
              <c:f>'ZMM 2018'!$U$9:$Z$9</c:f>
              <c:numCache>
                <c:formatCode>0%</c:formatCode>
                <c:ptCount val="6"/>
                <c:pt idx="0">
                  <c:v>0.23876431200832721</c:v>
                </c:pt>
                <c:pt idx="1">
                  <c:v>0.21234319507203034</c:v>
                </c:pt>
                <c:pt idx="2">
                  <c:v>1.7722907914641411E-2</c:v>
                </c:pt>
                <c:pt idx="3">
                  <c:v>2.563547255517802E-3</c:v>
                </c:pt>
                <c:pt idx="4">
                  <c:v>9.1022048315010044E-3</c:v>
                </c:pt>
                <c:pt idx="5">
                  <c:v>3.5658148238399114E-2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3D-474A-A017-5B36932771BA}"/>
            </c:ext>
          </c:extLst>
        </c:ser>
        <c:ser>
          <c:idx val="1"/>
          <c:order val="2"/>
          <c:tx>
            <c:strRef>
              <c:f>'ZMM 2018'!$T$10</c:f>
              <c:strCache>
                <c:ptCount val="1"/>
                <c:pt idx="0">
                  <c:v>Fuentes de Área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3D-474A-A017-5B36932771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3D-474A-A017-5B36932771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'ZMM 2018'!$U$7:$AA$7</c15:sqref>
                  </c15:fullRef>
                </c:ext>
              </c:extLst>
              <c:f>'ZMM 2018'!$U$7:$Z$7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SO2</c:v>
                </c:pt>
                <c:pt idx="3">
                  <c:v>CO</c:v>
                </c:pt>
                <c:pt idx="4">
                  <c:v>NOX</c:v>
                </c:pt>
                <c:pt idx="5">
                  <c:v>COV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'ZMM 2018'!$U$10:$AA$10</c15:sqref>
                  </c15:fullRef>
                </c:ext>
              </c:extLst>
              <c:f>'ZMM 2018'!$U$10:$Z$10</c:f>
              <c:numCache>
                <c:formatCode>0%</c:formatCode>
                <c:ptCount val="6"/>
                <c:pt idx="0">
                  <c:v>0.14615331459501191</c:v>
                </c:pt>
                <c:pt idx="1">
                  <c:v>8.6781528984264389E-2</c:v>
                </c:pt>
                <c:pt idx="2">
                  <c:v>1.1403034975538012E-3</c:v>
                </c:pt>
                <c:pt idx="3">
                  <c:v>8.8214121967383693E-3</c:v>
                </c:pt>
                <c:pt idx="4">
                  <c:v>8.0325147800627203E-3</c:v>
                </c:pt>
                <c:pt idx="5">
                  <c:v>0.42229317508774894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3D-474A-A017-5B36932771BA}"/>
            </c:ext>
          </c:extLst>
        </c:ser>
        <c:ser>
          <c:idx val="2"/>
          <c:order val="3"/>
          <c:tx>
            <c:strRef>
              <c:f>'ZMM 2018'!$T$11</c:f>
              <c:strCache>
                <c:ptCount val="1"/>
                <c:pt idx="0">
                  <c:v>Fuentes Móviles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3D-474A-A017-5B36932771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'ZMM 2018'!$U$7:$AA$7</c15:sqref>
                  </c15:fullRef>
                </c:ext>
              </c:extLst>
              <c:f>'ZMM 2018'!$U$7:$Z$7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SO2</c:v>
                </c:pt>
                <c:pt idx="3">
                  <c:v>CO</c:v>
                </c:pt>
                <c:pt idx="4">
                  <c:v>NOX</c:v>
                </c:pt>
                <c:pt idx="5">
                  <c:v>COV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'ZMM 2018'!$U$11:$AA$11</c15:sqref>
                  </c15:fullRef>
                </c:ext>
              </c:extLst>
              <c:f>'ZMM 2018'!$U$11:$Z$11</c:f>
              <c:numCache>
                <c:formatCode>0%</c:formatCode>
                <c:ptCount val="6"/>
                <c:pt idx="0">
                  <c:v>0.23750480572852584</c:v>
                </c:pt>
                <c:pt idx="1">
                  <c:v>0.31073433444486431</c:v>
                </c:pt>
                <c:pt idx="2">
                  <c:v>2.5501637222101116E-2</c:v>
                </c:pt>
                <c:pt idx="3">
                  <c:v>0.94702844410640508</c:v>
                </c:pt>
                <c:pt idx="4">
                  <c:v>0.77458561197216313</c:v>
                </c:pt>
                <c:pt idx="5">
                  <c:v>0.47122433659039981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3D-474A-A017-5B36932771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74219568"/>
        <c:axId val="1874220112"/>
      </c:barChart>
      <c:catAx>
        <c:axId val="187421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4220112"/>
        <c:crosses val="autoZero"/>
        <c:auto val="1"/>
        <c:lblAlgn val="ctr"/>
        <c:lblOffset val="100"/>
        <c:noMultiLvlLbl val="0"/>
      </c:catAx>
      <c:valAx>
        <c:axId val="18742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421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'ZMM 2018'!$AE$1</c:f>
              <c:strCache>
                <c:ptCount val="1"/>
                <c:pt idx="0">
                  <c:v>PM10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'ZMM 2018'!$AD$2:$AD$5</c:f>
              <c:strCache>
                <c:ptCount val="4"/>
                <c:pt idx="0">
                  <c:v>Fuentes Fijas Federales</c:v>
                </c:pt>
                <c:pt idx="1">
                  <c:v>Fuentes Fijas estatales</c:v>
                </c:pt>
                <c:pt idx="2">
                  <c:v>Fuentes de Área</c:v>
                </c:pt>
                <c:pt idx="3">
                  <c:v>Fuentes Móviles</c:v>
                </c:pt>
              </c:strCache>
            </c:strRef>
          </c:cat>
          <c:val>
            <c:numRef>
              <c:f>'ZMM 2018'!$AE$2:$AE$5</c:f>
              <c:numCache>
                <c:formatCode>_-* #,##0_-;\-* #,##0_-;_-* "-"??_-;_-@_-</c:formatCode>
                <c:ptCount val="4"/>
                <c:pt idx="0">
                  <c:v>4881.4567791585841</c:v>
                </c:pt>
                <c:pt idx="1">
                  <c:v>3086.8297517573783</c:v>
                </c:pt>
                <c:pt idx="2">
                  <c:v>1889.5219139538081</c:v>
                </c:pt>
                <c:pt idx="3">
                  <c:v>3070.5464076331505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769-B339-5276DD21E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221744"/>
        <c:axId val="1874214672"/>
      </c:barChart>
      <c:catAx>
        <c:axId val="187422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4214672"/>
        <c:crosses val="autoZero"/>
        <c:auto val="1"/>
        <c:lblAlgn val="ctr"/>
        <c:lblOffset val="100"/>
        <c:noMultiLvlLbl val="0"/>
      </c:catAx>
      <c:valAx>
        <c:axId val="18742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Emisiones (Toneladas/año)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422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'ZMM 2018'!$AF$1</c:f>
              <c:strCache>
                <c:ptCount val="1"/>
                <c:pt idx="0">
                  <c:v>PM2.5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'ZMM 2018'!$AD$2:$AD$5</c:f>
              <c:strCache>
                <c:ptCount val="4"/>
                <c:pt idx="0">
                  <c:v>Fuentes Fijas Federales</c:v>
                </c:pt>
                <c:pt idx="1">
                  <c:v>Fuentes Fijas estatales</c:v>
                </c:pt>
                <c:pt idx="2">
                  <c:v>Fuentes de Área</c:v>
                </c:pt>
                <c:pt idx="3">
                  <c:v>Fuentes Móviles</c:v>
                </c:pt>
              </c:strCache>
            </c:strRef>
          </c:cat>
          <c:val>
            <c:numRef>
              <c:f>'ZMM 2018'!$AF$2:$AF$5</c:f>
              <c:numCache>
                <c:formatCode>_-* #,##0_-;\-* #,##0_-;_-* "-"??_-;_-@_-</c:formatCode>
                <c:ptCount val="4"/>
                <c:pt idx="0">
                  <c:v>3484.7531611539343</c:v>
                </c:pt>
                <c:pt idx="1">
                  <c:v>1896.6571860774116</c:v>
                </c:pt>
                <c:pt idx="2">
                  <c:v>775.13579142932713</c:v>
                </c:pt>
                <c:pt idx="3">
                  <c:v>2775.4904421868291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1-4EE8-A89C-E589DB497C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0164288"/>
        <c:axId val="390163200"/>
      </c:barChart>
      <c:catAx>
        <c:axId val="39016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0163200"/>
        <c:crosses val="autoZero"/>
        <c:auto val="1"/>
        <c:lblAlgn val="ctr"/>
        <c:lblOffset val="100"/>
        <c:noMultiLvlLbl val="0"/>
      </c:catAx>
      <c:valAx>
        <c:axId val="3901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Emisiones (Toneladas/año)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016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'ZMM 2018'!$AG$1</c:f>
              <c:strCache>
                <c:ptCount val="1"/>
                <c:pt idx="0">
                  <c:v>SO2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'ZMM 2018'!$AD$2:$AD$5</c:f>
              <c:strCache>
                <c:ptCount val="4"/>
                <c:pt idx="0">
                  <c:v>Fuentes Fijas Federales</c:v>
                </c:pt>
                <c:pt idx="1">
                  <c:v>Fuentes Fijas estatales</c:v>
                </c:pt>
                <c:pt idx="2">
                  <c:v>Fuentes de Área</c:v>
                </c:pt>
                <c:pt idx="3">
                  <c:v>Fuentes Móviles</c:v>
                </c:pt>
              </c:strCache>
            </c:strRef>
          </c:cat>
          <c:val>
            <c:numRef>
              <c:f>'ZMM 2018'!$AG$2:$AG$5</c:f>
              <c:numCache>
                <c:formatCode>_-* #,##0_-;\-* #,##0_-;_-* "-"??_-;_-@_-</c:formatCode>
                <c:ptCount val="4"/>
                <c:pt idx="0">
                  <c:v>11285.814285650804</c:v>
                </c:pt>
                <c:pt idx="1">
                  <c:v>209.30314988987956</c:v>
                </c:pt>
                <c:pt idx="2">
                  <c:v>13.466701684506617</c:v>
                </c:pt>
                <c:pt idx="3">
                  <c:v>301.16801507077952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6-4234-B281-2E0ECB0B05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0167008"/>
        <c:axId val="390166464"/>
      </c:barChart>
      <c:catAx>
        <c:axId val="39016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0166464"/>
        <c:crosses val="autoZero"/>
        <c:auto val="1"/>
        <c:lblAlgn val="ctr"/>
        <c:lblOffset val="100"/>
        <c:noMultiLvlLbl val="0"/>
      </c:catAx>
      <c:valAx>
        <c:axId val="3901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Emisiones (Toneladas/año)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016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'ZMM 2018'!$AH$1</c:f>
              <c:strCache>
                <c:ptCount val="1"/>
                <c:pt idx="0">
                  <c:v>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'ZMM 2018'!$AD$2:$AD$5</c:f>
              <c:strCache>
                <c:ptCount val="4"/>
                <c:pt idx="0">
                  <c:v>Fuentes Fijas Federales</c:v>
                </c:pt>
                <c:pt idx="1">
                  <c:v>Fuentes Fijas estatales</c:v>
                </c:pt>
                <c:pt idx="2">
                  <c:v>Fuentes de Área</c:v>
                </c:pt>
                <c:pt idx="3">
                  <c:v>Fuentes Móviles</c:v>
                </c:pt>
              </c:strCache>
            </c:strRef>
          </c:cat>
          <c:val>
            <c:numRef>
              <c:f>'ZMM 2018'!$AH$2:$AH$5</c:f>
              <c:numCache>
                <c:formatCode>_-* #,##0_-;\-* #,##0_-;_-* "-"??_-;_-@_-</c:formatCode>
                <c:ptCount val="4"/>
                <c:pt idx="0">
                  <c:v>14262.918278514924</c:v>
                </c:pt>
                <c:pt idx="1">
                  <c:v>879.21753972190379</c:v>
                </c:pt>
                <c:pt idx="2">
                  <c:v>3025.4719556252176</c:v>
                </c:pt>
                <c:pt idx="3">
                  <c:v>324801.50965881575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0-4900-BF99-3B3AEF184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167552"/>
        <c:axId val="390162112"/>
      </c:barChart>
      <c:catAx>
        <c:axId val="3901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0162112"/>
        <c:crosses val="autoZero"/>
        <c:auto val="1"/>
        <c:lblAlgn val="ctr"/>
        <c:lblOffset val="100"/>
        <c:noMultiLvlLbl val="0"/>
      </c:catAx>
      <c:valAx>
        <c:axId val="3901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Emisiones (Toneladas/año)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016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Aporte por contaminante de la industria en la</a:t>
            </a:r>
            <a:r>
              <a:rPr lang="es-MX" baseline="0"/>
              <a:t> ZMM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'ZMM 2018'!$AN$6</c:f>
              <c:strCache>
                <c:ptCount val="1"/>
                <c:pt idx="0">
                  <c:v>Fuentes fijas Federales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'ZMM 2018'!$AO$5:$AT$5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SO2</c:v>
                </c:pt>
                <c:pt idx="3">
                  <c:v>CO</c:v>
                </c:pt>
                <c:pt idx="4">
                  <c:v>NOX</c:v>
                </c:pt>
                <c:pt idx="5">
                  <c:v>COV</c:v>
                </c:pt>
              </c:strCache>
            </c:strRef>
          </c:cat>
          <c:val>
            <c:numRef>
              <c:f>'ZMM 2018'!$AO$6:$AT$6</c:f>
              <c:numCache>
                <c:formatCode>0%</c:formatCode>
                <c:ptCount val="6"/>
                <c:pt idx="0">
                  <c:v>0.61261059830355469</c:v>
                </c:pt>
                <c:pt idx="1">
                  <c:v>0.6475538820314618</c:v>
                </c:pt>
                <c:pt idx="2">
                  <c:v>0.98179199550908847</c:v>
                </c:pt>
                <c:pt idx="3">
                  <c:v>0.94193569848561287</c:v>
                </c:pt>
                <c:pt idx="4">
                  <c:v>0.95812804124138617</c:v>
                </c:pt>
                <c:pt idx="5">
                  <c:v>0.665126643823164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0-4276-804A-5052158C145E}"/>
            </c:ext>
          </c:extLst>
        </c:ser>
        <c:ser>
          <c:idx val="1"/>
          <c:order val="1"/>
          <c:tx>
            <c:strRef>
              <c:f>'ZMM 2018'!$AN$7</c:f>
              <c:strCache>
                <c:ptCount val="1"/>
                <c:pt idx="0">
                  <c:v>Fuentes Fijas Estatales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'ZMM 2018'!$AO$5:$AT$5</c:f>
              <c:strCache>
                <c:ptCount val="6"/>
                <c:pt idx="0">
                  <c:v>PM10</c:v>
                </c:pt>
                <c:pt idx="1">
                  <c:v>PM2.5</c:v>
                </c:pt>
                <c:pt idx="2">
                  <c:v>SO2</c:v>
                </c:pt>
                <c:pt idx="3">
                  <c:v>CO</c:v>
                </c:pt>
                <c:pt idx="4">
                  <c:v>NOX</c:v>
                </c:pt>
                <c:pt idx="5">
                  <c:v>COV</c:v>
                </c:pt>
              </c:strCache>
            </c:strRef>
          </c:cat>
          <c:val>
            <c:numRef>
              <c:f>'ZMM 2018'!$AO$7:$AT$7</c:f>
              <c:numCache>
                <c:formatCode>0%</c:formatCode>
                <c:ptCount val="6"/>
                <c:pt idx="0">
                  <c:v>0.38738940169644531</c:v>
                </c:pt>
                <c:pt idx="1">
                  <c:v>0.35244611796853831</c:v>
                </c:pt>
                <c:pt idx="2">
                  <c:v>1.8208004490911475E-2</c:v>
                </c:pt>
                <c:pt idx="3">
                  <c:v>5.8064301514387101E-2</c:v>
                </c:pt>
                <c:pt idx="4">
                  <c:v>4.1871958758613756E-2</c:v>
                </c:pt>
                <c:pt idx="5">
                  <c:v>0.33487335617683606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0-4276-804A-5052158C1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215728"/>
        <c:axId val="205218992"/>
      </c:barChart>
      <c:catAx>
        <c:axId val="20521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18992"/>
        <c:crosses val="autoZero"/>
        <c:auto val="1"/>
        <c:lblAlgn val="ctr"/>
        <c:lblOffset val="100"/>
        <c:noMultiLvlLbl val="0"/>
      </c:catAx>
      <c:valAx>
        <c:axId val="2052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1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'ZMM 2018'!$AX$31</c:f>
              <c:strCache>
                <c:ptCount val="1"/>
                <c:pt idx="0">
                  <c:v>Emisión PM10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'ZMM 2018'!$AW$32:$AW$37</c:f>
              <c:strCache>
                <c:ptCount val="6"/>
                <c:pt idx="0">
                  <c:v>resto</c:v>
                </c:pt>
                <c:pt idx="1">
                  <c:v>Minerales no metálicos</c:v>
                </c:pt>
                <c:pt idx="2">
                  <c:v>Petróleo y petroquímica</c:v>
                </c:pt>
                <c:pt idx="3">
                  <c:v>Metalúrgica (incluye la siderúrgica) </c:v>
                </c:pt>
                <c:pt idx="4">
                  <c:v>Generación de energía eléctrica</c:v>
                </c:pt>
                <c:pt idx="5">
                  <c:v>Extracción/Beneficio minerales no metálicos</c:v>
                </c:pt>
              </c:strCache>
            </c:strRef>
          </c:cat>
          <c:val>
            <c:numRef>
              <c:f>'ZMM 2018'!$AX$32:$AX$37</c:f>
              <c:numCache>
                <c:formatCode>_-* #,##0_-;\-* #,##0_-;_-* "-"??_-;_-@_-</c:formatCode>
                <c:ptCount val="6"/>
                <c:pt idx="0" formatCode="_(* #,##0.00_);_(* \(#,##0.00\);_(* &quot;-&quot;??_);_(@_)">
                  <c:v>2071.5521218129888</c:v>
                </c:pt>
                <c:pt idx="1">
                  <c:v>874.50094123656436</c:v>
                </c:pt>
                <c:pt idx="2">
                  <c:v>954.44172490927099</c:v>
                </c:pt>
                <c:pt idx="3">
                  <c:v>1125.807295745499</c:v>
                </c:pt>
                <c:pt idx="4">
                  <c:v>1187.8721105673478</c:v>
                </c:pt>
                <c:pt idx="5">
                  <c:v>1754.1123366442912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8-43E8-8A64-A25AFCB58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20624"/>
        <c:axId val="205221168"/>
      </c:barChart>
      <c:catAx>
        <c:axId val="20522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21168"/>
        <c:crosses val="autoZero"/>
        <c:auto val="1"/>
        <c:lblAlgn val="ctr"/>
        <c:lblOffset val="100"/>
        <c:noMultiLvlLbl val="0"/>
      </c:catAx>
      <c:valAx>
        <c:axId val="20522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Emisiónes</a:t>
                </a:r>
                <a:r>
                  <a:rPr lang="es-MX" baseline="0"/>
                  <a:t> (t/año)</a:t>
                </a:r>
                <a:endParaRPr lang="es-MX"/>
              </a:p>
            </c:rich>
          </c:tx>
          <c:layout>
            <c:manualLayout>
              <c:xMode val="edge"/>
              <c:yMode val="edge"/>
              <c:x val="0.54846525835425608"/>
              <c:y val="0.86873226792652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2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'ZMM 2018'!$AX$44</c:f>
              <c:strCache>
                <c:ptCount val="1"/>
                <c:pt idx="0">
                  <c:v>Emisión SO2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'ZMM 2018'!$AW$45:$AW$50</c:f>
              <c:strCache>
                <c:ptCount val="6"/>
                <c:pt idx="0">
                  <c:v>resto</c:v>
                </c:pt>
                <c:pt idx="1">
                  <c:v>Alimentos y Bebidas</c:v>
                </c:pt>
                <c:pt idx="2">
                  <c:v>Química</c:v>
                </c:pt>
                <c:pt idx="3">
                  <c:v>Vidrio</c:v>
                </c:pt>
                <c:pt idx="4">
                  <c:v>Cemento y cal</c:v>
                </c:pt>
                <c:pt idx="5">
                  <c:v>Petróleo y petroquímica</c:v>
                </c:pt>
              </c:strCache>
            </c:strRef>
          </c:cat>
          <c:val>
            <c:numRef>
              <c:f>'ZMM 2018'!$AX$45:$AX$50</c:f>
              <c:numCache>
                <c:formatCode>_-* #,##0_-;\-* #,##0_-;_-* "-"??_-;_-@_-</c:formatCode>
                <c:ptCount val="6"/>
                <c:pt idx="0">
                  <c:v>227.997068469027</c:v>
                </c:pt>
                <c:pt idx="1">
                  <c:v>119.39113412655303</c:v>
                </c:pt>
                <c:pt idx="2">
                  <c:v>152.85956809836352</c:v>
                </c:pt>
                <c:pt idx="3">
                  <c:v>473.27574762164801</c:v>
                </c:pt>
                <c:pt idx="4">
                  <c:v>1793.0997499999999</c:v>
                </c:pt>
                <c:pt idx="5">
                  <c:v>8728.4941672250916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9-418F-B173-00A6C8B2F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22256"/>
        <c:axId val="205222800"/>
      </c:barChart>
      <c:catAx>
        <c:axId val="205222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22800"/>
        <c:crosses val="autoZero"/>
        <c:auto val="1"/>
        <c:lblAlgn val="ctr"/>
        <c:lblOffset val="100"/>
        <c:noMultiLvlLbl val="0"/>
      </c:catAx>
      <c:valAx>
        <c:axId val="2052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0" i="0" baseline="0">
                    <a:effectLst/>
                  </a:rPr>
                  <a:t>Emisiónes (t/año)</a:t>
                </a:r>
                <a:endParaRPr lang="es-MX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2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'ZMM 2018'!$AX$58</c:f>
              <c:strCache>
                <c:ptCount val="1"/>
                <c:pt idx="0">
                  <c:v>Emisión NOX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'ZMM 2018'!$AW$59:$AW$64</c:f>
              <c:strCache>
                <c:ptCount val="6"/>
                <c:pt idx="0">
                  <c:v>Resto</c:v>
                </c:pt>
                <c:pt idx="1">
                  <c:v>Cemento y cal</c:v>
                </c:pt>
                <c:pt idx="2">
                  <c:v>Metalúrgica (incluye la siderúrgica) </c:v>
                </c:pt>
                <c:pt idx="3">
                  <c:v>Vidrio</c:v>
                </c:pt>
                <c:pt idx="4">
                  <c:v>Petróleo y petroquímica</c:v>
                </c:pt>
                <c:pt idx="5">
                  <c:v>Generación de energía eléctrica</c:v>
                </c:pt>
              </c:strCache>
            </c:strRef>
          </c:cat>
          <c:val>
            <c:numRef>
              <c:f>'ZMM 2018'!$AX$59:$AX$64</c:f>
              <c:numCache>
                <c:formatCode>_-* #,##0_-;\-* #,##0_-;_-* "-"??_-;_-@_-</c:formatCode>
                <c:ptCount val="6"/>
                <c:pt idx="0">
                  <c:v>4360.6041179273379</c:v>
                </c:pt>
                <c:pt idx="1">
                  <c:v>2163.743026089981</c:v>
                </c:pt>
                <c:pt idx="2">
                  <c:v>2344.8560035169594</c:v>
                </c:pt>
                <c:pt idx="3">
                  <c:v>3364.7033730106659</c:v>
                </c:pt>
                <c:pt idx="4">
                  <c:v>3391.5350698103011</c:v>
                </c:pt>
                <c:pt idx="5">
                  <c:v>10093.044317801283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900-83A2-2BFEC264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17360"/>
        <c:axId val="205217904"/>
      </c:barChart>
      <c:catAx>
        <c:axId val="20521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17904"/>
        <c:crosses val="autoZero"/>
        <c:auto val="1"/>
        <c:lblAlgn val="ctr"/>
        <c:lblOffset val="100"/>
        <c:noMultiLvlLbl val="0"/>
      </c:catAx>
      <c:valAx>
        <c:axId val="2052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50" b="0" i="0" baseline="0">
                    <a:effectLst/>
                  </a:rPr>
                  <a:t>Emisiónes (t/año)</a:t>
                </a:r>
                <a:endParaRPr lang="es-MX" sz="1050"/>
              </a:p>
            </c:rich>
          </c:tx>
          <c:layout>
            <c:manualLayout>
              <c:xMode val="edge"/>
              <c:yMode val="edge"/>
              <c:x val="0.53370343318087954"/>
              <c:y val="0.91769793559517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5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21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219075</xdr:colOff>
      <xdr:row>11</xdr:row>
      <xdr:rowOff>71436</xdr:rowOff>
    </xdr:from>
    <xdr:to>
      <xdr:col>26</xdr:col>
      <xdr:colOff>895350</xdr:colOff>
      <xdr:row>31</xdr:row>
      <xdr:rowOff>190499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552450</xdr:colOff>
      <xdr:row>7</xdr:row>
      <xdr:rowOff>119062</xdr:rowOff>
    </xdr:from>
    <xdr:to>
      <xdr:col>31</xdr:col>
      <xdr:colOff>657225</xdr:colOff>
      <xdr:row>22</xdr:row>
      <xdr:rowOff>4762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7</xdr:row>
      <xdr:rowOff>114300</xdr:rowOff>
    </xdr:from>
    <xdr:to>
      <xdr:col>37</xdr:col>
      <xdr:colOff>390525</xdr:colOff>
      <xdr:row>21</xdr:row>
      <xdr:rowOff>161925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542925</xdr:colOff>
      <xdr:row>21</xdr:row>
      <xdr:rowOff>180975</xdr:rowOff>
    </xdr:from>
    <xdr:to>
      <xdr:col>31</xdr:col>
      <xdr:colOff>647700</xdr:colOff>
      <xdr:row>36</xdr:row>
      <xdr:rowOff>66675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</xdr:colOff>
      <xdr:row>21</xdr:row>
      <xdr:rowOff>171450</xdr:rowOff>
    </xdr:from>
    <xdr:to>
      <xdr:col>37</xdr:col>
      <xdr:colOff>400050</xdr:colOff>
      <xdr:row>36</xdr:row>
      <xdr:rowOff>57150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657225</xdr:colOff>
      <xdr:row>8</xdr:row>
      <xdr:rowOff>128586</xdr:rowOff>
    </xdr:from>
    <xdr:to>
      <xdr:col>47</xdr:col>
      <xdr:colOff>228600</xdr:colOff>
      <xdr:row>28</xdr:row>
      <xdr:rowOff>76200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182219</xdr:colOff>
      <xdr:row>28</xdr:row>
      <xdr:rowOff>123410</xdr:rowOff>
    </xdr:from>
    <xdr:to>
      <xdr:col>57</xdr:col>
      <xdr:colOff>107675</xdr:colOff>
      <xdr:row>41</xdr:row>
      <xdr:rowOff>182217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198783</xdr:colOff>
      <xdr:row>42</xdr:row>
      <xdr:rowOff>24848</xdr:rowOff>
    </xdr:from>
    <xdr:to>
      <xdr:col>57</xdr:col>
      <xdr:colOff>124239</xdr:colOff>
      <xdr:row>55</xdr:row>
      <xdr:rowOff>83655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182217</xdr:colOff>
      <xdr:row>55</xdr:row>
      <xdr:rowOff>124240</xdr:rowOff>
    </xdr:from>
    <xdr:to>
      <xdr:col>57</xdr:col>
      <xdr:colOff>107673</xdr:colOff>
      <xdr:row>68</xdr:row>
      <xdr:rowOff>183047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elia Leslie Rodríguez Robles" refreshedDate="45254.570724537036" createdVersion="5" refreshedVersion="5" minRefreshableVersion="3" recordCount="1110">
  <cacheSource type="worksheet">
    <worksheetSource ref="A1:G1048576" sheet="ZMM 2018"/>
  </cacheSource>
  <cacheFields count="7">
    <cacheField name="F_emi" numFmtId="0">
      <sharedItems containsBlank="1"/>
    </cacheField>
    <cacheField name="Nom_Edo" numFmtId="0">
      <sharedItems containsBlank="1"/>
    </cacheField>
    <cacheField name="CVE_Edo" numFmtId="0">
      <sharedItems containsBlank="1"/>
    </cacheField>
    <cacheField name="CV_ZM" numFmtId="0">
      <sharedItems containsBlank="1"/>
    </cacheField>
    <cacheField name="Nom_ZM" numFmtId="0">
      <sharedItems containsBlank="1"/>
    </cacheField>
    <cacheField name="CVE_Mun" numFmtId="0">
      <sharedItems containsBlank="1"/>
    </cacheField>
    <cacheField name="Nom_Mun" numFmtId="0">
      <sharedItems containsBlank="1" count="19">
        <s v="Abasolo"/>
        <s v="Apodaca"/>
        <s v="Cadereyta Jiménez"/>
        <s v="El Carmen"/>
        <s v="Ciénega de Flores"/>
        <s v="García"/>
        <s v="San Pedro Garza García"/>
        <s v="General Escobedo"/>
        <s v="General Zuazua"/>
        <s v="Guadalupe"/>
        <s v="Juárez"/>
        <s v="Monterrey"/>
        <s v="Pesquería"/>
        <s v="Salinas Victoria"/>
        <s v="San Nicolás de los Garza"/>
        <s v="Hidalgo"/>
        <s v="Santa Catarina"/>
        <s v="Santiag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elia Leslie Rodríguez Robles" refreshedDate="45265.472658217594" createdVersion="5" refreshedVersion="5" minRefreshableVersion="3" recordCount="2817">
  <cacheSource type="worksheet">
    <worksheetSource ref="A1:Q2818" sheet="NL 2018"/>
  </cacheSource>
  <cacheFields count="17">
    <cacheField name="F_emi" numFmtId="0">
      <sharedItems containsBlank="1" count="5">
        <s v="Fuentes de Área"/>
        <s v="Fuentes Naturales"/>
        <s v="Fuentes Móviles"/>
        <s v="Fuentes Fijas"/>
        <m/>
      </sharedItems>
    </cacheField>
    <cacheField name="Nom_Edo" numFmtId="0">
      <sharedItems containsBlank="1"/>
    </cacheField>
    <cacheField name="CVE_Edo" numFmtId="0">
      <sharedItems containsBlank="1"/>
    </cacheField>
    <cacheField name="CV_ZM" numFmtId="0">
      <sharedItems containsBlank="1"/>
    </cacheField>
    <cacheField name="Nom_ZM" numFmtId="0">
      <sharedItems containsBlank="1"/>
    </cacheField>
    <cacheField name="CVE_Mun" numFmtId="0">
      <sharedItems containsBlank="1"/>
    </cacheField>
    <cacheField name="Nom_Mun" numFmtId="0">
      <sharedItems containsBlank="1"/>
    </cacheField>
    <cacheField name="CAT" numFmtId="0">
      <sharedItems containsBlank="1" count="13">
        <s v="Combustión"/>
        <s v="Uso de solventes"/>
        <s v="Almacenamiento y transporte de derivados del petróleo"/>
        <s v="Fuentes industriales ligeras y comerciales"/>
        <s v="Agropecuarias"/>
        <s v="Residuos"/>
        <s v="Fuentes miscelaneas"/>
        <s v="Emisiones Biogénicas"/>
        <s v="no carreteras"/>
        <s v="carreteras"/>
        <s v="Estatal"/>
        <s v="Federales"/>
        <m/>
      </sharedItems>
    </cacheField>
    <cacheField name="SUB_CAT" numFmtId="0">
      <sharedItems containsBlank="1"/>
    </cacheField>
    <cacheField name="E_PM10" numFmtId="0">
      <sharedItems containsString="0" containsBlank="1" containsNumber="1" minValue="0" maxValue="3102.873278546449"/>
    </cacheField>
    <cacheField name="E_PM2.5" numFmtId="0">
      <sharedItems containsString="0" containsBlank="1" containsNumber="1" minValue="0" maxValue="1075.694592783055"/>
    </cacheField>
    <cacheField name="E_SO2" numFmtId="0">
      <sharedItems containsString="0" containsBlank="1" containsNumber="1" minValue="0" maxValue="8728.4511616795262"/>
    </cacheField>
    <cacheField name="E_CO" numFmtId="0">
      <sharedItems containsString="0" containsBlank="1" containsNumber="1" minValue="0" maxValue="38977.848295068274"/>
    </cacheField>
    <cacheField name="E_NOX" numFmtId="0">
      <sharedItems containsString="0" containsBlank="1" containsNumber="1" minValue="0" maxValue="10387.814220472726"/>
    </cacheField>
    <cacheField name="E_COV" numFmtId="0">
      <sharedItems containsString="0" containsBlank="1" containsNumber="1" minValue="0" maxValue="6423.6786242079961"/>
    </cacheField>
    <cacheField name="E_NH3" numFmtId="0">
      <sharedItems containsString="0" containsBlank="1" containsNumber="1" minValue="0" maxValue="1880.1489300000001"/>
    </cacheField>
    <cacheField name="Jurisdic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elia Leslie Rodríguez Robles" refreshedDate="45265.660910416664" createdVersion="5" refreshedVersion="5" minRefreshableVersion="3" recordCount="1109">
  <cacheSource type="worksheet">
    <worksheetSource ref="A1:Q1110" sheet="ZMM 2018"/>
  </cacheSource>
  <cacheFields count="17">
    <cacheField name="F_emi" numFmtId="43">
      <sharedItems count="4">
        <s v="Fuentes de Área"/>
        <s v="Fuentes Naturales"/>
        <s v="Fuentes Móviles"/>
        <s v="Fuentes Fijas"/>
      </sharedItems>
    </cacheField>
    <cacheField name="Nom_Edo" numFmtId="43">
      <sharedItems/>
    </cacheField>
    <cacheField name="CVE_Edo" numFmtId="43">
      <sharedItems/>
    </cacheField>
    <cacheField name="CV_ZM" numFmtId="43">
      <sharedItems containsBlank="1"/>
    </cacheField>
    <cacheField name="Nom_ZM" numFmtId="43">
      <sharedItems/>
    </cacheField>
    <cacheField name="CVE_Mun" numFmtId="43">
      <sharedItems/>
    </cacheField>
    <cacheField name="Nom_Mun" numFmtId="43">
      <sharedItems/>
    </cacheField>
    <cacheField name="CAT" numFmtId="43">
      <sharedItems count="12">
        <s v="Combustión"/>
        <s v="Uso de solventes"/>
        <s v="Almacenamiento y transporte de derivados del petróleo"/>
        <s v="Fuentes industriales ligeras y comerciales"/>
        <s v="Agropecuarias"/>
        <s v="Residuos"/>
        <s v="Fuentes miscelaneas"/>
        <s v="Emisiones Biogénicas"/>
        <s v="no carreteras"/>
        <s v="carreteras"/>
        <s v="Estatal"/>
        <s v="Federales"/>
      </sharedItems>
    </cacheField>
    <cacheField name="SUB_CAT" numFmtId="43">
      <sharedItems containsBlank="1" count="77">
        <s v="Combustión Agrícola"/>
        <s v="Combustión Doméstica"/>
        <s v="Asfaltado"/>
        <s v="Lavado en Seco"/>
        <s v="Limpieza de superficies industriales"/>
        <s v="Pintado Automotriz"/>
        <s v="Recubrimiento de superficies arquitectónicas"/>
        <s v="Recubrimiento de superficies en la Industria"/>
        <s v="Uso doméstico de solventes"/>
        <s v="Manejo y Distribución de gas L.P."/>
        <s v="Manejo y distribución de Combustibles"/>
        <s v="Actividades de la construcción"/>
        <s v="Asados al carbón"/>
        <s v="Panificación"/>
        <s v="Aplicación de fertilizantes"/>
        <s v="Aplicación de plaguicidas"/>
        <s v="Emisiones Ganaderas"/>
        <s v="Corrales de engorda"/>
        <s v="Labranza"/>
        <s v="Aguas Residuales"/>
        <s v="Quema de Residuos"/>
        <s v="Rellenos Sanitarios"/>
        <s v="Caminos pavimentados y sin pavimentar"/>
        <s v="Emisiones domésticas de amoniaco"/>
        <s v="Incendios Forestales"/>
        <s v="Esterilizacción de material hospitalario"/>
        <s v="Incendios en construcciones"/>
        <s v="Ladrilleras"/>
        <m/>
        <s v="Embarcaciones marinas"/>
        <s v="Equipos en Aeropuertos"/>
        <s v="cruces fronterizos"/>
        <s v="Locomotoras de patio"/>
        <s v="Locomotoras de recorrido"/>
        <s v="terminales de autobuses"/>
        <s v="Maquinaria Agrícola y de Construcción"/>
        <s v="Motocicletas"/>
        <s v="Autos Particulares"/>
        <s v="Taxi"/>
        <s v="Camionetas Particulares"/>
        <s v="Combi"/>
        <s v="Autobús"/>
        <s v="Veh&gt;3.8Ton"/>
        <s v="Tractocamiones"/>
        <s v="Pickup y Veh&lt;3.8Ton"/>
        <s v="Extracción/Beneficio minerales no metálicos"/>
        <s v="Plástico y hule"/>
        <s v="Accesorios, aparatos eléctricos y equipos de generación eléctrica"/>
        <s v="Alimentos y Bebidas"/>
        <s v="Almacenamiento de combustibles"/>
        <s v="Impresión"/>
        <s v="Industria de la madera"/>
        <s v="Industria textil"/>
        <s v="Manejo de desechos y remediación"/>
        <s v="Metálico"/>
        <s v="Mezclas químicas"/>
        <s v="Minerales no metálicos"/>
        <s v="Otras Industrias"/>
        <s v="Papel y cartón "/>
        <s v="Cuero, piel y materiales sucedáneos"/>
        <s v="Derivados del petróleo y carbón"/>
        <s v="Muebles, colchones y persianas"/>
        <s v="Metalúrgica (incluye la siderúrgica) "/>
        <s v="Automotriz"/>
        <s v="Celulosa y papel "/>
        <s v="Generación de energía eléctrica"/>
        <s v="Pinturas y tintas"/>
        <s v="Química"/>
        <s v="Tratamiento de residuos peligrosos "/>
        <s v="Vidrio"/>
        <s v="Petróleo y petroquímica"/>
        <s v="Cemento y cal"/>
        <s v="Combustión Comercial"/>
        <s v="Combustión Industrial"/>
        <s v="Artes gráficas"/>
        <s v="Pintura para señalización víal"/>
        <s v="Quemas Agrícolas"/>
      </sharedItems>
    </cacheField>
    <cacheField name="E_PM10" numFmtId="43">
      <sharedItems containsString="0" containsBlank="1" containsNumber="1" minValue="0" maxValue="1075.6849927830549"/>
    </cacheField>
    <cacheField name="E_PM2.5" numFmtId="43">
      <sharedItems containsString="0" containsBlank="1" containsNumber="1" minValue="0" maxValue="1075.694592783055"/>
    </cacheField>
    <cacheField name="E_SO2" numFmtId="43">
      <sharedItems containsString="0" containsBlank="1" containsNumber="1" minValue="0" maxValue="8728.4511616795262"/>
    </cacheField>
    <cacheField name="E_CO" numFmtId="43">
      <sharedItems containsString="0" containsBlank="1" containsNumber="1" minValue="0" maxValue="38977.848295068274"/>
    </cacheField>
    <cacheField name="E_NOX" numFmtId="43">
      <sharedItems containsString="0" containsBlank="1" containsNumber="1" minValue="0" maxValue="10387.814220472726"/>
    </cacheField>
    <cacheField name="E_COV" numFmtId="43">
      <sharedItems containsString="0" containsBlank="1" containsNumber="1" minValue="0" maxValue="6423.6786242079961"/>
    </cacheField>
    <cacheField name="E_NH3" numFmtId="43">
      <sharedItems containsString="0" containsBlank="1" containsNumber="1" minValue="0" maxValue="1880.1489300000001"/>
    </cacheField>
    <cacheField name="Jurisdicción" numFmtId="4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0"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Naturales"/>
    <s v="Nuevo León"/>
    <s v="19"/>
    <s v="19.01"/>
    <s v="Monterrey"/>
    <s v="19001"/>
    <x v="0"/>
  </r>
  <r>
    <s v="Fuentes Naturales"/>
    <s v="Nuevo León"/>
    <s v="19"/>
    <s v="19.01"/>
    <s v="Monterrey"/>
    <s v="19006"/>
    <x v="1"/>
  </r>
  <r>
    <s v="Fuentes Naturales"/>
    <s v="Nuevo León"/>
    <s v="19"/>
    <s v="19.01"/>
    <s v="Monterrey"/>
    <s v="19009"/>
    <x v="2"/>
  </r>
  <r>
    <s v="Fuentes Naturales"/>
    <s v="Nuevo León"/>
    <s v="19"/>
    <s v="19.01"/>
    <s v="Monterrey"/>
    <s v="19010"/>
    <x v="3"/>
  </r>
  <r>
    <s v="Fuentes Naturales"/>
    <s v="Nuevo León"/>
    <s v="19"/>
    <s v="19.01"/>
    <s v="Monterrey"/>
    <s v="19012"/>
    <x v="4"/>
  </r>
  <r>
    <s v="Fuentes Naturales"/>
    <s v="Nuevo León"/>
    <s v="19"/>
    <s v="19.01"/>
    <s v="Monterrey"/>
    <s v="19018"/>
    <x v="5"/>
  </r>
  <r>
    <s v="Fuentes Naturales"/>
    <s v="Nuevo León"/>
    <s v="19"/>
    <s v="19.01"/>
    <s v="Monterrey"/>
    <s v="19019"/>
    <x v="6"/>
  </r>
  <r>
    <s v="Fuentes Naturales"/>
    <s v="Nuevo León"/>
    <s v="19"/>
    <s v="19.01"/>
    <s v="Monterrey"/>
    <s v="19021"/>
    <x v="7"/>
  </r>
  <r>
    <s v="Fuentes Naturales"/>
    <s v="Nuevo León"/>
    <s v="19"/>
    <s v="19.01"/>
    <s v="Monterrey"/>
    <s v="19025"/>
    <x v="8"/>
  </r>
  <r>
    <s v="Fuentes Naturales"/>
    <s v="Nuevo León"/>
    <s v="19"/>
    <s v="19.01"/>
    <s v="Monterrey"/>
    <s v="19026"/>
    <x v="9"/>
  </r>
  <r>
    <s v="Fuentes Naturales"/>
    <s v="Nuevo León"/>
    <s v="19"/>
    <s v="19.01"/>
    <s v="Monterrey"/>
    <s v="19031"/>
    <x v="10"/>
  </r>
  <r>
    <s v="Fuentes Naturales"/>
    <s v="Nuevo León"/>
    <s v="19"/>
    <s v="19.01"/>
    <s v="Monterrey"/>
    <s v="19039"/>
    <x v="11"/>
  </r>
  <r>
    <s v="Fuentes Naturales"/>
    <s v="Nuevo León"/>
    <s v="19"/>
    <s v="19.01"/>
    <s v="Monterrey"/>
    <s v="19041"/>
    <x v="12"/>
  </r>
  <r>
    <s v="Fuentes Naturales"/>
    <s v="Nuevo León"/>
    <s v="19"/>
    <s v="19.01"/>
    <s v="Monterrey"/>
    <s v="19045"/>
    <x v="13"/>
  </r>
  <r>
    <s v="Fuentes Naturales"/>
    <s v="Nuevo León"/>
    <s v="19"/>
    <s v="19.01"/>
    <s v="Monterrey"/>
    <s v="19046"/>
    <x v="14"/>
  </r>
  <r>
    <s v="Fuentes Naturales"/>
    <s v="Nuevo León"/>
    <s v="19"/>
    <s v="19.01"/>
    <s v="Monterrey"/>
    <s v="19047"/>
    <x v="15"/>
  </r>
  <r>
    <s v="Fuentes Naturales"/>
    <s v="Nuevo León"/>
    <s v="19"/>
    <s v="19.01"/>
    <s v="Monterrey"/>
    <s v="19048"/>
    <x v="16"/>
  </r>
  <r>
    <s v="Fuentes Natura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1"/>
    <x v="0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6"/>
    <x v="1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09"/>
    <x v="2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2"/>
    <x v="4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0"/>
    <x v="3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18"/>
    <x v="5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1"/>
    <x v="7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5"/>
    <x v="8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26"/>
    <x v="9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47"/>
    <x v="15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1"/>
    <x v="10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39"/>
    <x v="11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1"/>
    <x v="12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5"/>
    <x v="13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46"/>
    <x v="14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19"/>
    <x v="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8"/>
    <x v="16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Móviles"/>
    <s v="Nuevo León"/>
    <s v="19"/>
    <s v="19.01"/>
    <s v="Monterrey"/>
    <s v="19049"/>
    <x v="17"/>
  </r>
  <r>
    <s v="Fuentes Fijas"/>
    <s v="Nuevo León"/>
    <s v="19"/>
    <s v="19.01"/>
    <s v="Monterrey"/>
    <s v="001"/>
    <x v="0"/>
  </r>
  <r>
    <s v="Fuentes Fijas"/>
    <s v="Nuevo León"/>
    <s v="19"/>
    <s v="19.01"/>
    <s v="Monterrey"/>
    <s v="001"/>
    <x v="0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6"/>
    <x v="1"/>
  </r>
  <r>
    <s v="Fuentes Fijas"/>
    <s v="Nuevo León"/>
    <s v="19"/>
    <s v="19.01"/>
    <s v="Monterrey"/>
    <s v="009"/>
    <x v="2"/>
  </r>
  <r>
    <s v="Fuentes Fijas"/>
    <s v="Nuevo León"/>
    <s v="19"/>
    <s v="19.01"/>
    <s v="Monterrey"/>
    <s v="009"/>
    <x v="2"/>
  </r>
  <r>
    <s v="Fuentes Fijas"/>
    <s v="Nuevo León"/>
    <s v="19"/>
    <s v="19.01"/>
    <s v="Monterrey"/>
    <s v="010"/>
    <x v="3"/>
  </r>
  <r>
    <s v="Fuentes Fijas"/>
    <s v="Nuevo León"/>
    <s v="19"/>
    <s v="19.01"/>
    <s v="Monterrey"/>
    <s v="010"/>
    <x v="3"/>
  </r>
  <r>
    <s v="Fuentes Fijas"/>
    <s v="Nuevo León"/>
    <s v="19"/>
    <s v="19.01"/>
    <s v="Monterrey"/>
    <s v="010"/>
    <x v="3"/>
  </r>
  <r>
    <s v="Fuentes Fijas"/>
    <s v="Nuevo León"/>
    <s v="19"/>
    <s v="19.01"/>
    <s v="Monterrey"/>
    <s v="010"/>
    <x v="3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2"/>
    <x v="4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8"/>
    <x v="5"/>
  </r>
  <r>
    <s v="Fuentes Fijas"/>
    <s v="Nuevo León"/>
    <s v="19"/>
    <s v="19.01"/>
    <s v="Monterrey"/>
    <s v="019"/>
    <x v="6"/>
  </r>
  <r>
    <s v="Fuentes Fijas"/>
    <s v="Nuevo León"/>
    <s v="19"/>
    <s v="19.01"/>
    <s v="Monterrey"/>
    <s v="019"/>
    <x v="6"/>
  </r>
  <r>
    <s v="Fuentes Fijas"/>
    <s v="Nuevo León"/>
    <s v="19"/>
    <s v="19.01"/>
    <s v="Monterrey"/>
    <s v="019"/>
    <x v="6"/>
  </r>
  <r>
    <s v="Fuentes Fijas"/>
    <s v="Nuevo León"/>
    <s v="19"/>
    <s v="19.01"/>
    <s v="Monterrey"/>
    <s v="019"/>
    <x v="6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1"/>
    <x v="7"/>
  </r>
  <r>
    <s v="Fuentes Fijas"/>
    <s v="Nuevo León"/>
    <s v="19"/>
    <s v="19.01"/>
    <s v="Monterrey"/>
    <s v="025"/>
    <x v="8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26"/>
    <x v="9"/>
  </r>
  <r>
    <s v="Fuentes Fijas"/>
    <s v="Nuevo León"/>
    <s v="19"/>
    <s v="19.01"/>
    <s v="Monterrey"/>
    <s v="031"/>
    <x v="10"/>
  </r>
  <r>
    <s v="Fuentes Fijas"/>
    <s v="Nuevo León"/>
    <s v="19"/>
    <s v="19.01"/>
    <s v="Monterrey"/>
    <s v="031"/>
    <x v="10"/>
  </r>
  <r>
    <s v="Fuentes Fijas"/>
    <s v="Nuevo León"/>
    <s v="19"/>
    <s v="19.01"/>
    <s v="Monterrey"/>
    <s v="031"/>
    <x v="10"/>
  </r>
  <r>
    <s v="Fuentes Fijas"/>
    <s v="Nuevo León"/>
    <s v="19"/>
    <s v="19.01"/>
    <s v="Monterrey"/>
    <s v="031"/>
    <x v="10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39"/>
    <x v="11"/>
  </r>
  <r>
    <s v="Fuentes Fijas"/>
    <s v="Nuevo León"/>
    <s v="19"/>
    <s v="19.01"/>
    <s v="Monterrey"/>
    <s v="041"/>
    <x v="12"/>
  </r>
  <r>
    <s v="Fuentes Fijas"/>
    <s v="Nuevo León"/>
    <s v="19"/>
    <s v="19.01"/>
    <s v="Monterrey"/>
    <s v="041"/>
    <x v="12"/>
  </r>
  <r>
    <s v="Fuentes Fijas"/>
    <s v="Nuevo León"/>
    <s v="19"/>
    <s v="19.01"/>
    <s v="Monterrey"/>
    <s v="041"/>
    <x v="12"/>
  </r>
  <r>
    <s v="Fuentes Fijas"/>
    <s v="Nuevo León"/>
    <s v="19"/>
    <s v="19.01"/>
    <s v="Monterrey"/>
    <s v="041"/>
    <x v="12"/>
  </r>
  <r>
    <s v="Fuentes Fijas"/>
    <s v="Nuevo León"/>
    <s v="19"/>
    <s v="19.01"/>
    <s v="Monterrey"/>
    <s v="041"/>
    <x v="12"/>
  </r>
  <r>
    <s v="Fuentes Fijas"/>
    <s v="Nuevo León"/>
    <s v="19"/>
    <s v="19.01"/>
    <s v="Monterrey"/>
    <s v="045"/>
    <x v="13"/>
  </r>
  <r>
    <s v="Fuentes Fijas"/>
    <s v="Nuevo León"/>
    <s v="19"/>
    <s v="19.01"/>
    <s v="Monterrey"/>
    <s v="045"/>
    <x v="13"/>
  </r>
  <r>
    <s v="Fuentes Fijas"/>
    <s v="Nuevo León"/>
    <s v="19"/>
    <s v="19.01"/>
    <s v="Monterrey"/>
    <s v="045"/>
    <x v="13"/>
  </r>
  <r>
    <s v="Fuentes Fijas"/>
    <s v="Nuevo León"/>
    <s v="19"/>
    <s v="19.01"/>
    <s v="Monterrey"/>
    <s v="045"/>
    <x v="13"/>
  </r>
  <r>
    <s v="Fuentes Fijas"/>
    <s v="Nuevo León"/>
    <s v="19"/>
    <s v="19.01"/>
    <s v="Monterrey"/>
    <s v="045"/>
    <x v="13"/>
  </r>
  <r>
    <s v="Fuentes Fijas"/>
    <s v="Nuevo León"/>
    <s v="19"/>
    <s v="19.01"/>
    <s v="Monterrey"/>
    <s v="045"/>
    <x v="13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6"/>
    <x v="14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8"/>
    <x v="16"/>
  </r>
  <r>
    <s v="Fuentes Fijas"/>
    <s v="Nuevo León"/>
    <s v="19"/>
    <s v="19.01"/>
    <s v="Monterrey"/>
    <s v="049"/>
    <x v="17"/>
  </r>
  <r>
    <s v="Fuentes Fijas"/>
    <s v="Nuevo León"/>
    <s v="19"/>
    <s v="19.01"/>
    <s v="Monterrey"/>
    <s v="049"/>
    <x v="17"/>
  </r>
  <r>
    <s v="Fuentes Fijas"/>
    <s v="Nuevo León"/>
    <s v="19"/>
    <s v="19.01"/>
    <s v="Monterrey"/>
    <s v="19001"/>
    <x v="0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6"/>
    <x v="1"/>
  </r>
  <r>
    <s v="Fuentes Fijas"/>
    <s v="Nuevo León"/>
    <s v="19"/>
    <s v="19.01"/>
    <s v="Monterrey"/>
    <s v="19009"/>
    <x v="2"/>
  </r>
  <r>
    <s v="Fuentes Fijas"/>
    <s v="Nuevo León"/>
    <s v="19"/>
    <s v="19.01"/>
    <s v="Monterrey"/>
    <s v="19009"/>
    <x v="2"/>
  </r>
  <r>
    <s v="Fuentes Fijas"/>
    <s v="Nuevo León"/>
    <s v="19"/>
    <s v="19.01"/>
    <s v="Monterrey"/>
    <s v="19009"/>
    <x v="2"/>
  </r>
  <r>
    <s v="Fuentes Fijas"/>
    <s v="Nuevo León"/>
    <s v="19"/>
    <s v="19.01"/>
    <s v="Monterrey"/>
    <s v="19009"/>
    <x v="2"/>
  </r>
  <r>
    <s v="Fuentes Fijas"/>
    <s v="Nuevo León"/>
    <s v="19"/>
    <s v="19.01"/>
    <s v="Monterrey"/>
    <s v="19010"/>
    <x v="3"/>
  </r>
  <r>
    <s v="Fuentes Fijas"/>
    <s v="Nuevo León"/>
    <s v="19"/>
    <s v="19.01"/>
    <s v="Monterrey"/>
    <s v="19010"/>
    <x v="3"/>
  </r>
  <r>
    <s v="Fuentes Fijas"/>
    <s v="Nuevo León"/>
    <s v="19"/>
    <s v="19.01"/>
    <s v="Monterrey"/>
    <s v="19010"/>
    <x v="3"/>
  </r>
  <r>
    <s v="Fuentes Fijas"/>
    <s v="Nuevo León"/>
    <s v="19"/>
    <s v="19.01"/>
    <s v="Monterrey"/>
    <s v="19012"/>
    <x v="4"/>
  </r>
  <r>
    <s v="Fuentes Fijas"/>
    <s v="Nuevo León"/>
    <s v="19"/>
    <s v="19.01"/>
    <s v="Monterrey"/>
    <s v="19012"/>
    <x v="4"/>
  </r>
  <r>
    <s v="Fuentes Fijas"/>
    <s v="Nuevo León"/>
    <s v="19"/>
    <s v="19.01"/>
    <s v="Monterrey"/>
    <s v="19012"/>
    <x v="4"/>
  </r>
  <r>
    <s v="Fuentes Fijas"/>
    <s v="Nuevo León"/>
    <s v="19"/>
    <s v="19.01"/>
    <s v="Monterrey"/>
    <s v="19012"/>
    <x v="4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8"/>
    <x v="5"/>
  </r>
  <r>
    <s v="Fuentes Fijas"/>
    <s v="Nuevo León"/>
    <s v="19"/>
    <s v="19.01"/>
    <s v="Monterrey"/>
    <s v="19019"/>
    <x v="6"/>
  </r>
  <r>
    <s v="Fuentes Fijas"/>
    <s v="Nuevo León"/>
    <s v="19"/>
    <s v="19.01"/>
    <s v="Monterrey"/>
    <s v="19019"/>
    <x v="6"/>
  </r>
  <r>
    <s v="Fuentes Fijas"/>
    <s v="Nuevo León"/>
    <s v="19"/>
    <s v="19.01"/>
    <s v="Monterrey"/>
    <s v="19019"/>
    <x v="6"/>
  </r>
  <r>
    <s v="Fuentes Fijas"/>
    <s v="Nuevo León"/>
    <s v="19"/>
    <s v="19.01"/>
    <s v="Monterrey"/>
    <s v="19021"/>
    <x v="7"/>
  </r>
  <r>
    <s v="Fuentes Fijas"/>
    <s v="Nuevo León"/>
    <s v="19"/>
    <s v="19.01"/>
    <s v="Monterrey"/>
    <s v="19021"/>
    <x v="7"/>
  </r>
  <r>
    <s v="Fuentes Fijas"/>
    <s v="Nuevo León"/>
    <s v="19"/>
    <s v="19.01"/>
    <s v="Monterrey"/>
    <s v="19021"/>
    <x v="7"/>
  </r>
  <r>
    <s v="Fuentes Fijas"/>
    <s v="Nuevo León"/>
    <s v="19"/>
    <s v="19.01"/>
    <s v="Monterrey"/>
    <s v="19026"/>
    <x v="9"/>
  </r>
  <r>
    <s v="Fuentes Fijas"/>
    <s v="Nuevo León"/>
    <s v="19"/>
    <s v="19.01"/>
    <s v="Monterrey"/>
    <s v="19026"/>
    <x v="9"/>
  </r>
  <r>
    <s v="Fuentes Fijas"/>
    <s v="Nuevo León"/>
    <s v="19"/>
    <s v="19.01"/>
    <s v="Monterrey"/>
    <s v="19026"/>
    <x v="9"/>
  </r>
  <r>
    <s v="Fuentes Fijas"/>
    <s v="Nuevo León"/>
    <s v="19"/>
    <s v="19.01"/>
    <s v="Monterrey"/>
    <s v="19026"/>
    <x v="9"/>
  </r>
  <r>
    <s v="Fuentes Fijas"/>
    <s v="Nuevo León"/>
    <s v="19"/>
    <s v="19.01"/>
    <s v="Monterrey"/>
    <s v="19031"/>
    <x v="10"/>
  </r>
  <r>
    <s v="Fuentes Fijas"/>
    <s v="Nuevo León"/>
    <s v="19"/>
    <s v="19.01"/>
    <s v="Monterrey"/>
    <s v="19031"/>
    <x v="10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39"/>
    <x v="11"/>
  </r>
  <r>
    <s v="Fuentes Fijas"/>
    <s v="Nuevo León"/>
    <s v="19"/>
    <s v="19.01"/>
    <s v="Monterrey"/>
    <s v="19041"/>
    <x v="12"/>
  </r>
  <r>
    <s v="Fuentes Fijas"/>
    <s v="Nuevo León"/>
    <s v="19"/>
    <s v="19.01"/>
    <s v="Monterrey"/>
    <s v="19041"/>
    <x v="12"/>
  </r>
  <r>
    <s v="Fuentes Fijas"/>
    <s v="Nuevo León"/>
    <s v="19"/>
    <s v="19.01"/>
    <s v="Monterrey"/>
    <s v="19041"/>
    <x v="12"/>
  </r>
  <r>
    <s v="Fuentes Fijas"/>
    <s v="Nuevo León"/>
    <s v="19"/>
    <s v="19.01"/>
    <s v="Monterrey"/>
    <s v="19041"/>
    <x v="12"/>
  </r>
  <r>
    <s v="Fuentes Fijas"/>
    <s v="Nuevo León"/>
    <s v="19"/>
    <s v="19.01"/>
    <s v="Monterrey"/>
    <s v="19041"/>
    <x v="12"/>
  </r>
  <r>
    <s v="Fuentes Fijas"/>
    <s v="Nuevo León"/>
    <s v="19"/>
    <s v="19.01"/>
    <s v="Monterrey"/>
    <s v="19041"/>
    <x v="12"/>
  </r>
  <r>
    <s v="Fuentes Fijas"/>
    <s v="Nuevo León"/>
    <s v="19"/>
    <s v="19.01"/>
    <s v="Monterrey"/>
    <s v="19045"/>
    <x v="13"/>
  </r>
  <r>
    <s v="Fuentes Fijas"/>
    <s v="Nuevo León"/>
    <s v="19"/>
    <s v="19.01"/>
    <s v="Monterrey"/>
    <s v="19045"/>
    <x v="13"/>
  </r>
  <r>
    <s v="Fuentes Fijas"/>
    <s v="Nuevo León"/>
    <s v="19"/>
    <s v="19.01"/>
    <s v="Monterrey"/>
    <s v="19045"/>
    <x v="13"/>
  </r>
  <r>
    <s v="Fuentes Fijas"/>
    <s v="Nuevo León"/>
    <s v="19"/>
    <s v="19.01"/>
    <s v="Monterrey"/>
    <s v="19045"/>
    <x v="13"/>
  </r>
  <r>
    <s v="Fuentes Fijas"/>
    <s v="Nuevo León"/>
    <s v="19"/>
    <s v="19.01"/>
    <s v="Monterrey"/>
    <s v="19045"/>
    <x v="6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6"/>
    <x v="14"/>
  </r>
  <r>
    <s v="Fuentes Fijas"/>
    <s v="Nuevo León"/>
    <s v="19"/>
    <s v="19.01"/>
    <s v="Monterrey"/>
    <s v="19047"/>
    <x v="15"/>
  </r>
  <r>
    <s v="Fuentes Fijas"/>
    <s v="Nuevo León"/>
    <s v="19"/>
    <s v="19.01"/>
    <s v="Monterrey"/>
    <s v="19048"/>
    <x v="16"/>
  </r>
  <r>
    <s v="Fuentes Fijas"/>
    <s v="Nuevo León"/>
    <s v="19"/>
    <s v="19.01"/>
    <s v="Monterrey"/>
    <s v="19048"/>
    <x v="16"/>
  </r>
  <r>
    <s v="Fuentes Fijas"/>
    <s v="Nuevo León"/>
    <s v="19"/>
    <s v="19.01"/>
    <s v="Monterrey"/>
    <s v="19048"/>
    <x v="16"/>
  </r>
  <r>
    <s v="Fuentes Fijas"/>
    <s v="Nuevo León"/>
    <s v="19"/>
    <s v="19.01"/>
    <s v="Monterrey"/>
    <s v="19048"/>
    <x v="16"/>
  </r>
  <r>
    <s v="Fuentes Fijas"/>
    <s v="Nuevo León"/>
    <s v="19"/>
    <s v="19.01"/>
    <s v="Monterrey"/>
    <s v="19048"/>
    <x v="16"/>
  </r>
  <r>
    <s v="Fuentes Fijas"/>
    <s v="Nuevo León"/>
    <s v="19"/>
    <s v="19.01"/>
    <s v="Monterrey"/>
    <s v="19048"/>
    <x v="16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m/>
    <s v="Monterrey"/>
    <s v="19001"/>
    <x v="0"/>
  </r>
  <r>
    <s v="Fuentes de Área"/>
    <s v="Nuevo León"/>
    <s v="19"/>
    <m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s v="Fuentes de Área"/>
    <s v="Nuevo León"/>
    <s v="19"/>
    <s v="19.01"/>
    <s v="Monterrey"/>
    <s v="19001"/>
    <x v="0"/>
  </r>
  <r>
    <s v="Fuentes de Área"/>
    <s v="Nuevo León"/>
    <s v="19"/>
    <s v="19.01"/>
    <s v="Monterrey"/>
    <s v="19006"/>
    <x v="1"/>
  </r>
  <r>
    <s v="Fuentes de Área"/>
    <s v="Nuevo León"/>
    <s v="19"/>
    <s v="19.01"/>
    <s v="Monterrey"/>
    <s v="19009"/>
    <x v="2"/>
  </r>
  <r>
    <s v="Fuentes de Área"/>
    <s v="Nuevo León"/>
    <s v="19"/>
    <s v="19.01"/>
    <s v="Monterrey"/>
    <s v="19010"/>
    <x v="3"/>
  </r>
  <r>
    <s v="Fuentes de Área"/>
    <s v="Nuevo León"/>
    <s v="19"/>
    <s v="19.01"/>
    <s v="Monterrey"/>
    <s v="19012"/>
    <x v="4"/>
  </r>
  <r>
    <s v="Fuentes de Área"/>
    <s v="Nuevo León"/>
    <s v="19"/>
    <s v="19.01"/>
    <s v="Monterrey"/>
    <s v="19018"/>
    <x v="5"/>
  </r>
  <r>
    <s v="Fuentes de Área"/>
    <s v="Nuevo León"/>
    <s v="19"/>
    <s v="19.01"/>
    <s v="Monterrey"/>
    <s v="19019"/>
    <x v="6"/>
  </r>
  <r>
    <s v="Fuentes de Área"/>
    <s v="Nuevo León"/>
    <s v="19"/>
    <s v="19.01"/>
    <s v="Monterrey"/>
    <s v="19021"/>
    <x v="7"/>
  </r>
  <r>
    <s v="Fuentes de Área"/>
    <s v="Nuevo León"/>
    <s v="19"/>
    <s v="19.01"/>
    <s v="Monterrey"/>
    <s v="19025"/>
    <x v="8"/>
  </r>
  <r>
    <s v="Fuentes de Área"/>
    <s v="Nuevo León"/>
    <s v="19"/>
    <s v="19.01"/>
    <s v="Monterrey"/>
    <s v="19026"/>
    <x v="9"/>
  </r>
  <r>
    <s v="Fuentes de Área"/>
    <s v="Nuevo León"/>
    <s v="19"/>
    <s v="19.01"/>
    <s v="Monterrey"/>
    <s v="19031"/>
    <x v="10"/>
  </r>
  <r>
    <s v="Fuentes de Área"/>
    <s v="Nuevo León"/>
    <s v="19"/>
    <s v="19.01"/>
    <s v="Monterrey"/>
    <s v="19039"/>
    <x v="11"/>
  </r>
  <r>
    <s v="Fuentes de Área"/>
    <s v="Nuevo León"/>
    <s v="19"/>
    <s v="19.01"/>
    <s v="Monterrey"/>
    <s v="19041"/>
    <x v="12"/>
  </r>
  <r>
    <s v="Fuentes de Área"/>
    <s v="Nuevo León"/>
    <s v="19"/>
    <s v="19.01"/>
    <s v="Monterrey"/>
    <s v="19045"/>
    <x v="13"/>
  </r>
  <r>
    <s v="Fuentes de Área"/>
    <s v="Nuevo León"/>
    <s v="19"/>
    <s v="19.01"/>
    <s v="Monterrey"/>
    <s v="19046"/>
    <x v="14"/>
  </r>
  <r>
    <s v="Fuentes de Área"/>
    <s v="Nuevo León"/>
    <s v="19"/>
    <s v="19.01"/>
    <s v="Monterrey"/>
    <s v="19047"/>
    <x v="15"/>
  </r>
  <r>
    <s v="Fuentes de Área"/>
    <s v="Nuevo León"/>
    <s v="19"/>
    <s v="19.01"/>
    <s v="Monterrey"/>
    <s v="19048"/>
    <x v="16"/>
  </r>
  <r>
    <s v="Fuentes de Área"/>
    <s v="Nuevo León"/>
    <s v="19"/>
    <s v="19.01"/>
    <s v="Monterrey"/>
    <s v="19049"/>
    <x v="17"/>
  </r>
  <r>
    <m/>
    <m/>
    <m/>
    <m/>
    <m/>
    <m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17">
  <r>
    <x v="0"/>
    <s v="Nuevo León"/>
    <s v="19"/>
    <s v="19.01"/>
    <s v="Monterrey"/>
    <s v="19001"/>
    <s v="Abasol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02"/>
    <s v="Agualegua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03"/>
    <s v="Los Aldama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04"/>
    <s v="Allende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05"/>
    <s v="Anáhuac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06"/>
    <s v="Apodaca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07"/>
    <s v="Aramberri"/>
    <x v="0"/>
    <s v="Combustión Agrícola"/>
    <n v="0.10796491100838114"/>
    <n v="0.10796491100838114"/>
    <n v="1.3271596038436063E-2"/>
    <n v="0.8843311802062066"/>
    <n v="1.5526425301330344"/>
    <n v="5.4229978226385693E-2"/>
    <n v="0"/>
    <s v="Estatal"/>
  </r>
  <r>
    <x v="0"/>
    <s v="Nuevo León"/>
    <s v="19"/>
    <m/>
    <m/>
    <s v="19008"/>
    <s v="Bustamante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09"/>
    <s v="Cadereyta Jiménez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10"/>
    <s v="El Carmen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11"/>
    <s v="Cerralvo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12"/>
    <s v="Ciénega de Flore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13"/>
    <s v="China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14"/>
    <s v="Doctor Arroy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15"/>
    <s v="Doctor Cos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16"/>
    <s v="Doctor González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17"/>
    <s v="Galeana"/>
    <x v="0"/>
    <s v="Combustión Agrícola"/>
    <n v="0.27458670741496388"/>
    <n v="0.27458670741496388"/>
    <n v="3.3753594795745662E-2"/>
    <n v="2.2491157985427432"/>
    <n v="3.94882926461703"/>
    <n v="0.13792287721343538"/>
    <n v="0"/>
    <s v="Estatal"/>
  </r>
  <r>
    <x v="0"/>
    <s v="Nuevo León"/>
    <s v="19"/>
    <s v="19.01"/>
    <s v="Monterrey"/>
    <s v="19018"/>
    <s v="Garcí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19"/>
    <s v="San Pedro Garza García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0"/>
    <s v="General Bravo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21"/>
    <s v="General Escobed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2"/>
    <s v="General Terán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3"/>
    <s v="General Treviñ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4"/>
    <s v="General Zaragoz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25"/>
    <s v="General Zuazu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26"/>
    <s v="Guadalupe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7"/>
    <s v="Los Herrera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8"/>
    <s v="Higuera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29"/>
    <s v="Hualahuises"/>
    <x v="0"/>
    <s v="Combustión Agrícola"/>
    <n v="6.8123826485465006E-4"/>
    <n v="6.8123826485465006E-4"/>
    <n v="8.3741272721228721E-5"/>
    <n v="5.5799632781966977E-3"/>
    <n v="9.7968820914903828E-3"/>
    <n v="3.421809542100264E-4"/>
    <n v="0"/>
    <s v="Estatal"/>
  </r>
  <r>
    <x v="0"/>
    <s v="Nuevo León"/>
    <s v="19"/>
    <m/>
    <m/>
    <s v="19030"/>
    <s v="Iturbide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31"/>
    <s v="Juárez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32"/>
    <s v="Lampazos de Naranjo"/>
    <x v="0"/>
    <s v="Combustión Agrícola"/>
    <n v="5.6769855404554181E-3"/>
    <n v="5.6769855404554181E-3"/>
    <n v="6.9784393934357273E-4"/>
    <n v="4.649969398497248E-2"/>
    <n v="8.1640684095753202E-2"/>
    <n v="2.8515079517502208E-3"/>
    <n v="0"/>
    <s v="Estatal"/>
  </r>
  <r>
    <x v="0"/>
    <s v="Nuevo León"/>
    <s v="19"/>
    <m/>
    <m/>
    <s v="19033"/>
    <s v="Linare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34"/>
    <s v="Marín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35"/>
    <s v="Melchor Ocamp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36"/>
    <s v="Mier y Noriega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37"/>
    <s v="Mina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38"/>
    <s v="Montemorelos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39"/>
    <s v="Monterrey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40"/>
    <s v="Parás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41"/>
    <s v="Pesquería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42"/>
    <s v="Los Ramone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43"/>
    <s v="Rayones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44"/>
    <s v="Sabinas Hidalgo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45"/>
    <s v="Salinas Victori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46"/>
    <s v="San Nicolás de los Garz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47"/>
    <s v="Hidalgo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48"/>
    <s v="Santa Catarin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49"/>
    <s v="Santiag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50"/>
    <s v="Vallecillo"/>
    <x v="0"/>
    <s v="Combustión Agrícola"/>
    <n v="0"/>
    <n v="0"/>
    <n v="0"/>
    <n v="0"/>
    <n v="0"/>
    <n v="0"/>
    <n v="0"/>
    <s v="Estatal"/>
  </r>
  <r>
    <x v="0"/>
    <s v="Nuevo León"/>
    <s v="19"/>
    <m/>
    <m/>
    <s v="19051"/>
    <s v="Villaldama"/>
    <x v="0"/>
    <s v="Combustión Agrícola"/>
    <n v="0"/>
    <n v="0"/>
    <n v="0"/>
    <n v="0"/>
    <n v="0"/>
    <n v="0"/>
    <n v="0"/>
    <s v="Estatal"/>
  </r>
  <r>
    <x v="0"/>
    <s v="Nuevo León"/>
    <s v="19"/>
    <s v="19.01"/>
    <s v="Monterrey"/>
    <s v="19001"/>
    <s v="Abasolo"/>
    <x v="0"/>
    <s v="Combustión Doméstica"/>
    <n v="0.29122564894441072"/>
    <n v="0.28180139706032864"/>
    <n v="1.1969003684427947E-2"/>
    <n v="2.4265818773929677"/>
    <n v="0.60519823534717099"/>
    <n v="0.97713770858609206"/>
    <n v="1.5902545152450633E-2"/>
    <s v="Estatal"/>
  </r>
  <r>
    <x v="0"/>
    <s v="Nuevo León"/>
    <s v="19"/>
    <m/>
    <m/>
    <s v="19002"/>
    <s v="Agualeguas"/>
    <x v="0"/>
    <s v="Combustión Doméstica"/>
    <n v="0.16105747211420926"/>
    <n v="0.15677293542224438"/>
    <n v="8.9642282850076228E-3"/>
    <n v="1.3379284102192979"/>
    <n v="0.68726951000583969"/>
    <n v="0.4586296303887672"/>
    <n v="7.2297556388943992E-3"/>
    <s v="Estatal"/>
  </r>
  <r>
    <x v="0"/>
    <s v="Nuevo León"/>
    <s v="19"/>
    <m/>
    <m/>
    <s v="19003"/>
    <s v="Los Aldamas"/>
    <x v="0"/>
    <s v="Combustión Doméstica"/>
    <n v="0.30198056426896919"/>
    <n v="0.29168176095935477"/>
    <n v="1.107968308680007E-2"/>
    <n v="2.5184956827178007"/>
    <n v="0.42737730779288763"/>
    <n v="1.0596416844102039"/>
    <n v="1.7378269029924627E-2"/>
    <s v="Estatal"/>
  </r>
  <r>
    <x v="0"/>
    <s v="Nuevo León"/>
    <s v="19"/>
    <m/>
    <m/>
    <s v="19004"/>
    <s v="Allende"/>
    <x v="0"/>
    <s v="Combustión Doméstica"/>
    <n v="2.598853402897654"/>
    <n v="2.5131930905689512"/>
    <n v="9.8915268534750619E-2"/>
    <n v="21.918324794775828"/>
    <n v="4.6978531915508439"/>
    <n v="8.877223028848924"/>
    <n v="0.15033531444255488"/>
    <s v="Estatal"/>
  </r>
  <r>
    <x v="0"/>
    <s v="Nuevo León"/>
    <s v="19"/>
    <m/>
    <m/>
    <s v="19005"/>
    <s v="Anáhuac"/>
    <x v="0"/>
    <s v="Combustión Doméstica"/>
    <n v="3.1718805522466909"/>
    <n v="3.0594303824823328"/>
    <n v="0.10351209834006163"/>
    <n v="26.60551410891674"/>
    <n v="2.8063499243990586"/>
    <n v="11.517334429419146"/>
    <n v="0.19275871356267116"/>
    <s v="Estatal"/>
  </r>
  <r>
    <x v="0"/>
    <s v="Nuevo León"/>
    <s v="19"/>
    <s v="19.01"/>
    <s v="Monterrey"/>
    <s v="19006"/>
    <s v="Apodaca"/>
    <x v="0"/>
    <s v="Combustión Doméstica"/>
    <n v="13.931175906433502"/>
    <n v="13.588630557479757"/>
    <n v="0.78430556429963183"/>
    <n v="119.64240311648521"/>
    <n v="68.389852019980864"/>
    <n v="37.509164173389969"/>
    <n v="0.66895785175391032"/>
    <s v="Estatal"/>
  </r>
  <r>
    <x v="0"/>
    <s v="Nuevo León"/>
    <s v="19"/>
    <m/>
    <m/>
    <s v="19007"/>
    <s v="Aramberri"/>
    <x v="0"/>
    <s v="Combustión Doméstica"/>
    <n v="52.411253211535623"/>
    <n v="50.461163996970051"/>
    <n v="1.5100108733147726"/>
    <n v="437.92719308871654"/>
    <n v="12.292944194926514"/>
    <n v="198.25734124120973"/>
    <n v="3.2930839204778977"/>
    <s v="Estatal"/>
  </r>
  <r>
    <x v="0"/>
    <s v="Nuevo León"/>
    <s v="19"/>
    <m/>
    <m/>
    <s v="19008"/>
    <s v="Bustamante"/>
    <x v="0"/>
    <s v="Combustión Doméstica"/>
    <n v="0.86465156578004099"/>
    <n v="0.83375995535237624"/>
    <n v="2.7698698975074407E-2"/>
    <n v="7.2482946806485016"/>
    <n v="0.67690035967235662"/>
    <n v="3.1601629625313903"/>
    <n v="5.2825860086990424E-2"/>
    <s v="Estatal"/>
  </r>
  <r>
    <x v="0"/>
    <s v="Nuevo León"/>
    <s v="19"/>
    <s v="19.01"/>
    <s v="Monterrey"/>
    <s v="19009"/>
    <s v="Cadereyta Jiménez"/>
    <x v="0"/>
    <s v="Combustión Doméstica"/>
    <n v="8.2943279768750884"/>
    <n v="8.0160031032564802"/>
    <n v="0.30493792779856049"/>
    <n v="69.86204320990845"/>
    <n v="13.164489602320304"/>
    <n v="28.758508010425537"/>
    <n v="0.48559429462697051"/>
    <s v="Estatal"/>
  </r>
  <r>
    <x v="0"/>
    <s v="Nuevo León"/>
    <s v="19"/>
    <s v="19.01"/>
    <s v="Monterrey"/>
    <s v="19010"/>
    <s v="El Carmen"/>
    <x v="0"/>
    <s v="Combustión Doméstica"/>
    <n v="2.7952792945782137"/>
    <n v="2.7027629854280946"/>
    <n v="0.10555983273791265"/>
    <n v="23.567938284187019"/>
    <n v="4.9115425549614145"/>
    <n v="9.5811536573567793"/>
    <n v="0.1621463587708262"/>
    <s v="Estatal"/>
  </r>
  <r>
    <x v="0"/>
    <s v="Nuevo León"/>
    <s v="19"/>
    <m/>
    <m/>
    <s v="19011"/>
    <s v="Cerralvo"/>
    <x v="0"/>
    <s v="Combustión Doméstica"/>
    <n v="1.361489400627413"/>
    <n v="1.3135334552592592"/>
    <n v="4.511039616474264E-2"/>
    <n v="11.425836128494289"/>
    <n v="1.3201100841248774"/>
    <n v="4.9167260979547773"/>
    <n v="8.2373405286947171E-2"/>
    <s v="Estatal"/>
  </r>
  <r>
    <x v="0"/>
    <s v="Nuevo León"/>
    <s v="19"/>
    <s v="19.01"/>
    <s v="Monterrey"/>
    <s v="19012"/>
    <s v="Ciénega de Flores"/>
    <x v="0"/>
    <s v="Combustión Doméstica"/>
    <n v="2.9733092565292076"/>
    <n v="2.875680766383673"/>
    <n v="0.11398277545662196"/>
    <n v="25.083308164001263"/>
    <n v="5.5133635488357839"/>
    <n v="10.123967523184843"/>
    <n v="0.17155683351898635"/>
    <s v="Estatal"/>
  </r>
  <r>
    <x v="0"/>
    <s v="Nuevo León"/>
    <s v="19"/>
    <m/>
    <m/>
    <s v="19013"/>
    <s v="China"/>
    <x v="0"/>
    <s v="Combustión Doméstica"/>
    <n v="2.5170723391599372"/>
    <n v="2.4269352839094864"/>
    <n v="8.0179482647472419E-2"/>
    <n v="21.096432612517869"/>
    <n v="1.8931285771617823"/>
    <n v="9.2175470344482022"/>
    <n v="0.15402350247282195"/>
    <s v="Estatal"/>
  </r>
  <r>
    <x v="0"/>
    <s v="Nuevo León"/>
    <s v="19"/>
    <m/>
    <m/>
    <s v="19014"/>
    <s v="Doctor Arroyo"/>
    <x v="0"/>
    <s v="Combustión Doméstica"/>
    <n v="96.128881830675368"/>
    <n v="92.552642775081679"/>
    <n v="2.7705783739942422"/>
    <n v="803.22271132943933"/>
    <n v="22.721555849733555"/>
    <n v="363.58833874602919"/>
    <n v="6.0393804031129985"/>
    <s v="Estatal"/>
  </r>
  <r>
    <x v="0"/>
    <s v="Nuevo León"/>
    <s v="19"/>
    <m/>
    <m/>
    <s v="19015"/>
    <s v="Doctor Coss"/>
    <x v="0"/>
    <s v="Combustión Doméstica"/>
    <n v="0.97082002034823489"/>
    <n v="0.93569744085527373"/>
    <n v="3.0528033569018641E-2"/>
    <n v="8.10536543721763"/>
    <n v="0.60843995295221232"/>
    <n v="3.584098868988292"/>
    <n v="5.9266073649914604E-2"/>
    <s v="Estatal"/>
  </r>
  <r>
    <x v="0"/>
    <s v="Nuevo León"/>
    <s v="19"/>
    <m/>
    <m/>
    <s v="19016"/>
    <s v="Doctor González"/>
    <x v="0"/>
    <s v="Combustión Doméstica"/>
    <n v="1.034046181468991"/>
    <n v="0.99719916591809277"/>
    <n v="3.3939747764824807E-2"/>
    <n v="8.6307800983259177"/>
    <n v="0.86209814636456006"/>
    <n v="3.7678859614645441"/>
    <n v="6.2175898494492211E-2"/>
    <s v="Estatal"/>
  </r>
  <r>
    <x v="0"/>
    <s v="Nuevo León"/>
    <s v="19"/>
    <m/>
    <m/>
    <s v="19017"/>
    <s v="Galeana"/>
    <x v="0"/>
    <s v="Combustión Doméstica"/>
    <n v="74.881863518549366"/>
    <n v="72.101253507724763"/>
    <n v="2.1695041542466713"/>
    <n v="625.78483410575768"/>
    <n v="19.620553189745536"/>
    <n v="282.77767306232221"/>
    <n v="4.6984300411840456"/>
    <s v="Estatal"/>
  </r>
  <r>
    <x v="0"/>
    <s v="Nuevo León"/>
    <s v="19"/>
    <s v="19.01"/>
    <s v="Monterrey"/>
    <s v="19018"/>
    <s v="García"/>
    <x v="0"/>
    <s v="Combustión Doméstica"/>
    <n v="16.097052587099707"/>
    <n v="15.572103901446335"/>
    <n v="0.62492234082030329"/>
    <n v="135.86353791740316"/>
    <n v="31.181150988480027"/>
    <n v="54.498838982932064"/>
    <n v="0.92455957536462885"/>
    <s v="Estatal"/>
  </r>
  <r>
    <x v="0"/>
    <s v="Nuevo León"/>
    <s v="19"/>
    <s v="19.01"/>
    <s v="Monterrey"/>
    <s v="19019"/>
    <s v="San Pedro Garza García"/>
    <x v="0"/>
    <s v="Combustión Doméstica"/>
    <n v="2.4232091890553509"/>
    <n v="2.3717781544279148"/>
    <n v="0.1541799159314117"/>
    <n v="20.960990017060681"/>
    <n v="14.915563004179006"/>
    <n v="5.8200993477525769"/>
    <n v="0.10679086103081503"/>
    <s v="Estatal"/>
  </r>
  <r>
    <x v="0"/>
    <s v="Nuevo León"/>
    <s v="19"/>
    <m/>
    <m/>
    <s v="19020"/>
    <s v="General Bravo"/>
    <x v="0"/>
    <s v="Combustión Doméstica"/>
    <n v="1.0382400246247123"/>
    <n v="1.0014211789864669"/>
    <n v="3.3858854810921463E-2"/>
    <n v="8.7084538288938589"/>
    <n v="0.91455086915072248"/>
    <n v="3.7708700672004993"/>
    <n v="6.3107176787279659E-2"/>
    <s v="Estatal"/>
  </r>
  <r>
    <x v="0"/>
    <s v="Nuevo León"/>
    <s v="19"/>
    <s v="19.01"/>
    <s v="Monterrey"/>
    <s v="19021"/>
    <s v="General Escobedo"/>
    <x v="0"/>
    <s v="Combustión Doméstica"/>
    <n v="18.62206180338022"/>
    <n v="18.050641149011145"/>
    <n v="0.80108770281131991"/>
    <n v="157.8363168654364"/>
    <n v="49.360720623504562"/>
    <n v="59.948315867816177"/>
    <n v="1.0274798946981158"/>
    <s v="Estatal"/>
  </r>
  <r>
    <x v="0"/>
    <s v="Nuevo León"/>
    <s v="19"/>
    <m/>
    <m/>
    <s v="19022"/>
    <s v="General Terán"/>
    <x v="0"/>
    <s v="Combustión Doméstica"/>
    <n v="7.5999444451094913"/>
    <n v="7.3216213245904269"/>
    <n v="0.22865678365765127"/>
    <n v="63.584094631682461"/>
    <n v="3.4315285154789268"/>
    <n v="28.363901802123753"/>
    <n v="0.47229191729098063"/>
    <s v="Estatal"/>
  </r>
  <r>
    <x v="0"/>
    <s v="Nuevo León"/>
    <s v="19"/>
    <m/>
    <m/>
    <s v="19023"/>
    <s v="General Treviño"/>
    <x v="0"/>
    <s v="Combustión Doméstica"/>
    <n v="0.22732104640994519"/>
    <n v="0.2196119970389748"/>
    <n v="8.450544301866536E-3"/>
    <n v="1.895650506460937"/>
    <n v="0.33827296890090541"/>
    <n v="0.79382388416591565"/>
    <n v="1.3008301052669612E-2"/>
    <s v="Estatal"/>
  </r>
  <r>
    <x v="0"/>
    <s v="Nuevo León"/>
    <s v="19"/>
    <m/>
    <m/>
    <s v="19024"/>
    <s v="General Zaragoza"/>
    <x v="0"/>
    <s v="Combustión Doméstica"/>
    <n v="23.356738332682919"/>
    <n v="22.487283298164748"/>
    <n v="0.67203215820018913"/>
    <n v="195.15192854357366"/>
    <n v="5.3262595944786861"/>
    <n v="88.387563693719656"/>
    <n v="1.4680244084090766"/>
    <s v="Estatal"/>
  </r>
  <r>
    <x v="0"/>
    <s v="Nuevo León"/>
    <s v="19"/>
    <s v="19.01"/>
    <s v="Monterrey"/>
    <s v="19025"/>
    <s v="General Zuazua"/>
    <x v="0"/>
    <s v="Combustión Doméstica"/>
    <n v="4.7628228938447394"/>
    <n v="4.6051531721363519"/>
    <n v="0.1797905354938458"/>
    <n v="40.156290806546046"/>
    <n v="8.3565023530144362"/>
    <n v="16.32798672061352"/>
    <n v="0.27631538479318862"/>
    <s v="Estatal"/>
  </r>
  <r>
    <x v="0"/>
    <s v="Nuevo León"/>
    <s v="19"/>
    <s v="19.01"/>
    <s v="Monterrey"/>
    <s v="19026"/>
    <s v="Guadalupe"/>
    <x v="0"/>
    <s v="Combustión Doméstica"/>
    <n v="22.05246714493299"/>
    <n v="21.438288434757638"/>
    <n v="1.084809397453766"/>
    <n v="188.06331559120832"/>
    <n v="81.607560043784176"/>
    <n v="65.591243130889524"/>
    <n v="1.1433833097579933"/>
    <s v="Estatal"/>
  </r>
  <r>
    <x v="0"/>
    <s v="Nuevo León"/>
    <s v="19"/>
    <m/>
    <m/>
    <s v="19027"/>
    <s v="Los Herreras"/>
    <x v="0"/>
    <s v="Combustión Doméstica"/>
    <n v="0.49289304219609659"/>
    <n v="0.47577186776596853"/>
    <n v="1.729673404449944E-2"/>
    <n v="4.1120525592959325"/>
    <n v="0.57915660207412478"/>
    <n v="1.7570068316425316"/>
    <n v="2.8890383320290133E-2"/>
    <s v="Estatal"/>
  </r>
  <r>
    <x v="0"/>
    <s v="Nuevo León"/>
    <s v="19"/>
    <m/>
    <m/>
    <s v="19028"/>
    <s v="Higueras"/>
    <x v="0"/>
    <s v="Combustión Doméstica"/>
    <n v="0.5980392584910349"/>
    <n v="0.57664464090761525"/>
    <n v="1.941611721694635E-2"/>
    <n v="4.9919682723927741"/>
    <n v="0.46658433053376958"/>
    <n v="2.1865746265269244"/>
    <n v="3.6101419648429438E-2"/>
    <s v="Estatal"/>
  </r>
  <r>
    <x v="0"/>
    <s v="Nuevo León"/>
    <s v="19"/>
    <m/>
    <m/>
    <s v="19029"/>
    <s v="Hualahuises"/>
    <x v="0"/>
    <s v="Combustión Doméstica"/>
    <n v="4.537963219351532"/>
    <n v="4.370950939557571"/>
    <n v="0.13473711476727049"/>
    <n v="37.951153961073835"/>
    <n v="1.7436743446766352"/>
    <n v="17.007429859784484"/>
    <n v="0.28297465646414283"/>
    <s v="Estatal"/>
  </r>
  <r>
    <x v="0"/>
    <s v="Nuevo León"/>
    <s v="19"/>
    <m/>
    <m/>
    <s v="19030"/>
    <s v="Iturbide"/>
    <x v="0"/>
    <s v="Combustión Doméstica"/>
    <n v="10.662808503075613"/>
    <n v="10.266199950384072"/>
    <n v="0.30748103863056936"/>
    <n v="89.096495867914271"/>
    <n v="2.5481098776667315"/>
    <n v="40.323466048049845"/>
    <n v="0.66981293325203373"/>
    <s v="Estatal"/>
  </r>
  <r>
    <x v="0"/>
    <s v="Nuevo León"/>
    <s v="19"/>
    <s v="19.01"/>
    <s v="Monterrey"/>
    <s v="19031"/>
    <s v="Juárez"/>
    <x v="0"/>
    <s v="Combustión Doméstica"/>
    <n v="24.3104921282651"/>
    <n v="23.502819293440869"/>
    <n v="0.91139019422530376"/>
    <n v="204.91325807826283"/>
    <n v="41.582094820543951"/>
    <n v="83.591490559955147"/>
    <n v="1.4137698301918691"/>
    <s v="Estatal"/>
  </r>
  <r>
    <x v="0"/>
    <s v="Nuevo León"/>
    <s v="19"/>
    <m/>
    <m/>
    <s v="19032"/>
    <s v="Lampazos de Naranjo"/>
    <x v="0"/>
    <s v="Combustión Doméstica"/>
    <n v="1.309902355568294"/>
    <n v="1.2628033372579717"/>
    <n v="4.1309270049335163E-2"/>
    <n v="10.97524831237742"/>
    <n v="0.91440925030251963"/>
    <n v="4.8133864208300698"/>
    <n v="8.0379980527985687E-2"/>
    <s v="Estatal"/>
  </r>
  <r>
    <x v="0"/>
    <s v="Nuevo León"/>
    <s v="19"/>
    <m/>
    <m/>
    <s v="19033"/>
    <s v="Linares"/>
    <x v="0"/>
    <s v="Combustión Doméstica"/>
    <n v="59.488862296444857"/>
    <n v="57.294901732153527"/>
    <n v="1.7563301108744485"/>
    <n v="497.42354660886957"/>
    <n v="21.164832406878233"/>
    <n v="223.34795017108081"/>
    <n v="3.7149287042547061"/>
    <s v="Estatal"/>
  </r>
  <r>
    <x v="0"/>
    <s v="Nuevo León"/>
    <s v="19"/>
    <m/>
    <m/>
    <s v="19034"/>
    <s v="Marín"/>
    <x v="0"/>
    <s v="Combustión Doméstica"/>
    <n v="0.2974153819559277"/>
    <n v="0.28799643642085698"/>
    <n v="1.2156684179441244E-2"/>
    <n v="2.5154301811024165"/>
    <n v="0.67991544201565757"/>
    <n v="0.98273205012545306"/>
    <n v="1.6753593480151253E-2"/>
    <s v="Estatal"/>
  </r>
  <r>
    <x v="0"/>
    <s v="Nuevo León"/>
    <s v="19"/>
    <m/>
    <m/>
    <s v="19035"/>
    <s v="Melchor Ocampo"/>
    <x v="0"/>
    <s v="Combustión Doméstica"/>
    <n v="0.15496436699128968"/>
    <n v="0.14982419104430345"/>
    <n v="6.0516841694318556E-3"/>
    <n v="1.2917589137524954"/>
    <n v="0.27434736970889761"/>
    <n v="0.53100364245792386"/>
    <n v="8.673566994379156E-3"/>
    <s v="Estatal"/>
  </r>
  <r>
    <x v="0"/>
    <s v="Nuevo León"/>
    <s v="19"/>
    <m/>
    <m/>
    <s v="19036"/>
    <s v="Mier y Noriega"/>
    <x v="0"/>
    <s v="Combustión Doméstica"/>
    <n v="24.591336493788358"/>
    <n v="23.675967049597382"/>
    <n v="0.70764980518653808"/>
    <n v="205.46811411408578"/>
    <n v="5.6239313138600249"/>
    <n v="93.055820001613796"/>
    <n v="1.5455701461094522"/>
    <s v="Estatal"/>
  </r>
  <r>
    <x v="0"/>
    <s v="Nuevo León"/>
    <s v="19"/>
    <m/>
    <m/>
    <s v="19037"/>
    <s v="Mina"/>
    <x v="0"/>
    <s v="Combustión Doméstica"/>
    <n v="3.0288245793624178"/>
    <n v="2.9174815190009959"/>
    <n v="9.0207516299431814E-2"/>
    <n v="25.33253464035743"/>
    <n v="1.2111584618966533"/>
    <n v="11.340417422414596"/>
    <n v="0.18871908686139285"/>
    <s v="Estatal"/>
  </r>
  <r>
    <x v="0"/>
    <s v="Nuevo León"/>
    <s v="19"/>
    <m/>
    <m/>
    <s v="19038"/>
    <s v="Montemorelos"/>
    <x v="0"/>
    <s v="Combustión Doméstica"/>
    <n v="27.16021062262401"/>
    <n v="26.167351785514839"/>
    <n v="0.8210707840157504"/>
    <n v="227.2658992160429"/>
    <n v="12.928384422662202"/>
    <n v="101.21005703389424"/>
    <n v="1.6857387630278431"/>
    <s v="Estatal"/>
  </r>
  <r>
    <x v="0"/>
    <s v="Nuevo León"/>
    <s v="19"/>
    <s v="19.01"/>
    <s v="Monterrey"/>
    <s v="19039"/>
    <s v="Monterrey"/>
    <x v="0"/>
    <s v="Combustión Doméstica"/>
    <n v="41.363363304498939"/>
    <n v="40.160983415199681"/>
    <n v="1.9250193560906141"/>
    <n v="351.8182857319548"/>
    <n v="134.40794946217241"/>
    <n v="127.38066987810537"/>
    <n v="2.2037557036469972"/>
    <s v="Estatal"/>
  </r>
  <r>
    <x v="0"/>
    <s v="Nuevo León"/>
    <s v="19"/>
    <m/>
    <m/>
    <s v="19040"/>
    <s v="Parás"/>
    <x v="0"/>
    <s v="Combustión Doméstica"/>
    <n v="0.29360961330088892"/>
    <n v="0.28332031869626795"/>
    <n v="1.0074726694415623E-2"/>
    <n v="2.4498884056479531"/>
    <n v="0.31060975114807488"/>
    <n v="1.0545987147645908"/>
    <n v="1.736222397803525E-2"/>
    <s v="Estatal"/>
  </r>
  <r>
    <x v="0"/>
    <s v="Nuevo León"/>
    <s v="19"/>
    <s v="19.01"/>
    <s v="Monterrey"/>
    <s v="19041"/>
    <s v="Pesquería"/>
    <x v="0"/>
    <s v="Combustión Doméstica"/>
    <n v="5.5978733522859896"/>
    <n v="5.4162797358324024"/>
    <n v="0.21941546408005425"/>
    <n v="47.265302951747778"/>
    <n v="11.199588115423474"/>
    <n v="18.869333657864363"/>
    <n v="0.32039434021041024"/>
    <s v="Estatal"/>
  </r>
  <r>
    <x v="0"/>
    <s v="Nuevo León"/>
    <s v="19"/>
    <m/>
    <m/>
    <s v="19042"/>
    <s v="Los Ramones"/>
    <x v="0"/>
    <s v="Combustión Doméstica"/>
    <n v="2.3868308527994073"/>
    <n v="2.2994953665391349"/>
    <n v="7.1973532012405944E-2"/>
    <n v="19.970541983735863"/>
    <n v="1.1052532198857614"/>
    <n v="8.9015121779148618"/>
    <n v="0.14824053438284152"/>
    <s v="Estatal"/>
  </r>
  <r>
    <x v="0"/>
    <s v="Nuevo León"/>
    <s v="19"/>
    <m/>
    <m/>
    <s v="19043"/>
    <s v="Rayones"/>
    <x v="0"/>
    <s v="Combustión Doméstica"/>
    <n v="9.1791464119072721"/>
    <n v="8.8383449366628515"/>
    <n v="0.26660503412503178"/>
    <n v="76.674673240777793"/>
    <n v="2.4392027996587031"/>
    <n v="34.656224073079031"/>
    <n v="0.57507067030436321"/>
    <s v="Estatal"/>
  </r>
  <r>
    <x v="0"/>
    <s v="Nuevo León"/>
    <s v="19"/>
    <m/>
    <m/>
    <s v="19044"/>
    <s v="Sabinas Hidalgo"/>
    <x v="0"/>
    <s v="Combustión Doméstica"/>
    <n v="1.6845274829605219"/>
    <n v="1.6339840037851885"/>
    <n v="7.4963161284089919E-2"/>
    <n v="14.298763797180559"/>
    <n v="4.8898220572521272"/>
    <n v="5.3237898666537511"/>
    <n v="9.1598045922847621E-2"/>
    <s v="Estatal"/>
  </r>
  <r>
    <x v="0"/>
    <s v="Nuevo León"/>
    <s v="19"/>
    <s v="19.01"/>
    <s v="Monterrey"/>
    <s v="19045"/>
    <s v="Salinas Victoria"/>
    <x v="0"/>
    <s v="Combustión Doméstica"/>
    <n v="7.7681768297702725"/>
    <n v="7.4950001090863374"/>
    <n v="0.25834952880504969"/>
    <n v="65.199892339001323"/>
    <n v="7.6961820093952849"/>
    <n v="28.014826995725539"/>
    <n v="0.46947249709396394"/>
    <s v="Estatal"/>
  </r>
  <r>
    <x v="0"/>
    <s v="Nuevo León"/>
    <s v="19"/>
    <s v="19.01"/>
    <s v="Monterrey"/>
    <s v="19046"/>
    <s v="San Nicolás de los Garza"/>
    <x v="0"/>
    <s v="Combustión Doméstica"/>
    <n v="10.311745789492539"/>
    <n v="10.062544147073195"/>
    <n v="0.59000762846759891"/>
    <n v="88.638440315030579"/>
    <n v="52.232190666962957"/>
    <n v="27.388349978292162"/>
    <n v="0.49005319198584102"/>
    <s v="Estatal"/>
  </r>
  <r>
    <x v="0"/>
    <s v="Nuevo León"/>
    <s v="19"/>
    <s v="19.01"/>
    <s v="Monterrey"/>
    <s v="19047"/>
    <s v="Hidalgo"/>
    <x v="0"/>
    <s v="Combustión Doméstica"/>
    <n v="0.75905980494855452"/>
    <n v="0.73508010028737081"/>
    <n v="3.1154414134295001E-2"/>
    <n v="6.4209857325832793"/>
    <n v="1.7571858373950164"/>
    <n v="2.5030042922804454"/>
    <n v="4.2689831111577405E-2"/>
    <s v="Estatal"/>
  </r>
  <r>
    <x v="0"/>
    <s v="Nuevo León"/>
    <s v="19"/>
    <s v="19.01"/>
    <s v="Monterrey"/>
    <s v="19048"/>
    <s v="Santa Catarina"/>
    <x v="0"/>
    <s v="Combustión Doméstica"/>
    <n v="20.273359315196821"/>
    <n v="19.604537930825387"/>
    <n v="0.77033108926311211"/>
    <n v="170.97135650872895"/>
    <n v="36.42700418145143"/>
    <n v="69.30161379476101"/>
    <n v="1.1734463858239876"/>
    <s v="Estatal"/>
  </r>
  <r>
    <x v="0"/>
    <s v="Nuevo León"/>
    <s v="19"/>
    <s v="19.01"/>
    <s v="Monterrey"/>
    <s v="19049"/>
    <s v="Santiago"/>
    <x v="0"/>
    <s v="Combustión Doméstica"/>
    <n v="8.9938256291502192"/>
    <n v="8.6724508399817584"/>
    <n v="0.28800905457536563"/>
    <n v="75.393121640470184"/>
    <n v="7.0224370346472869"/>
    <n v="32.875305902533761"/>
    <n v="0.54952822783704092"/>
    <s v="Estatal"/>
  </r>
  <r>
    <x v="0"/>
    <s v="Nuevo León"/>
    <s v="19"/>
    <m/>
    <m/>
    <s v="19050"/>
    <s v="Vallecillo"/>
    <x v="0"/>
    <s v="Combustión Doméstica"/>
    <n v="1.4328402896939167"/>
    <n v="1.3805778137331626"/>
    <n v="4.3982389246686564E-2"/>
    <n v="11.964623607061126"/>
    <n v="0.73649770207383125"/>
    <n v="5.3272490995820778"/>
    <n v="8.8188048660767959E-2"/>
    <s v="Estatal"/>
  </r>
  <r>
    <x v="0"/>
    <s v="Nuevo León"/>
    <s v="19"/>
    <m/>
    <m/>
    <s v="19051"/>
    <s v="Villaldama"/>
    <x v="0"/>
    <s v="Combustión Doméstica"/>
    <n v="1.740177037089526"/>
    <n v="1.6768218412458937"/>
    <n v="5.3168783520242589E-2"/>
    <n v="14.56587371363948"/>
    <n v="0.92393503596414572"/>
    <n v="6.4623138171681607"/>
    <n v="0.10770383326128811"/>
    <s v="Estatal"/>
  </r>
  <r>
    <x v="0"/>
    <s v="Nuevo León"/>
    <s v="19"/>
    <s v="19.01"/>
    <s v="Monterrey"/>
    <s v="19001"/>
    <s v="Abasolo"/>
    <x v="1"/>
    <s v="Asfaltado"/>
    <m/>
    <m/>
    <m/>
    <m/>
    <m/>
    <n v="0.1215797869899277"/>
    <m/>
    <s v="Estatal"/>
  </r>
  <r>
    <x v="0"/>
    <s v="Nuevo León"/>
    <s v="19"/>
    <m/>
    <m/>
    <s v="19002"/>
    <s v="Agualeguas"/>
    <x v="1"/>
    <s v="Asfaltado"/>
    <m/>
    <m/>
    <m/>
    <m/>
    <m/>
    <n v="2.3295805162322929"/>
    <m/>
    <s v="Estatal"/>
  </r>
  <r>
    <x v="0"/>
    <s v="Nuevo León"/>
    <s v="19"/>
    <m/>
    <m/>
    <s v="19003"/>
    <s v="Los Aldamas"/>
    <x v="1"/>
    <s v="Asfaltado"/>
    <m/>
    <m/>
    <m/>
    <m/>
    <m/>
    <n v="0.70711922088394752"/>
    <m/>
    <s v="Estatal"/>
  </r>
  <r>
    <x v="0"/>
    <s v="Nuevo León"/>
    <s v="19"/>
    <m/>
    <m/>
    <s v="19004"/>
    <s v="Allende"/>
    <x v="1"/>
    <s v="Asfaltado"/>
    <m/>
    <m/>
    <m/>
    <m/>
    <m/>
    <n v="0.94049651315196958"/>
    <m/>
    <s v="Estatal"/>
  </r>
  <r>
    <x v="0"/>
    <s v="Nuevo León"/>
    <s v="19"/>
    <m/>
    <m/>
    <s v="19005"/>
    <s v="Anáhuac"/>
    <x v="1"/>
    <s v="Asfaltado"/>
    <m/>
    <m/>
    <m/>
    <m/>
    <m/>
    <n v="2.8008070009794612"/>
    <m/>
    <s v="Estatal"/>
  </r>
  <r>
    <x v="0"/>
    <s v="Nuevo León"/>
    <s v="19"/>
    <s v="19.01"/>
    <s v="Monterrey"/>
    <s v="19006"/>
    <s v="Apodaca"/>
    <x v="1"/>
    <s v="Asfaltado"/>
    <m/>
    <m/>
    <m/>
    <m/>
    <m/>
    <n v="1.7772030173413882"/>
    <m/>
    <s v="Estatal"/>
  </r>
  <r>
    <x v="0"/>
    <s v="Nuevo León"/>
    <s v="19"/>
    <m/>
    <m/>
    <s v="19007"/>
    <s v="Aramberri"/>
    <x v="1"/>
    <s v="Asfaltado"/>
    <m/>
    <m/>
    <m/>
    <m/>
    <m/>
    <n v="5.268457436230201"/>
    <m/>
    <s v="Estatal"/>
  </r>
  <r>
    <x v="0"/>
    <s v="Nuevo León"/>
    <s v="19"/>
    <m/>
    <m/>
    <s v="19008"/>
    <s v="Bustamante"/>
    <x v="1"/>
    <s v="Asfaltado"/>
    <m/>
    <m/>
    <m/>
    <m/>
    <m/>
    <n v="0.21660766647630803"/>
    <m/>
    <s v="Estatal"/>
  </r>
  <r>
    <x v="0"/>
    <s v="Nuevo León"/>
    <s v="19"/>
    <s v="19.01"/>
    <s v="Monterrey"/>
    <s v="19009"/>
    <s v="Cadereyta Jiménez"/>
    <x v="1"/>
    <s v="Asfaltado"/>
    <m/>
    <m/>
    <m/>
    <m/>
    <m/>
    <n v="4.0638393168587337"/>
    <m/>
    <s v="Estatal"/>
  </r>
  <r>
    <x v="0"/>
    <s v="Nuevo León"/>
    <s v="19"/>
    <s v="19.01"/>
    <s v="Monterrey"/>
    <s v="19010"/>
    <s v="El Carmen"/>
    <x v="1"/>
    <s v="Asfaltado"/>
    <m/>
    <m/>
    <m/>
    <m/>
    <m/>
    <n v="0.25783299654760533"/>
    <m/>
    <s v="Estatal"/>
  </r>
  <r>
    <x v="0"/>
    <s v="Nuevo León"/>
    <s v="19"/>
    <m/>
    <m/>
    <s v="19011"/>
    <s v="Cerralvo"/>
    <x v="1"/>
    <s v="Asfaltado"/>
    <m/>
    <m/>
    <m/>
    <m/>
    <m/>
    <n v="0.78258253694666124"/>
    <m/>
    <s v="Estatal"/>
  </r>
  <r>
    <x v="0"/>
    <s v="Nuevo León"/>
    <s v="19"/>
    <s v="19.01"/>
    <s v="Monterrey"/>
    <s v="19012"/>
    <s v="Ciénega de Flores"/>
    <x v="1"/>
    <s v="Asfaltado"/>
    <m/>
    <m/>
    <m/>
    <m/>
    <m/>
    <n v="0.2753013567473076"/>
    <m/>
    <s v="Estatal"/>
  </r>
  <r>
    <x v="0"/>
    <s v="Nuevo León"/>
    <s v="19"/>
    <m/>
    <m/>
    <s v="19013"/>
    <s v="China"/>
    <x v="1"/>
    <s v="Asfaltado"/>
    <m/>
    <m/>
    <m/>
    <m/>
    <m/>
    <n v="4.3908470197971594"/>
    <m/>
    <s v="Estatal"/>
  </r>
  <r>
    <x v="0"/>
    <s v="Nuevo León"/>
    <s v="19"/>
    <m/>
    <m/>
    <s v="19014"/>
    <s v="Doctor Arroyo"/>
    <x v="1"/>
    <s v="Asfaltado"/>
    <m/>
    <m/>
    <m/>
    <m/>
    <m/>
    <n v="10.768056214622861"/>
    <m/>
    <s v="Estatal"/>
  </r>
  <r>
    <x v="0"/>
    <s v="Nuevo León"/>
    <s v="19"/>
    <m/>
    <m/>
    <s v="19015"/>
    <s v="Doctor Coss"/>
    <x v="1"/>
    <s v="Asfaltado"/>
    <m/>
    <m/>
    <m/>
    <m/>
    <m/>
    <n v="0.83987875840168458"/>
    <m/>
    <s v="Estatal"/>
  </r>
  <r>
    <x v="0"/>
    <s v="Nuevo León"/>
    <s v="19"/>
    <m/>
    <m/>
    <s v="19016"/>
    <s v="Doctor González"/>
    <x v="1"/>
    <s v="Asfaltado"/>
    <m/>
    <m/>
    <m/>
    <m/>
    <m/>
    <n v="1.2255661769229509"/>
    <m/>
    <s v="Estatal"/>
  </r>
  <r>
    <x v="0"/>
    <s v="Nuevo León"/>
    <s v="19"/>
    <m/>
    <m/>
    <s v="19017"/>
    <s v="Galeana"/>
    <x v="1"/>
    <s v="Asfaltado"/>
    <m/>
    <m/>
    <m/>
    <m/>
    <m/>
    <n v="14.24090596920527"/>
    <m/>
    <s v="Estatal"/>
  </r>
  <r>
    <x v="0"/>
    <s v="Nuevo León"/>
    <s v="19"/>
    <s v="19.01"/>
    <s v="Monterrey"/>
    <s v="19018"/>
    <s v="García"/>
    <x v="1"/>
    <s v="Asfaltado"/>
    <m/>
    <m/>
    <m/>
    <m/>
    <m/>
    <n v="2.789305832623977"/>
    <m/>
    <s v="Estatal"/>
  </r>
  <r>
    <x v="0"/>
    <s v="Nuevo León"/>
    <s v="19"/>
    <s v="19.01"/>
    <s v="Monterrey"/>
    <s v="19019"/>
    <s v="San Pedro Garza García"/>
    <x v="1"/>
    <s v="Asfaltado"/>
    <m/>
    <m/>
    <m/>
    <m/>
    <m/>
    <n v="0"/>
    <m/>
    <s v="Estatal"/>
  </r>
  <r>
    <x v="0"/>
    <s v="Nuevo León"/>
    <s v="19"/>
    <m/>
    <m/>
    <s v="19020"/>
    <s v="General Bravo"/>
    <x v="1"/>
    <s v="Asfaltado"/>
    <m/>
    <m/>
    <m/>
    <m/>
    <m/>
    <n v="1.1588230662719283"/>
    <m/>
    <s v="Estatal"/>
  </r>
  <r>
    <x v="0"/>
    <s v="Nuevo León"/>
    <s v="19"/>
    <s v="19.01"/>
    <s v="Monterrey"/>
    <s v="19021"/>
    <s v="General Escobedo"/>
    <x v="1"/>
    <s v="Asfaltado"/>
    <m/>
    <m/>
    <m/>
    <m/>
    <m/>
    <n v="1.0835973199079305"/>
    <m/>
    <s v="Estatal"/>
  </r>
  <r>
    <x v="0"/>
    <s v="Nuevo León"/>
    <s v="19"/>
    <m/>
    <m/>
    <s v="19022"/>
    <s v="General Terán"/>
    <x v="1"/>
    <s v="Asfaltado"/>
    <m/>
    <m/>
    <m/>
    <m/>
    <m/>
    <n v="3.8374493686705922"/>
    <m/>
    <s v="Estatal"/>
  </r>
  <r>
    <x v="0"/>
    <s v="Nuevo León"/>
    <s v="19"/>
    <m/>
    <m/>
    <s v="19023"/>
    <s v="General Treviño"/>
    <x v="1"/>
    <s v="Asfaltado"/>
    <m/>
    <m/>
    <m/>
    <m/>
    <m/>
    <n v="0.5026136343539932"/>
    <m/>
    <s v="Estatal"/>
  </r>
  <r>
    <x v="0"/>
    <s v="Nuevo León"/>
    <s v="19"/>
    <m/>
    <m/>
    <s v="19024"/>
    <s v="General Zaragoza"/>
    <x v="1"/>
    <s v="Asfaltado"/>
    <m/>
    <m/>
    <m/>
    <m/>
    <m/>
    <n v="2.4385830838784353"/>
    <m/>
    <s v="Estatal"/>
  </r>
  <r>
    <x v="0"/>
    <s v="Nuevo León"/>
    <s v="19"/>
    <s v="19.01"/>
    <s v="Monterrey"/>
    <s v="19025"/>
    <s v="General Zuazua"/>
    <x v="1"/>
    <s v="Asfaltado"/>
    <m/>
    <m/>
    <m/>
    <m/>
    <m/>
    <n v="0.40666342544906858"/>
    <m/>
    <s v="Estatal"/>
  </r>
  <r>
    <x v="0"/>
    <s v="Nuevo León"/>
    <s v="19"/>
    <s v="19.01"/>
    <s v="Monterrey"/>
    <s v="19026"/>
    <s v="Guadalupe"/>
    <x v="1"/>
    <s v="Asfaltado"/>
    <m/>
    <m/>
    <m/>
    <m/>
    <m/>
    <n v="0.29207098253902181"/>
    <m/>
    <s v="Estatal"/>
  </r>
  <r>
    <x v="0"/>
    <s v="Nuevo León"/>
    <s v="19"/>
    <m/>
    <m/>
    <s v="19027"/>
    <s v="Los Herreras"/>
    <x v="1"/>
    <s v="Asfaltado"/>
    <m/>
    <m/>
    <m/>
    <m/>
    <m/>
    <n v="0.71131162733187592"/>
    <m/>
    <s v="Estatal"/>
  </r>
  <r>
    <x v="0"/>
    <s v="Nuevo León"/>
    <s v="19"/>
    <m/>
    <m/>
    <s v="19028"/>
    <s v="Higueras"/>
    <x v="1"/>
    <s v="Asfaltado"/>
    <m/>
    <m/>
    <m/>
    <m/>
    <m/>
    <n v="0.12577219343785626"/>
    <m/>
    <s v="Estatal"/>
  </r>
  <r>
    <x v="0"/>
    <s v="Nuevo León"/>
    <s v="19"/>
    <m/>
    <m/>
    <s v="19029"/>
    <s v="Hualahuises"/>
    <x v="1"/>
    <s v="Asfaltado"/>
    <m/>
    <m/>
    <m/>
    <m/>
    <m/>
    <n v="0.92791929380818394"/>
    <m/>
    <s v="Estatal"/>
  </r>
  <r>
    <x v="0"/>
    <s v="Nuevo León"/>
    <s v="19"/>
    <m/>
    <m/>
    <s v="19030"/>
    <s v="Iturbide"/>
    <x v="1"/>
    <s v="Asfaltado"/>
    <m/>
    <m/>
    <m/>
    <m/>
    <m/>
    <n v="0.84267369603363695"/>
    <m/>
    <s v="Estatal"/>
  </r>
  <r>
    <x v="0"/>
    <s v="Nuevo León"/>
    <s v="19"/>
    <s v="19.01"/>
    <s v="Monterrey"/>
    <s v="19031"/>
    <s v="Juárez"/>
    <x v="1"/>
    <s v="Asfaltado"/>
    <m/>
    <m/>
    <m/>
    <m/>
    <m/>
    <n v="0.93770157552001732"/>
    <m/>
    <s v="Estatal"/>
  </r>
  <r>
    <x v="0"/>
    <s v="Nuevo León"/>
    <s v="19"/>
    <m/>
    <m/>
    <s v="19032"/>
    <s v="Lampazos de Naranjo"/>
    <x v="1"/>
    <s v="Asfaltado"/>
    <m/>
    <m/>
    <m/>
    <m/>
    <m/>
    <n v="2.1870386970027225"/>
    <m/>
    <s v="Estatal"/>
  </r>
  <r>
    <x v="0"/>
    <s v="Nuevo León"/>
    <s v="19"/>
    <m/>
    <m/>
    <s v="19033"/>
    <s v="Linares"/>
    <x v="1"/>
    <s v="Asfaltado"/>
    <m/>
    <m/>
    <m/>
    <m/>
    <m/>
    <n v="6.712042723133596"/>
    <m/>
    <s v="Estatal"/>
  </r>
  <r>
    <x v="0"/>
    <s v="Nuevo León"/>
    <s v="19"/>
    <m/>
    <m/>
    <s v="19034"/>
    <s v="Marín"/>
    <x v="1"/>
    <s v="Asfaltado"/>
    <m/>
    <m/>
    <m/>
    <m/>
    <m/>
    <n v="0.5188522219956363"/>
    <m/>
    <s v="Estatal"/>
  </r>
  <r>
    <x v="0"/>
    <s v="Nuevo León"/>
    <s v="19"/>
    <m/>
    <m/>
    <s v="19035"/>
    <s v="Melchor Ocampo"/>
    <x v="1"/>
    <s v="Asfaltado"/>
    <m/>
    <m/>
    <m/>
    <m/>
    <m/>
    <n v="0.41644570716090185"/>
    <m/>
    <s v="Estatal"/>
  </r>
  <r>
    <x v="0"/>
    <s v="Nuevo León"/>
    <s v="19"/>
    <m/>
    <m/>
    <s v="19036"/>
    <s v="Mier y Noriega"/>
    <x v="1"/>
    <s v="Asfaltado"/>
    <m/>
    <m/>
    <m/>
    <m/>
    <m/>
    <n v="1.6406283899560361"/>
    <m/>
    <s v="Estatal"/>
  </r>
  <r>
    <x v="0"/>
    <s v="Nuevo León"/>
    <s v="19"/>
    <m/>
    <m/>
    <s v="19037"/>
    <s v="Mina"/>
    <x v="1"/>
    <s v="Asfaltado"/>
    <m/>
    <m/>
    <m/>
    <m/>
    <m/>
    <n v="3.4599231680346265"/>
    <m/>
    <s v="Estatal"/>
  </r>
  <r>
    <x v="0"/>
    <s v="Nuevo León"/>
    <s v="19"/>
    <m/>
    <m/>
    <s v="19038"/>
    <s v="Montemorelos"/>
    <x v="1"/>
    <s v="Asfaltado"/>
    <m/>
    <m/>
    <m/>
    <m/>
    <m/>
    <n v="4.1518798522652327"/>
    <m/>
    <s v="Estatal"/>
  </r>
  <r>
    <x v="0"/>
    <s v="Nuevo León"/>
    <s v="19"/>
    <s v="19.01"/>
    <s v="Monterrey"/>
    <s v="19039"/>
    <s v="Monterrey"/>
    <x v="1"/>
    <s v="Asfaltado"/>
    <m/>
    <m/>
    <m/>
    <m/>
    <m/>
    <n v="9.0835473038451742E-2"/>
    <m/>
    <s v="Estatal"/>
  </r>
  <r>
    <x v="0"/>
    <s v="Nuevo León"/>
    <s v="19"/>
    <m/>
    <m/>
    <s v="19040"/>
    <s v="Parás"/>
    <x v="1"/>
    <s v="Asfaltado"/>
    <m/>
    <m/>
    <m/>
    <m/>
    <m/>
    <n v="0.93909904433599356"/>
    <m/>
    <s v="Estatal"/>
  </r>
  <r>
    <x v="0"/>
    <s v="Nuevo León"/>
    <s v="19"/>
    <s v="19.01"/>
    <s v="Monterrey"/>
    <s v="19041"/>
    <s v="Pesquería"/>
    <x v="1"/>
    <s v="Asfaltado"/>
    <m/>
    <m/>
    <m/>
    <m/>
    <m/>
    <n v="1.3117620534923617"/>
    <m/>
    <s v="Estatal"/>
  </r>
  <r>
    <x v="0"/>
    <s v="Nuevo León"/>
    <s v="19"/>
    <m/>
    <m/>
    <s v="19042"/>
    <s v="Los Ramones"/>
    <x v="1"/>
    <s v="Asfaltado"/>
    <m/>
    <m/>
    <m/>
    <m/>
    <m/>
    <n v="2.4553107856056702"/>
    <m/>
    <s v="Estatal"/>
  </r>
  <r>
    <x v="0"/>
    <s v="Nuevo León"/>
    <s v="19"/>
    <m/>
    <m/>
    <s v="19043"/>
    <s v="Rayones"/>
    <x v="1"/>
    <s v="Asfaltado"/>
    <m/>
    <m/>
    <m/>
    <m/>
    <m/>
    <n v="1.213002932267325"/>
    <m/>
    <s v="Estatal"/>
  </r>
  <r>
    <x v="0"/>
    <s v="Nuevo León"/>
    <s v="19"/>
    <m/>
    <m/>
    <s v="19044"/>
    <s v="Sabinas Hidalgo"/>
    <x v="1"/>
    <s v="Asfaltado"/>
    <m/>
    <m/>
    <m/>
    <m/>
    <m/>
    <n v="1.5310668347835035"/>
    <m/>
    <s v="Estatal"/>
  </r>
  <r>
    <x v="0"/>
    <s v="Nuevo León"/>
    <s v="19"/>
    <s v="19.01"/>
    <s v="Monterrey"/>
    <s v="19045"/>
    <s v="Salinas Victoria"/>
    <x v="1"/>
    <s v="Asfaltado"/>
    <m/>
    <m/>
    <m/>
    <m/>
    <m/>
    <n v="2.4972767741494351"/>
    <m/>
    <s v="Estatal"/>
  </r>
  <r>
    <x v="0"/>
    <s v="Nuevo León"/>
    <s v="19"/>
    <s v="19.01"/>
    <s v="Monterrey"/>
    <s v="19046"/>
    <s v="San Nicolás de los Garza"/>
    <x v="1"/>
    <s v="Asfaltado"/>
    <m/>
    <m/>
    <m/>
    <m/>
    <m/>
    <n v="9.7822817118332645E-3"/>
    <m/>
    <s v="Estatal"/>
  </r>
  <r>
    <x v="0"/>
    <s v="Nuevo León"/>
    <s v="19"/>
    <s v="19.01"/>
    <s v="Monterrey"/>
    <s v="19047"/>
    <s v="Hidalgo"/>
    <x v="1"/>
    <s v="Asfaltado"/>
    <m/>
    <m/>
    <m/>
    <m/>
    <m/>
    <n v="9.7822817118332656E-2"/>
    <m/>
    <s v="Estatal"/>
  </r>
  <r>
    <x v="0"/>
    <s v="Nuevo León"/>
    <s v="19"/>
    <s v="19.01"/>
    <s v="Monterrey"/>
    <s v="19048"/>
    <s v="Santa Catarina"/>
    <x v="1"/>
    <s v="Asfaltado"/>
    <m/>
    <m/>
    <m/>
    <m/>
    <m/>
    <n v="0.43265634542622561"/>
    <m/>
    <s v="Estatal"/>
  </r>
  <r>
    <x v="0"/>
    <s v="Nuevo León"/>
    <s v="19"/>
    <s v="19.01"/>
    <s v="Monterrey"/>
    <s v="19049"/>
    <s v="Santiago"/>
    <x v="1"/>
    <s v="Asfaltado"/>
    <m/>
    <m/>
    <m/>
    <m/>
    <m/>
    <n v="1.7454385511542498"/>
    <m/>
    <s v="Estatal"/>
  </r>
  <r>
    <x v="0"/>
    <s v="Nuevo León"/>
    <s v="19"/>
    <m/>
    <m/>
    <s v="19050"/>
    <s v="Vallecillo"/>
    <x v="1"/>
    <s v="Asfaltado"/>
    <m/>
    <m/>
    <m/>
    <m/>
    <m/>
    <n v="1.8055297102412253"/>
    <m/>
    <s v="Estatal"/>
  </r>
  <r>
    <x v="0"/>
    <s v="Nuevo León"/>
    <s v="19"/>
    <m/>
    <m/>
    <s v="19051"/>
    <s v="Villaldama"/>
    <x v="1"/>
    <s v="Asfaltado"/>
    <m/>
    <m/>
    <m/>
    <m/>
    <m/>
    <n v="0.93770157552001721"/>
    <m/>
    <s v="Estatal"/>
  </r>
  <r>
    <x v="0"/>
    <s v="Nuevo León"/>
    <s v="19"/>
    <s v="19.01"/>
    <s v="Monterrey"/>
    <s v="19001"/>
    <s v="Abasolo"/>
    <x v="1"/>
    <s v="Lavado en Seco"/>
    <m/>
    <m/>
    <m/>
    <m/>
    <m/>
    <n v="0"/>
    <m/>
    <s v="Estatal"/>
  </r>
  <r>
    <x v="0"/>
    <s v="Nuevo León"/>
    <s v="19"/>
    <m/>
    <m/>
    <s v="19002"/>
    <s v="Agualeguas"/>
    <x v="1"/>
    <s v="Lavado en Seco"/>
    <m/>
    <m/>
    <m/>
    <m/>
    <m/>
    <n v="0"/>
    <m/>
    <s v="Estatal"/>
  </r>
  <r>
    <x v="0"/>
    <s v="Nuevo León"/>
    <s v="19"/>
    <m/>
    <m/>
    <s v="19003"/>
    <s v="Los Aldamas"/>
    <x v="1"/>
    <s v="Lavado en Seco"/>
    <m/>
    <m/>
    <m/>
    <m/>
    <m/>
    <n v="0"/>
    <m/>
    <s v="Estatal"/>
  </r>
  <r>
    <x v="0"/>
    <s v="Nuevo León"/>
    <s v="19"/>
    <m/>
    <m/>
    <s v="19004"/>
    <s v="Allende"/>
    <x v="1"/>
    <s v="Lavado en Seco"/>
    <m/>
    <m/>
    <m/>
    <m/>
    <m/>
    <n v="7.775947952686664E-2"/>
    <m/>
    <s v="Estatal"/>
  </r>
  <r>
    <x v="0"/>
    <s v="Nuevo León"/>
    <s v="19"/>
    <m/>
    <m/>
    <s v="19005"/>
    <s v="Anáhuac"/>
    <x v="1"/>
    <s v="Lavado en Seco"/>
    <m/>
    <m/>
    <m/>
    <m/>
    <m/>
    <n v="2.5919826508955548E-2"/>
    <m/>
    <s v="Estatal"/>
  </r>
  <r>
    <x v="0"/>
    <s v="Nuevo León"/>
    <s v="19"/>
    <s v="19.01"/>
    <s v="Monterrey"/>
    <s v="19006"/>
    <s v="Apodaca"/>
    <x v="1"/>
    <s v="Lavado en Seco"/>
    <m/>
    <m/>
    <m/>
    <m/>
    <m/>
    <n v="1.2506316290571045"/>
    <m/>
    <s v="Estatal"/>
  </r>
  <r>
    <x v="0"/>
    <s v="Nuevo León"/>
    <s v="19"/>
    <m/>
    <m/>
    <s v="19007"/>
    <s v="Aramberri"/>
    <x v="1"/>
    <s v="Lavado en Seco"/>
    <m/>
    <m/>
    <m/>
    <m/>
    <m/>
    <n v="2.5919826508955548E-2"/>
    <m/>
    <s v="Estatal"/>
  </r>
  <r>
    <x v="0"/>
    <s v="Nuevo León"/>
    <s v="19"/>
    <m/>
    <m/>
    <s v="19008"/>
    <s v="Bustamante"/>
    <x v="1"/>
    <s v="Lavado en Seco"/>
    <m/>
    <m/>
    <m/>
    <m/>
    <m/>
    <n v="0"/>
    <m/>
    <s v="Estatal"/>
  </r>
  <r>
    <x v="0"/>
    <s v="Nuevo León"/>
    <s v="19"/>
    <s v="19.01"/>
    <s v="Monterrey"/>
    <s v="19009"/>
    <s v="Cadereyta Jiménez"/>
    <x v="1"/>
    <s v="Lavado en Seco"/>
    <m/>
    <m/>
    <m/>
    <m/>
    <m/>
    <n v="0.3110379181074665"/>
    <m/>
    <s v="Estatal"/>
  </r>
  <r>
    <x v="0"/>
    <s v="Nuevo León"/>
    <s v="19"/>
    <s v="19.01"/>
    <s v="Monterrey"/>
    <s v="19010"/>
    <s v="El Carmen"/>
    <x v="1"/>
    <s v="Lavado en Seco"/>
    <m/>
    <m/>
    <m/>
    <m/>
    <m/>
    <n v="2.5919826508955548E-2"/>
    <m/>
    <s v="Estatal"/>
  </r>
  <r>
    <x v="0"/>
    <s v="Nuevo León"/>
    <s v="19"/>
    <m/>
    <m/>
    <s v="19011"/>
    <s v="Cerralvo"/>
    <x v="1"/>
    <s v="Lavado en Seco"/>
    <m/>
    <m/>
    <m/>
    <m/>
    <m/>
    <n v="2.5919826508955548E-2"/>
    <m/>
    <s v="Estatal"/>
  </r>
  <r>
    <x v="0"/>
    <s v="Nuevo León"/>
    <s v="19"/>
    <s v="19.01"/>
    <s v="Monterrey"/>
    <s v="19012"/>
    <s v="Ciénega de Flores"/>
    <x v="1"/>
    <s v="Lavado en Seco"/>
    <m/>
    <m/>
    <m/>
    <m/>
    <m/>
    <n v="2.5919826508955548E-2"/>
    <m/>
    <s v="Estatal"/>
  </r>
  <r>
    <x v="0"/>
    <s v="Nuevo León"/>
    <s v="19"/>
    <m/>
    <m/>
    <s v="19013"/>
    <s v="China"/>
    <x v="1"/>
    <s v="Lavado en Seco"/>
    <m/>
    <m/>
    <m/>
    <m/>
    <m/>
    <n v="2.5919826508955548E-2"/>
    <m/>
    <s v="Estatal"/>
  </r>
  <r>
    <x v="0"/>
    <s v="Nuevo León"/>
    <s v="19"/>
    <m/>
    <m/>
    <s v="19014"/>
    <s v="Doctor Arroyo"/>
    <x v="1"/>
    <s v="Lavado en Seco"/>
    <m/>
    <m/>
    <m/>
    <m/>
    <m/>
    <n v="7.775947952686664E-2"/>
    <m/>
    <s v="Estatal"/>
  </r>
  <r>
    <x v="0"/>
    <s v="Nuevo León"/>
    <s v="19"/>
    <m/>
    <m/>
    <s v="19015"/>
    <s v="Doctor Coss"/>
    <x v="1"/>
    <s v="Lavado en Seco"/>
    <m/>
    <m/>
    <m/>
    <m/>
    <m/>
    <n v="0"/>
    <m/>
    <s v="Estatal"/>
  </r>
  <r>
    <x v="0"/>
    <s v="Nuevo León"/>
    <s v="19"/>
    <m/>
    <m/>
    <s v="19016"/>
    <s v="Doctor González"/>
    <x v="1"/>
    <s v="Lavado en Seco"/>
    <m/>
    <m/>
    <m/>
    <m/>
    <m/>
    <n v="0"/>
    <m/>
    <s v="Estatal"/>
  </r>
  <r>
    <x v="0"/>
    <s v="Nuevo León"/>
    <s v="19"/>
    <m/>
    <m/>
    <s v="19017"/>
    <s v="Galeana"/>
    <x v="1"/>
    <s v="Lavado en Seco"/>
    <m/>
    <m/>
    <m/>
    <m/>
    <m/>
    <n v="2.5919826508955548E-2"/>
    <m/>
    <s v="Estatal"/>
  </r>
  <r>
    <x v="0"/>
    <s v="Nuevo León"/>
    <s v="19"/>
    <s v="19.01"/>
    <s v="Monterrey"/>
    <s v="19018"/>
    <s v="García"/>
    <x v="1"/>
    <s v="Lavado en Seco"/>
    <m/>
    <m/>
    <m/>
    <m/>
    <m/>
    <n v="0.20735861207164438"/>
    <m/>
    <s v="Estatal"/>
  </r>
  <r>
    <x v="0"/>
    <s v="Nuevo León"/>
    <s v="19"/>
    <s v="19.01"/>
    <s v="Monterrey"/>
    <s v="19019"/>
    <s v="San Pedro Garza García"/>
    <x v="1"/>
    <s v="Lavado en Seco"/>
    <m/>
    <m/>
    <m/>
    <m/>
    <m/>
    <n v="1.7431083327272601"/>
    <m/>
    <s v="Estatal"/>
  </r>
  <r>
    <x v="0"/>
    <s v="Nuevo León"/>
    <s v="19"/>
    <m/>
    <m/>
    <s v="19020"/>
    <s v="General Bravo"/>
    <x v="1"/>
    <s v="Lavado en Seco"/>
    <m/>
    <m/>
    <m/>
    <m/>
    <m/>
    <n v="2.5919826508955548E-2"/>
    <m/>
    <s v="Estatal"/>
  </r>
  <r>
    <x v="0"/>
    <s v="Nuevo León"/>
    <s v="19"/>
    <s v="19.01"/>
    <s v="Monterrey"/>
    <s v="19021"/>
    <s v="General Escobedo"/>
    <x v="1"/>
    <s v="Lavado en Seco"/>
    <m/>
    <m/>
    <m/>
    <m/>
    <m/>
    <n v="0.80351462177762167"/>
    <m/>
    <s v="Estatal"/>
  </r>
  <r>
    <x v="0"/>
    <s v="Nuevo León"/>
    <s v="19"/>
    <m/>
    <m/>
    <s v="19022"/>
    <s v="General Terán"/>
    <x v="1"/>
    <s v="Lavado en Seco"/>
    <m/>
    <m/>
    <m/>
    <m/>
    <m/>
    <n v="2.5919826508955548E-2"/>
    <m/>
    <s v="Estatal"/>
  </r>
  <r>
    <x v="0"/>
    <s v="Nuevo León"/>
    <s v="19"/>
    <m/>
    <m/>
    <s v="19023"/>
    <s v="General Treviño"/>
    <x v="1"/>
    <s v="Lavado en Seco"/>
    <m/>
    <m/>
    <m/>
    <m/>
    <m/>
    <n v="0"/>
    <m/>
    <s v="Estatal"/>
  </r>
  <r>
    <x v="0"/>
    <s v="Nuevo León"/>
    <s v="19"/>
    <m/>
    <m/>
    <s v="19024"/>
    <s v="General Zaragoza"/>
    <x v="1"/>
    <s v="Lavado en Seco"/>
    <m/>
    <m/>
    <m/>
    <m/>
    <m/>
    <n v="0"/>
    <m/>
    <s v="Estatal"/>
  </r>
  <r>
    <x v="0"/>
    <s v="Nuevo León"/>
    <s v="19"/>
    <s v="19.01"/>
    <s v="Monterrey"/>
    <s v="19025"/>
    <s v="General Zuazua"/>
    <x v="1"/>
    <s v="Lavado en Seco"/>
    <m/>
    <m/>
    <m/>
    <m/>
    <m/>
    <n v="0.13607908917201664"/>
    <m/>
    <s v="Estatal"/>
  </r>
  <r>
    <x v="0"/>
    <s v="Nuevo León"/>
    <s v="19"/>
    <s v="19.01"/>
    <s v="Monterrey"/>
    <s v="19026"/>
    <s v="Guadalupe"/>
    <x v="1"/>
    <s v="Lavado en Seco"/>
    <m/>
    <m/>
    <m/>
    <m/>
    <m/>
    <n v="3.0131798316660805"/>
    <m/>
    <s v="Estatal"/>
  </r>
  <r>
    <x v="0"/>
    <s v="Nuevo León"/>
    <s v="19"/>
    <m/>
    <m/>
    <s v="19027"/>
    <s v="Los Herreras"/>
    <x v="1"/>
    <s v="Lavado en Seco"/>
    <m/>
    <m/>
    <m/>
    <m/>
    <m/>
    <n v="0"/>
    <m/>
    <s v="Estatal"/>
  </r>
  <r>
    <x v="0"/>
    <s v="Nuevo León"/>
    <s v="19"/>
    <m/>
    <m/>
    <s v="19028"/>
    <s v="Higueras"/>
    <x v="1"/>
    <s v="Lavado en Seco"/>
    <m/>
    <m/>
    <m/>
    <m/>
    <m/>
    <n v="0"/>
    <m/>
    <s v="Estatal"/>
  </r>
  <r>
    <x v="0"/>
    <s v="Nuevo León"/>
    <s v="19"/>
    <m/>
    <m/>
    <s v="19029"/>
    <s v="Hualahuises"/>
    <x v="1"/>
    <s v="Lavado en Seco"/>
    <m/>
    <m/>
    <m/>
    <m/>
    <m/>
    <n v="0"/>
    <m/>
    <s v="Estatal"/>
  </r>
  <r>
    <x v="0"/>
    <s v="Nuevo León"/>
    <s v="19"/>
    <m/>
    <m/>
    <s v="19030"/>
    <s v="Iturbide"/>
    <x v="1"/>
    <s v="Lavado en Seco"/>
    <m/>
    <m/>
    <m/>
    <m/>
    <m/>
    <n v="0"/>
    <m/>
    <s v="Estatal"/>
  </r>
  <r>
    <x v="0"/>
    <s v="Nuevo León"/>
    <s v="19"/>
    <s v="19.01"/>
    <s v="Monterrey"/>
    <s v="19031"/>
    <s v="Juárez"/>
    <x v="1"/>
    <s v="Lavado en Seco"/>
    <m/>
    <m/>
    <m/>
    <m/>
    <m/>
    <n v="0.23327843858059993"/>
    <m/>
    <s v="Estatal"/>
  </r>
  <r>
    <x v="0"/>
    <s v="Nuevo León"/>
    <s v="19"/>
    <m/>
    <m/>
    <s v="19032"/>
    <s v="Lampazos de Naranjo"/>
    <x v="1"/>
    <s v="Lavado en Seco"/>
    <m/>
    <m/>
    <m/>
    <m/>
    <m/>
    <n v="0"/>
    <m/>
    <s v="Estatal"/>
  </r>
  <r>
    <x v="0"/>
    <s v="Nuevo León"/>
    <s v="19"/>
    <m/>
    <m/>
    <s v="19033"/>
    <s v="Linares"/>
    <x v="1"/>
    <s v="Lavado en Seco"/>
    <m/>
    <m/>
    <m/>
    <m/>
    <m/>
    <n v="0.23327843858059993"/>
    <m/>
    <s v="Estatal"/>
  </r>
  <r>
    <x v="0"/>
    <s v="Nuevo León"/>
    <s v="19"/>
    <m/>
    <m/>
    <s v="19034"/>
    <s v="Marín"/>
    <x v="1"/>
    <s v="Lavado en Seco"/>
    <m/>
    <m/>
    <m/>
    <m/>
    <m/>
    <n v="0"/>
    <m/>
    <s v="Estatal"/>
  </r>
  <r>
    <x v="0"/>
    <s v="Nuevo León"/>
    <s v="19"/>
    <m/>
    <m/>
    <s v="19035"/>
    <s v="Melchor Ocampo"/>
    <x v="1"/>
    <s v="Lavado en Seco"/>
    <m/>
    <m/>
    <m/>
    <m/>
    <m/>
    <n v="0"/>
    <m/>
    <s v="Estatal"/>
  </r>
  <r>
    <x v="0"/>
    <s v="Nuevo León"/>
    <s v="19"/>
    <m/>
    <m/>
    <s v="19036"/>
    <s v="Mier y Noriega"/>
    <x v="1"/>
    <s v="Lavado en Seco"/>
    <m/>
    <m/>
    <m/>
    <m/>
    <m/>
    <n v="0"/>
    <m/>
    <s v="Estatal"/>
  </r>
  <r>
    <x v="0"/>
    <s v="Nuevo León"/>
    <s v="19"/>
    <m/>
    <m/>
    <s v="19037"/>
    <s v="Mina"/>
    <x v="1"/>
    <s v="Lavado en Seco"/>
    <m/>
    <m/>
    <m/>
    <m/>
    <m/>
    <n v="0"/>
    <m/>
    <s v="Estatal"/>
  </r>
  <r>
    <x v="0"/>
    <s v="Nuevo León"/>
    <s v="19"/>
    <m/>
    <m/>
    <s v="19038"/>
    <s v="Montemorelos"/>
    <x v="1"/>
    <s v="Lavado en Seco"/>
    <m/>
    <m/>
    <m/>
    <m/>
    <m/>
    <n v="0.18143878556268883"/>
    <m/>
    <s v="Estatal"/>
  </r>
  <r>
    <x v="0"/>
    <s v="Nuevo León"/>
    <s v="19"/>
    <s v="19.01"/>
    <s v="Monterrey"/>
    <s v="19039"/>
    <s v="Monterrey"/>
    <x v="1"/>
    <s v="Lavado en Seco"/>
    <m/>
    <m/>
    <m/>
    <m/>
    <m/>
    <n v="9.4283368926325775"/>
    <m/>
    <s v="Estatal"/>
  </r>
  <r>
    <x v="0"/>
    <s v="Nuevo León"/>
    <s v="19"/>
    <m/>
    <m/>
    <s v="19040"/>
    <s v="Parás"/>
    <x v="1"/>
    <s v="Lavado en Seco"/>
    <m/>
    <m/>
    <m/>
    <m/>
    <m/>
    <n v="0"/>
    <m/>
    <s v="Estatal"/>
  </r>
  <r>
    <x v="0"/>
    <s v="Nuevo León"/>
    <s v="19"/>
    <s v="19.01"/>
    <s v="Monterrey"/>
    <s v="19041"/>
    <s v="Pesquería"/>
    <x v="1"/>
    <s v="Lavado en Seco"/>
    <m/>
    <m/>
    <m/>
    <m/>
    <m/>
    <n v="0"/>
    <m/>
    <s v="Estatal"/>
  </r>
  <r>
    <x v="0"/>
    <s v="Nuevo León"/>
    <s v="19"/>
    <m/>
    <m/>
    <s v="19042"/>
    <s v="Los Ramones"/>
    <x v="1"/>
    <s v="Lavado en Seco"/>
    <m/>
    <m/>
    <m/>
    <m/>
    <m/>
    <n v="0"/>
    <m/>
    <s v="Estatal"/>
  </r>
  <r>
    <x v="0"/>
    <s v="Nuevo León"/>
    <s v="19"/>
    <m/>
    <m/>
    <s v="19043"/>
    <s v="Rayones"/>
    <x v="1"/>
    <s v="Lavado en Seco"/>
    <m/>
    <m/>
    <m/>
    <m/>
    <m/>
    <n v="0"/>
    <m/>
    <s v="Estatal"/>
  </r>
  <r>
    <x v="0"/>
    <s v="Nuevo León"/>
    <s v="19"/>
    <m/>
    <m/>
    <s v="19044"/>
    <s v="Sabinas Hidalgo"/>
    <x v="1"/>
    <s v="Lavado en Seco"/>
    <m/>
    <m/>
    <m/>
    <m/>
    <m/>
    <n v="2.5919826508955548E-2"/>
    <m/>
    <s v="Estatal"/>
  </r>
  <r>
    <x v="0"/>
    <s v="Nuevo León"/>
    <s v="19"/>
    <s v="19.01"/>
    <s v="Monterrey"/>
    <s v="19045"/>
    <s v="Salinas Victoria"/>
    <x v="1"/>
    <s v="Lavado en Seco"/>
    <m/>
    <m/>
    <m/>
    <m/>
    <m/>
    <n v="5.1839653017911096E-2"/>
    <m/>
    <s v="Estatal"/>
  </r>
  <r>
    <x v="0"/>
    <s v="Nuevo León"/>
    <s v="19"/>
    <s v="19.01"/>
    <s v="Monterrey"/>
    <s v="19046"/>
    <s v="San Nicolás de los Garza"/>
    <x v="1"/>
    <s v="Lavado en Seco"/>
    <m/>
    <m/>
    <m/>
    <m/>
    <m/>
    <n v="3.4408569690638466"/>
    <m/>
    <s v="Estatal"/>
  </r>
  <r>
    <x v="0"/>
    <s v="Nuevo León"/>
    <s v="19"/>
    <s v="19.01"/>
    <s v="Monterrey"/>
    <s v="19047"/>
    <s v="Hidalgo"/>
    <x v="1"/>
    <s v="Lavado en Seco"/>
    <m/>
    <m/>
    <m/>
    <m/>
    <m/>
    <n v="0"/>
    <m/>
    <s v="Estatal"/>
  </r>
  <r>
    <x v="0"/>
    <s v="Nuevo León"/>
    <s v="19"/>
    <s v="19.01"/>
    <s v="Monterrey"/>
    <s v="19048"/>
    <s v="Santa Catarina"/>
    <x v="1"/>
    <s v="Lavado en Seco"/>
    <m/>
    <m/>
    <m/>
    <m/>
    <m/>
    <n v="0.80999457840486055"/>
    <m/>
    <s v="Estatal"/>
  </r>
  <r>
    <x v="0"/>
    <s v="Nuevo León"/>
    <s v="19"/>
    <s v="19.01"/>
    <s v="Monterrey"/>
    <s v="19049"/>
    <s v="Santiago"/>
    <x v="1"/>
    <s v="Lavado en Seco"/>
    <m/>
    <m/>
    <m/>
    <m/>
    <m/>
    <n v="7.775947952686664E-2"/>
    <m/>
    <s v="Estatal"/>
  </r>
  <r>
    <x v="0"/>
    <s v="Nuevo León"/>
    <s v="19"/>
    <m/>
    <m/>
    <s v="19050"/>
    <s v="Vallecillo"/>
    <x v="1"/>
    <s v="Lavado en Seco"/>
    <m/>
    <m/>
    <m/>
    <m/>
    <m/>
    <n v="0"/>
    <m/>
    <s v="Estatal"/>
  </r>
  <r>
    <x v="0"/>
    <s v="Nuevo León"/>
    <s v="19"/>
    <m/>
    <m/>
    <s v="19051"/>
    <s v="Villaldama"/>
    <x v="1"/>
    <s v="Lavado en Seco"/>
    <m/>
    <m/>
    <m/>
    <m/>
    <m/>
    <n v="0"/>
    <m/>
    <s v="Estatal"/>
  </r>
  <r>
    <x v="0"/>
    <s v="Nuevo León"/>
    <s v="19"/>
    <s v="19.01"/>
    <s v="Monterrey"/>
    <s v="19001"/>
    <s v="Abasolo"/>
    <x v="1"/>
    <s v="Limpieza de superficies industriales"/>
    <m/>
    <m/>
    <m/>
    <m/>
    <m/>
    <n v="5.3807774324988289"/>
    <m/>
    <s v="Estatal"/>
  </r>
  <r>
    <x v="0"/>
    <s v="Nuevo León"/>
    <s v="19"/>
    <m/>
    <m/>
    <s v="19002"/>
    <s v="Agualeguas"/>
    <x v="1"/>
    <s v="Limpieza de superficies industriales"/>
    <m/>
    <m/>
    <m/>
    <m/>
    <m/>
    <n v="2.1523109729995316"/>
    <m/>
    <s v="Estatal"/>
  </r>
  <r>
    <x v="0"/>
    <s v="Nuevo León"/>
    <s v="19"/>
    <m/>
    <m/>
    <s v="19003"/>
    <s v="Los Aldamas"/>
    <x v="1"/>
    <s v="Limpieza de superficies industriales"/>
    <m/>
    <m/>
    <m/>
    <m/>
    <m/>
    <n v="6.1494599228558045E-2"/>
    <m/>
    <s v="Estatal"/>
  </r>
  <r>
    <x v="0"/>
    <s v="Nuevo León"/>
    <s v="19"/>
    <m/>
    <m/>
    <s v="19004"/>
    <s v="Allende"/>
    <x v="1"/>
    <s v="Limpieza de superficies industriales"/>
    <m/>
    <m/>
    <m/>
    <m/>
    <m/>
    <n v="19.678271753138574"/>
    <m/>
    <s v="Estatal"/>
  </r>
  <r>
    <x v="0"/>
    <s v="Nuevo León"/>
    <s v="19"/>
    <m/>
    <m/>
    <s v="19005"/>
    <s v="Anáhuac"/>
    <x v="1"/>
    <s v="Limpieza de superficies industriales"/>
    <m/>
    <m/>
    <m/>
    <m/>
    <m/>
    <n v="44.891057436847383"/>
    <m/>
    <s v="Estatal"/>
  </r>
  <r>
    <x v="0"/>
    <s v="Nuevo León"/>
    <s v="19"/>
    <s v="19.01"/>
    <s v="Monterrey"/>
    <s v="19006"/>
    <s v="Apodaca"/>
    <x v="1"/>
    <s v="Limpieza de superficies industriales"/>
    <m/>
    <m/>
    <m/>
    <m/>
    <m/>
    <n v="2865.1256199573622"/>
    <m/>
    <s v="Estatal"/>
  </r>
  <r>
    <x v="0"/>
    <s v="Nuevo León"/>
    <s v="19"/>
    <m/>
    <m/>
    <s v="19007"/>
    <s v="Aramberri"/>
    <x v="1"/>
    <s v="Limpieza de superficies industriales"/>
    <m/>
    <m/>
    <m/>
    <m/>
    <m/>
    <n v="2.6135204672137173"/>
    <m/>
    <s v="Estatal"/>
  </r>
  <r>
    <x v="0"/>
    <s v="Nuevo León"/>
    <s v="19"/>
    <m/>
    <m/>
    <s v="19008"/>
    <s v="Bustamante"/>
    <x v="1"/>
    <s v="Limpieza de superficies industriales"/>
    <m/>
    <m/>
    <m/>
    <m/>
    <m/>
    <n v="2.7057623660565544"/>
    <m/>
    <s v="Estatal"/>
  </r>
  <r>
    <x v="0"/>
    <s v="Nuevo León"/>
    <s v="19"/>
    <s v="19.01"/>
    <s v="Monterrey"/>
    <s v="19009"/>
    <s v="Cadereyta Jiménez"/>
    <x v="1"/>
    <s v="Limpieza de superficies industriales"/>
    <m/>
    <m/>
    <m/>
    <m/>
    <m/>
    <n v="223.62511009465135"/>
    <m/>
    <s v="Estatal"/>
  </r>
  <r>
    <x v="0"/>
    <s v="Nuevo León"/>
    <s v="19"/>
    <s v="19.01"/>
    <s v="Monterrey"/>
    <s v="19010"/>
    <s v="El Carmen"/>
    <x v="1"/>
    <s v="Limpieza de superficies industriales"/>
    <m/>
    <m/>
    <m/>
    <m/>
    <m/>
    <n v="135.34961290205629"/>
    <m/>
    <s v="Estatal"/>
  </r>
  <r>
    <x v="0"/>
    <s v="Nuevo León"/>
    <s v="19"/>
    <m/>
    <m/>
    <s v="19011"/>
    <s v="Cerralvo"/>
    <x v="1"/>
    <s v="Limpieza de superficies industriales"/>
    <m/>
    <m/>
    <m/>
    <m/>
    <m/>
    <n v="1.6603541791710674"/>
    <m/>
    <s v="Estatal"/>
  </r>
  <r>
    <x v="0"/>
    <s v="Nuevo León"/>
    <s v="19"/>
    <s v="19.01"/>
    <s v="Monterrey"/>
    <s v="19012"/>
    <s v="Ciénega de Flores"/>
    <x v="1"/>
    <s v="Limpieza de superficies industriales"/>
    <m/>
    <m/>
    <m/>
    <m/>
    <m/>
    <n v="96.085311294621945"/>
    <m/>
    <s v="Estatal"/>
  </r>
  <r>
    <x v="0"/>
    <s v="Nuevo León"/>
    <s v="19"/>
    <m/>
    <m/>
    <s v="19013"/>
    <s v="China"/>
    <x v="1"/>
    <s v="Limpieza de superficies industriales"/>
    <m/>
    <m/>
    <m/>
    <m/>
    <m/>
    <n v="7.102626210898455"/>
    <m/>
    <s v="Estatal"/>
  </r>
  <r>
    <x v="0"/>
    <s v="Nuevo León"/>
    <s v="19"/>
    <m/>
    <m/>
    <s v="19014"/>
    <s v="Doctor Arroyo"/>
    <x v="1"/>
    <s v="Limpieza de superficies industriales"/>
    <m/>
    <m/>
    <m/>
    <m/>
    <m/>
    <n v="25.120543784865962"/>
    <m/>
    <s v="Estatal"/>
  </r>
  <r>
    <x v="0"/>
    <s v="Nuevo León"/>
    <s v="19"/>
    <m/>
    <m/>
    <s v="19015"/>
    <s v="Doctor Coss"/>
    <x v="1"/>
    <s v="Limpieza de superficies industriales"/>
    <m/>
    <m/>
    <m/>
    <m/>
    <m/>
    <n v="3.0747299614279022E-2"/>
    <m/>
    <s v="Estatal"/>
  </r>
  <r>
    <x v="0"/>
    <s v="Nuevo León"/>
    <s v="19"/>
    <m/>
    <m/>
    <s v="19016"/>
    <s v="Doctor González"/>
    <x v="1"/>
    <s v="Limpieza de superficies industriales"/>
    <m/>
    <m/>
    <m/>
    <m/>
    <m/>
    <n v="11.130522460369008"/>
    <m/>
    <s v="Estatal"/>
  </r>
  <r>
    <x v="0"/>
    <s v="Nuevo León"/>
    <s v="19"/>
    <m/>
    <m/>
    <s v="19017"/>
    <s v="Galeana"/>
    <x v="1"/>
    <s v="Limpieza de superficies industriales"/>
    <m/>
    <m/>
    <m/>
    <m/>
    <m/>
    <n v="2.183058272613811"/>
    <m/>
    <s v="Estatal"/>
  </r>
  <r>
    <x v="0"/>
    <s v="Nuevo León"/>
    <s v="19"/>
    <s v="19.01"/>
    <s v="Monterrey"/>
    <s v="19018"/>
    <s v="García"/>
    <x v="1"/>
    <s v="Limpieza de superficies industriales"/>
    <m/>
    <m/>
    <m/>
    <m/>
    <m/>
    <n v="498.65970514437726"/>
    <m/>
    <s v="Estatal"/>
  </r>
  <r>
    <x v="0"/>
    <s v="Nuevo León"/>
    <s v="19"/>
    <s v="19.01"/>
    <s v="Monterrey"/>
    <s v="19019"/>
    <s v="San Pedro Garza García"/>
    <x v="1"/>
    <s v="Limpieza de superficies industriales"/>
    <m/>
    <m/>
    <m/>
    <m/>
    <m/>
    <n v="242.38096285936155"/>
    <m/>
    <s v="Estatal"/>
  </r>
  <r>
    <x v="0"/>
    <s v="Nuevo León"/>
    <s v="19"/>
    <m/>
    <m/>
    <s v="19020"/>
    <s v="General Bravo"/>
    <x v="1"/>
    <s v="Limpieza de superficies industriales"/>
    <m/>
    <m/>
    <m/>
    <m/>
    <m/>
    <n v="2.0293217745424159"/>
    <m/>
    <s v="Estatal"/>
  </r>
  <r>
    <x v="0"/>
    <s v="Nuevo León"/>
    <s v="19"/>
    <s v="19.01"/>
    <s v="Monterrey"/>
    <s v="19021"/>
    <s v="General Escobedo"/>
    <x v="1"/>
    <s v="Limpieza de superficies industriales"/>
    <m/>
    <m/>
    <m/>
    <m/>
    <m/>
    <n v="889.76535623800646"/>
    <m/>
    <s v="Estatal"/>
  </r>
  <r>
    <x v="0"/>
    <s v="Nuevo León"/>
    <s v="19"/>
    <m/>
    <m/>
    <s v="19022"/>
    <s v="General Terán"/>
    <x v="1"/>
    <s v="Limpieza de superficies industriales"/>
    <m/>
    <m/>
    <m/>
    <m/>
    <m/>
    <n v="10.515576468083426"/>
    <m/>
    <s v="Estatal"/>
  </r>
  <r>
    <x v="0"/>
    <s v="Nuevo León"/>
    <s v="19"/>
    <m/>
    <m/>
    <s v="19023"/>
    <s v="General Treviño"/>
    <x v="1"/>
    <s v="Limpieza de superficies industriales"/>
    <m/>
    <m/>
    <m/>
    <m/>
    <m/>
    <n v="0.18448379768567416"/>
    <m/>
    <s v="Estatal"/>
  </r>
  <r>
    <x v="0"/>
    <s v="Nuevo León"/>
    <s v="19"/>
    <m/>
    <m/>
    <s v="19024"/>
    <s v="General Zaragoza"/>
    <x v="1"/>
    <s v="Limpieza de superficies industriales"/>
    <m/>
    <m/>
    <m/>
    <m/>
    <m/>
    <n v="1.9370798756995786"/>
    <m/>
    <s v="Estatal"/>
  </r>
  <r>
    <x v="0"/>
    <s v="Nuevo León"/>
    <s v="19"/>
    <s v="19.01"/>
    <s v="Monterrey"/>
    <s v="19025"/>
    <s v="General Zuazua"/>
    <x v="1"/>
    <s v="Limpieza de superficies industriales"/>
    <m/>
    <m/>
    <m/>
    <m/>
    <m/>
    <n v="432.18404337830594"/>
    <m/>
    <s v="Estatal"/>
  </r>
  <r>
    <x v="0"/>
    <s v="Nuevo León"/>
    <s v="19"/>
    <s v="19.01"/>
    <s v="Monterrey"/>
    <s v="19026"/>
    <s v="Guadalupe"/>
    <x v="1"/>
    <s v="Limpieza de superficies industriales"/>
    <m/>
    <m/>
    <m/>
    <m/>
    <m/>
    <n v="1566.1444531529164"/>
    <m/>
    <s v="Estatal"/>
  </r>
  <r>
    <x v="0"/>
    <s v="Nuevo León"/>
    <s v="19"/>
    <m/>
    <m/>
    <s v="19027"/>
    <s v="Los Herreras"/>
    <x v="1"/>
    <s v="Limpieza de superficies industriales"/>
    <m/>
    <m/>
    <m/>
    <m/>
    <m/>
    <n v="0.61494599228558045"/>
    <m/>
    <s v="Estatal"/>
  </r>
  <r>
    <x v="0"/>
    <s v="Nuevo León"/>
    <s v="19"/>
    <m/>
    <m/>
    <s v="19028"/>
    <s v="Higueras"/>
    <x v="1"/>
    <s v="Limpieza de superficies industriales"/>
    <m/>
    <m/>
    <m/>
    <m/>
    <m/>
    <n v="0.98391358765692871"/>
    <m/>
    <s v="Estatal"/>
  </r>
  <r>
    <x v="0"/>
    <s v="Nuevo León"/>
    <s v="19"/>
    <m/>
    <m/>
    <s v="19029"/>
    <s v="Hualahuises"/>
    <x v="1"/>
    <s v="Limpieza de superficies industriales"/>
    <m/>
    <m/>
    <m/>
    <m/>
    <m/>
    <n v="3.1669718602707393"/>
    <m/>
    <s v="Estatal"/>
  </r>
  <r>
    <x v="0"/>
    <s v="Nuevo León"/>
    <s v="19"/>
    <m/>
    <m/>
    <s v="19030"/>
    <s v="Iturbide"/>
    <x v="1"/>
    <s v="Limpieza de superficies industriales"/>
    <m/>
    <m/>
    <m/>
    <m/>
    <m/>
    <n v="1.6296068795567882"/>
    <m/>
    <s v="Estatal"/>
  </r>
  <r>
    <x v="0"/>
    <s v="Nuevo León"/>
    <s v="19"/>
    <s v="19.01"/>
    <s v="Monterrey"/>
    <s v="19031"/>
    <s v="Juárez"/>
    <x v="1"/>
    <s v="Limpieza de superficies industriales"/>
    <m/>
    <m/>
    <m/>
    <m/>
    <m/>
    <n v="173.41476982453369"/>
    <m/>
    <s v="Estatal"/>
  </r>
  <r>
    <x v="0"/>
    <s v="Nuevo León"/>
    <s v="19"/>
    <m/>
    <m/>
    <s v="19032"/>
    <s v="Lampazos de Naranjo"/>
    <x v="1"/>
    <s v="Limpieza de superficies industriales"/>
    <m/>
    <m/>
    <m/>
    <m/>
    <m/>
    <n v="2.5827731675994379"/>
    <m/>
    <s v="Estatal"/>
  </r>
  <r>
    <x v="0"/>
    <s v="Nuevo León"/>
    <s v="19"/>
    <m/>
    <m/>
    <s v="19033"/>
    <s v="Linares"/>
    <x v="1"/>
    <s v="Limpieza de superficies industriales"/>
    <m/>
    <m/>
    <m/>
    <m/>
    <m/>
    <n v="187.40479114903067"/>
    <m/>
    <s v="Estatal"/>
  </r>
  <r>
    <x v="0"/>
    <s v="Nuevo León"/>
    <s v="19"/>
    <m/>
    <m/>
    <s v="19034"/>
    <s v="Marín"/>
    <x v="1"/>
    <s v="Limpieza de superficies industriales"/>
    <m/>
    <m/>
    <m/>
    <m/>
    <m/>
    <n v="2.5827731675994379"/>
    <m/>
    <s v="Estatal"/>
  </r>
  <r>
    <x v="0"/>
    <s v="Nuevo León"/>
    <s v="19"/>
    <m/>
    <m/>
    <s v="19035"/>
    <s v="Melchor Ocampo"/>
    <x v="1"/>
    <s v="Limpieza de superficies industriales"/>
    <m/>
    <m/>
    <m/>
    <m/>
    <m/>
    <n v="0.12298919845711609"/>
    <m/>
    <s v="Estatal"/>
  </r>
  <r>
    <x v="0"/>
    <s v="Nuevo León"/>
    <s v="19"/>
    <m/>
    <m/>
    <s v="19036"/>
    <s v="Mier y Noriega"/>
    <x v="1"/>
    <s v="Limpieza de superficies industriales"/>
    <m/>
    <m/>
    <m/>
    <m/>
    <m/>
    <n v="0.3382202957570693"/>
    <m/>
    <s v="Estatal"/>
  </r>
  <r>
    <x v="0"/>
    <s v="Nuevo León"/>
    <s v="19"/>
    <m/>
    <m/>
    <s v="19037"/>
    <s v="Mina"/>
    <x v="1"/>
    <s v="Limpieza de superficies industriales"/>
    <m/>
    <m/>
    <m/>
    <m/>
    <m/>
    <n v="0.43046219459990631"/>
    <m/>
    <s v="Estatal"/>
  </r>
  <r>
    <x v="0"/>
    <s v="Nuevo León"/>
    <s v="19"/>
    <m/>
    <m/>
    <s v="19038"/>
    <s v="Montemorelos"/>
    <x v="1"/>
    <s v="Limpieza de superficies industriales"/>
    <m/>
    <m/>
    <m/>
    <m/>
    <m/>
    <n v="92.088162344765692"/>
    <m/>
    <s v="Estatal"/>
  </r>
  <r>
    <x v="0"/>
    <s v="Nuevo León"/>
    <s v="19"/>
    <s v="19.01"/>
    <s v="Monterrey"/>
    <s v="19039"/>
    <s v="Monterrey"/>
    <x v="1"/>
    <s v="Limpieza de superficies industriales"/>
    <m/>
    <m/>
    <m/>
    <m/>
    <m/>
    <n v="2545.4459458677034"/>
    <m/>
    <s v="Estatal"/>
  </r>
  <r>
    <x v="0"/>
    <s v="Nuevo León"/>
    <s v="19"/>
    <m/>
    <m/>
    <s v="19040"/>
    <s v="Parás"/>
    <x v="1"/>
    <s v="Limpieza de superficies industriales"/>
    <m/>
    <m/>
    <m/>
    <m/>
    <m/>
    <n v="3.0747299614279022E-2"/>
    <m/>
    <s v="Estatal"/>
  </r>
  <r>
    <x v="0"/>
    <s v="Nuevo León"/>
    <s v="19"/>
    <s v="19.01"/>
    <s v="Monterrey"/>
    <s v="19041"/>
    <s v="Pesquería"/>
    <x v="1"/>
    <s v="Limpieza de superficies industriales"/>
    <m/>
    <m/>
    <m/>
    <m/>
    <m/>
    <n v="51.655463351988757"/>
    <m/>
    <s v="Estatal"/>
  </r>
  <r>
    <x v="0"/>
    <s v="Nuevo León"/>
    <s v="19"/>
    <m/>
    <m/>
    <s v="19042"/>
    <s v="Los Ramones"/>
    <x v="1"/>
    <s v="Limpieza de superficies industriales"/>
    <m/>
    <m/>
    <m/>
    <m/>
    <m/>
    <n v="0.95316628804264969"/>
    <m/>
    <s v="Estatal"/>
  </r>
  <r>
    <x v="0"/>
    <s v="Nuevo León"/>
    <s v="19"/>
    <m/>
    <m/>
    <s v="19043"/>
    <s v="Rayones"/>
    <x v="1"/>
    <s v="Limpieza de superficies industriales"/>
    <m/>
    <m/>
    <m/>
    <m/>
    <m/>
    <n v="0.55345139305702251"/>
    <m/>
    <s v="Estatal"/>
  </r>
  <r>
    <x v="0"/>
    <s v="Nuevo León"/>
    <s v="19"/>
    <m/>
    <m/>
    <s v="19044"/>
    <s v="Sabinas Hidalgo"/>
    <x v="1"/>
    <s v="Limpieza de superficies industriales"/>
    <m/>
    <m/>
    <m/>
    <m/>
    <m/>
    <n v="53.869268924216854"/>
    <m/>
    <s v="Estatal"/>
  </r>
  <r>
    <x v="0"/>
    <s v="Nuevo León"/>
    <s v="19"/>
    <s v="19.01"/>
    <s v="Monterrey"/>
    <s v="19045"/>
    <s v="Salinas Victoria"/>
    <x v="1"/>
    <s v="Limpieza de superficies industriales"/>
    <m/>
    <m/>
    <m/>
    <m/>
    <m/>
    <n v="59.403782854787075"/>
    <m/>
    <s v="Estatal"/>
  </r>
  <r>
    <x v="0"/>
    <s v="Nuevo León"/>
    <s v="19"/>
    <s v="19.01"/>
    <s v="Monterrey"/>
    <s v="19046"/>
    <s v="San Nicolás de los Garza"/>
    <x v="1"/>
    <s v="Limpieza de superficies industriales"/>
    <m/>
    <m/>
    <m/>
    <m/>
    <m/>
    <n v="1394.3285429083251"/>
    <m/>
    <s v="Estatal"/>
  </r>
  <r>
    <x v="0"/>
    <s v="Nuevo León"/>
    <s v="19"/>
    <s v="19.01"/>
    <s v="Monterrey"/>
    <s v="19047"/>
    <s v="Hidalgo"/>
    <x v="1"/>
    <s v="Limpieza de superficies industriales"/>
    <m/>
    <m/>
    <m/>
    <m/>
    <m/>
    <n v="7.2871100085841292"/>
    <m/>
    <s v="Estatal"/>
  </r>
  <r>
    <x v="0"/>
    <s v="Nuevo León"/>
    <s v="19"/>
    <s v="19.01"/>
    <s v="Monterrey"/>
    <s v="19048"/>
    <s v="Santa Catarina"/>
    <x v="1"/>
    <s v="Limpieza de superficies industriales"/>
    <m/>
    <m/>
    <m/>
    <m/>
    <m/>
    <n v="1308.328345887187"/>
    <m/>
    <s v="Estatal"/>
  </r>
  <r>
    <x v="0"/>
    <s v="Nuevo León"/>
    <s v="19"/>
    <s v="19.01"/>
    <s v="Monterrey"/>
    <s v="19049"/>
    <s v="Santiago"/>
    <x v="1"/>
    <s v="Limpieza de superficies industriales"/>
    <m/>
    <m/>
    <m/>
    <m/>
    <m/>
    <n v="22.998980111480712"/>
    <m/>
    <s v="Estatal"/>
  </r>
  <r>
    <x v="0"/>
    <s v="Nuevo León"/>
    <s v="19"/>
    <m/>
    <m/>
    <s v="19050"/>
    <s v="Vallecillo"/>
    <x v="1"/>
    <s v="Limpieza de superficies industriales"/>
    <m/>
    <m/>
    <m/>
    <m/>
    <m/>
    <n v="0"/>
    <m/>
    <s v="Estatal"/>
  </r>
  <r>
    <x v="0"/>
    <s v="Nuevo León"/>
    <s v="19"/>
    <m/>
    <m/>
    <s v="19051"/>
    <s v="Villaldama"/>
    <x v="1"/>
    <s v="Limpieza de superficies industriales"/>
    <m/>
    <m/>
    <m/>
    <m/>
    <m/>
    <n v="3.5051921560278094"/>
    <m/>
    <s v="Estatal"/>
  </r>
  <r>
    <x v="0"/>
    <s v="Nuevo León"/>
    <s v="19"/>
    <s v="19.01"/>
    <s v="Monterrey"/>
    <s v="19001"/>
    <s v="Abasolo"/>
    <x v="1"/>
    <s v="Pintado Automotriz"/>
    <m/>
    <m/>
    <m/>
    <m/>
    <m/>
    <n v="0"/>
    <m/>
    <s v="Estatal"/>
  </r>
  <r>
    <x v="0"/>
    <s v="Nuevo León"/>
    <s v="19"/>
    <m/>
    <m/>
    <s v="19002"/>
    <s v="Agualeguas"/>
    <x v="1"/>
    <s v="Pintado Automotriz"/>
    <m/>
    <m/>
    <m/>
    <m/>
    <m/>
    <n v="0"/>
    <m/>
    <s v="Estatal"/>
  </r>
  <r>
    <x v="0"/>
    <s v="Nuevo León"/>
    <s v="19"/>
    <m/>
    <m/>
    <s v="19003"/>
    <s v="Los Aldamas"/>
    <x v="1"/>
    <s v="Pintado Automotriz"/>
    <m/>
    <m/>
    <m/>
    <m/>
    <m/>
    <n v="0"/>
    <m/>
    <s v="Estatal"/>
  </r>
  <r>
    <x v="0"/>
    <s v="Nuevo León"/>
    <s v="19"/>
    <m/>
    <m/>
    <s v="19004"/>
    <s v="Allende"/>
    <x v="1"/>
    <s v="Pintado Automotriz"/>
    <m/>
    <m/>
    <m/>
    <m/>
    <m/>
    <n v="19.826609183009371"/>
    <m/>
    <s v="Estatal"/>
  </r>
  <r>
    <x v="0"/>
    <s v="Nuevo León"/>
    <s v="19"/>
    <m/>
    <m/>
    <s v="19005"/>
    <s v="Anáhuac"/>
    <x v="1"/>
    <s v="Pintado Automotriz"/>
    <m/>
    <m/>
    <m/>
    <m/>
    <m/>
    <n v="3.8875704280410526"/>
    <m/>
    <s v="Estatal"/>
  </r>
  <r>
    <x v="0"/>
    <s v="Nuevo León"/>
    <s v="19"/>
    <s v="19.01"/>
    <s v="Monterrey"/>
    <s v="19006"/>
    <s v="Apodaca"/>
    <x v="1"/>
    <s v="Pintado Automotriz"/>
    <m/>
    <m/>
    <m/>
    <m/>
    <m/>
    <n v="59.479827549028094"/>
    <m/>
    <s v="Estatal"/>
  </r>
  <r>
    <x v="0"/>
    <s v="Nuevo León"/>
    <s v="19"/>
    <m/>
    <m/>
    <s v="19007"/>
    <s v="Aramberri"/>
    <x v="1"/>
    <s v="Pintado Automotriz"/>
    <m/>
    <m/>
    <m/>
    <m/>
    <m/>
    <n v="1.5550281712164211"/>
    <m/>
    <s v="Estatal"/>
  </r>
  <r>
    <x v="0"/>
    <s v="Nuevo León"/>
    <s v="19"/>
    <m/>
    <m/>
    <s v="19008"/>
    <s v="Bustamante"/>
    <x v="1"/>
    <s v="Pintado Automotriz"/>
    <m/>
    <m/>
    <m/>
    <m/>
    <m/>
    <n v="0"/>
    <m/>
    <s v="Estatal"/>
  </r>
  <r>
    <x v="0"/>
    <s v="Nuevo León"/>
    <s v="19"/>
    <s v="19.01"/>
    <s v="Monterrey"/>
    <s v="19009"/>
    <s v="Cadereyta Jiménez"/>
    <x v="1"/>
    <s v="Pintado Automotriz"/>
    <m/>
    <m/>
    <m/>
    <m/>
    <m/>
    <n v="19.437852140205269"/>
    <m/>
    <s v="Estatal"/>
  </r>
  <r>
    <x v="0"/>
    <s v="Nuevo León"/>
    <s v="19"/>
    <s v="19.01"/>
    <s v="Monterrey"/>
    <s v="19010"/>
    <s v="El Carmen"/>
    <x v="1"/>
    <s v="Pintado Automotriz"/>
    <m/>
    <m/>
    <m/>
    <m/>
    <m/>
    <n v="0"/>
    <m/>
    <s v="Estatal"/>
  </r>
  <r>
    <x v="0"/>
    <s v="Nuevo León"/>
    <s v="19"/>
    <m/>
    <m/>
    <s v="19011"/>
    <s v="Cerralvo"/>
    <x v="1"/>
    <s v="Pintado Automotriz"/>
    <m/>
    <m/>
    <m/>
    <m/>
    <m/>
    <n v="0.77751408560821056"/>
    <m/>
    <s v="Estatal"/>
  </r>
  <r>
    <x v="0"/>
    <s v="Nuevo León"/>
    <s v="19"/>
    <s v="19.01"/>
    <s v="Monterrey"/>
    <s v="19012"/>
    <s v="Ciénega de Flores"/>
    <x v="1"/>
    <s v="Pintado Automotriz"/>
    <m/>
    <m/>
    <m/>
    <m/>
    <m/>
    <n v="3.1100563424328422"/>
    <m/>
    <s v="Estatal"/>
  </r>
  <r>
    <x v="0"/>
    <s v="Nuevo León"/>
    <s v="19"/>
    <m/>
    <m/>
    <s v="19013"/>
    <s v="China"/>
    <x v="1"/>
    <s v="Pintado Automotriz"/>
    <m/>
    <m/>
    <m/>
    <m/>
    <m/>
    <n v="2.3325422568246319"/>
    <m/>
    <s v="Estatal"/>
  </r>
  <r>
    <x v="0"/>
    <s v="Nuevo León"/>
    <s v="19"/>
    <m/>
    <m/>
    <s v="19014"/>
    <s v="Doctor Arroyo"/>
    <x v="1"/>
    <s v="Pintado Automotriz"/>
    <m/>
    <m/>
    <m/>
    <m/>
    <m/>
    <n v="4.6650845136492629"/>
    <m/>
    <s v="Estatal"/>
  </r>
  <r>
    <x v="0"/>
    <s v="Nuevo León"/>
    <s v="19"/>
    <m/>
    <m/>
    <s v="19015"/>
    <s v="Doctor Coss"/>
    <x v="1"/>
    <s v="Pintado Automotriz"/>
    <m/>
    <m/>
    <m/>
    <m/>
    <m/>
    <n v="0"/>
    <m/>
    <s v="Estatal"/>
  </r>
  <r>
    <x v="0"/>
    <s v="Nuevo León"/>
    <s v="19"/>
    <m/>
    <m/>
    <s v="19016"/>
    <s v="Doctor González"/>
    <x v="1"/>
    <s v="Pintado Automotriz"/>
    <m/>
    <m/>
    <m/>
    <m/>
    <m/>
    <n v="0"/>
    <m/>
    <s v="Estatal"/>
  </r>
  <r>
    <x v="0"/>
    <s v="Nuevo León"/>
    <s v="19"/>
    <m/>
    <m/>
    <s v="19017"/>
    <s v="Galeana"/>
    <x v="1"/>
    <s v="Pintado Automotriz"/>
    <m/>
    <m/>
    <m/>
    <m/>
    <m/>
    <n v="1.5550281712164211"/>
    <m/>
    <s v="Estatal"/>
  </r>
  <r>
    <x v="0"/>
    <s v="Nuevo León"/>
    <s v="19"/>
    <s v="19.01"/>
    <s v="Monterrey"/>
    <s v="19018"/>
    <s v="García"/>
    <x v="1"/>
    <s v="Pintado Automotriz"/>
    <m/>
    <m/>
    <m/>
    <m/>
    <m/>
    <n v="4.6650845136492629"/>
    <m/>
    <s v="Estatal"/>
  </r>
  <r>
    <x v="0"/>
    <s v="Nuevo León"/>
    <s v="19"/>
    <s v="19.01"/>
    <s v="Monterrey"/>
    <s v="19019"/>
    <s v="San Pedro Garza García"/>
    <x v="1"/>
    <s v="Pintado Automotriz"/>
    <m/>
    <m/>
    <m/>
    <m/>
    <m/>
    <n v="51.315929650141904"/>
    <m/>
    <s v="Estatal"/>
  </r>
  <r>
    <x v="0"/>
    <s v="Nuevo León"/>
    <s v="19"/>
    <m/>
    <m/>
    <s v="19020"/>
    <s v="General Bravo"/>
    <x v="1"/>
    <s v="Pintado Automotriz"/>
    <m/>
    <m/>
    <m/>
    <m/>
    <m/>
    <n v="1.5550281712164211"/>
    <m/>
    <s v="Estatal"/>
  </r>
  <r>
    <x v="0"/>
    <s v="Nuevo León"/>
    <s v="19"/>
    <s v="19.01"/>
    <s v="Monterrey"/>
    <s v="19021"/>
    <s v="General Escobedo"/>
    <x v="1"/>
    <s v="Pintado Automotriz"/>
    <m/>
    <m/>
    <m/>
    <m/>
    <m/>
    <n v="49.760901478925469"/>
    <m/>
    <s v="Estatal"/>
  </r>
  <r>
    <x v="0"/>
    <s v="Nuevo León"/>
    <s v="19"/>
    <m/>
    <m/>
    <s v="19022"/>
    <s v="General Terán"/>
    <x v="1"/>
    <s v="Pintado Automotriz"/>
    <m/>
    <m/>
    <m/>
    <m/>
    <m/>
    <n v="4.6650845136492638"/>
    <m/>
    <s v="Estatal"/>
  </r>
  <r>
    <x v="0"/>
    <s v="Nuevo León"/>
    <s v="19"/>
    <m/>
    <m/>
    <s v="19023"/>
    <s v="General Treviño"/>
    <x v="1"/>
    <s v="Pintado Automotriz"/>
    <m/>
    <m/>
    <m/>
    <m/>
    <m/>
    <n v="0"/>
    <m/>
    <s v="Estatal"/>
  </r>
  <r>
    <x v="0"/>
    <s v="Nuevo León"/>
    <s v="19"/>
    <m/>
    <m/>
    <s v="19024"/>
    <s v="General Zaragoza"/>
    <x v="1"/>
    <s v="Pintado Automotriz"/>
    <m/>
    <m/>
    <m/>
    <m/>
    <m/>
    <n v="0.77751408560821056"/>
    <m/>
    <s v="Estatal"/>
  </r>
  <r>
    <x v="0"/>
    <s v="Nuevo León"/>
    <s v="19"/>
    <s v="19.01"/>
    <s v="Monterrey"/>
    <s v="19025"/>
    <s v="General Zuazua"/>
    <x v="1"/>
    <s v="Pintado Automotriz"/>
    <m/>
    <m/>
    <m/>
    <m/>
    <m/>
    <n v="2.3325422568246319"/>
    <m/>
    <s v="Estatal"/>
  </r>
  <r>
    <x v="0"/>
    <s v="Nuevo León"/>
    <s v="19"/>
    <s v="19.01"/>
    <s v="Monterrey"/>
    <s v="19026"/>
    <s v="Guadalupe"/>
    <x v="1"/>
    <s v="Pintado Automotriz"/>
    <m/>
    <m/>
    <m/>
    <m/>
    <m/>
    <n v="186.60338054597062"/>
    <m/>
    <s v="Estatal"/>
  </r>
  <r>
    <x v="0"/>
    <s v="Nuevo León"/>
    <s v="19"/>
    <m/>
    <m/>
    <s v="19027"/>
    <s v="Los Herreras"/>
    <x v="1"/>
    <s v="Pintado Automotriz"/>
    <m/>
    <m/>
    <m/>
    <m/>
    <m/>
    <n v="0"/>
    <m/>
    <s v="Estatal"/>
  </r>
  <r>
    <x v="0"/>
    <s v="Nuevo León"/>
    <s v="19"/>
    <m/>
    <m/>
    <s v="19028"/>
    <s v="Higueras"/>
    <x v="1"/>
    <s v="Pintado Automotriz"/>
    <m/>
    <m/>
    <m/>
    <m/>
    <m/>
    <n v="0"/>
    <m/>
    <s v="Estatal"/>
  </r>
  <r>
    <x v="0"/>
    <s v="Nuevo León"/>
    <s v="19"/>
    <m/>
    <m/>
    <s v="19029"/>
    <s v="Hualahuises"/>
    <x v="1"/>
    <s v="Pintado Automotriz"/>
    <m/>
    <m/>
    <m/>
    <m/>
    <m/>
    <n v="3.1100563424328422"/>
    <m/>
    <s v="Estatal"/>
  </r>
  <r>
    <x v="0"/>
    <s v="Nuevo León"/>
    <s v="19"/>
    <m/>
    <m/>
    <s v="19030"/>
    <s v="Iturbide"/>
    <x v="1"/>
    <s v="Pintado Automotriz"/>
    <m/>
    <m/>
    <m/>
    <m/>
    <m/>
    <n v="0"/>
    <m/>
    <s v="Estatal"/>
  </r>
  <r>
    <x v="0"/>
    <s v="Nuevo León"/>
    <s v="19"/>
    <s v="19.01"/>
    <s v="Monterrey"/>
    <s v="19031"/>
    <s v="Juárez"/>
    <x v="1"/>
    <s v="Pintado Automotriz"/>
    <m/>
    <m/>
    <m/>
    <m/>
    <m/>
    <n v="17.299688404782685"/>
    <m/>
    <s v="Estatal"/>
  </r>
  <r>
    <x v="0"/>
    <s v="Nuevo León"/>
    <s v="19"/>
    <m/>
    <m/>
    <s v="19032"/>
    <s v="Lampazos de Naranjo"/>
    <x v="1"/>
    <s v="Pintado Automotriz"/>
    <m/>
    <m/>
    <m/>
    <m/>
    <m/>
    <n v="0.77751408560821056"/>
    <m/>
    <s v="Estatal"/>
  </r>
  <r>
    <x v="0"/>
    <s v="Nuevo León"/>
    <s v="19"/>
    <m/>
    <m/>
    <s v="19033"/>
    <s v="Linares"/>
    <x v="1"/>
    <s v="Pintado Automotriz"/>
    <m/>
    <m/>
    <m/>
    <m/>
    <m/>
    <n v="21.770394397029893"/>
    <m/>
    <s v="Estatal"/>
  </r>
  <r>
    <x v="0"/>
    <s v="Nuevo León"/>
    <s v="19"/>
    <m/>
    <m/>
    <s v="19034"/>
    <s v="Marín"/>
    <x v="1"/>
    <s v="Pintado Automotriz"/>
    <m/>
    <m/>
    <m/>
    <m/>
    <m/>
    <n v="0"/>
    <m/>
    <s v="Estatal"/>
  </r>
  <r>
    <x v="0"/>
    <s v="Nuevo León"/>
    <s v="19"/>
    <m/>
    <m/>
    <s v="19035"/>
    <s v="Melchor Ocampo"/>
    <x v="1"/>
    <s v="Pintado Automotriz"/>
    <m/>
    <m/>
    <m/>
    <m/>
    <m/>
    <n v="0"/>
    <m/>
    <s v="Estatal"/>
  </r>
  <r>
    <x v="0"/>
    <s v="Nuevo León"/>
    <s v="19"/>
    <m/>
    <m/>
    <s v="19036"/>
    <s v="Mier y Noriega"/>
    <x v="1"/>
    <s v="Pintado Automotriz"/>
    <m/>
    <m/>
    <m/>
    <m/>
    <m/>
    <n v="0"/>
    <m/>
    <s v="Estatal"/>
  </r>
  <r>
    <x v="0"/>
    <s v="Nuevo León"/>
    <s v="19"/>
    <m/>
    <m/>
    <s v="19037"/>
    <s v="Mina"/>
    <x v="1"/>
    <s v="Pintado Automotriz"/>
    <m/>
    <m/>
    <m/>
    <m/>
    <m/>
    <n v="0"/>
    <m/>
    <s v="Estatal"/>
  </r>
  <r>
    <x v="0"/>
    <s v="Nuevo León"/>
    <s v="19"/>
    <m/>
    <m/>
    <s v="19038"/>
    <s v="Montemorelos"/>
    <x v="1"/>
    <s v="Pintado Automotriz"/>
    <m/>
    <m/>
    <m/>
    <m/>
    <m/>
    <n v="19.437852140205262"/>
    <m/>
    <s v="Estatal"/>
  </r>
  <r>
    <x v="0"/>
    <s v="Nuevo León"/>
    <s v="19"/>
    <s v="19.01"/>
    <s v="Monterrey"/>
    <s v="19039"/>
    <s v="Monterrey"/>
    <x v="1"/>
    <s v="Pintado Automotriz"/>
    <m/>
    <m/>
    <m/>
    <m/>
    <m/>
    <n v="487.11257463354519"/>
    <m/>
    <s v="Estatal"/>
  </r>
  <r>
    <x v="0"/>
    <s v="Nuevo León"/>
    <s v="19"/>
    <m/>
    <m/>
    <s v="19040"/>
    <s v="Parás"/>
    <x v="1"/>
    <s v="Pintado Automotriz"/>
    <m/>
    <m/>
    <m/>
    <m/>
    <m/>
    <n v="0"/>
    <m/>
    <s v="Estatal"/>
  </r>
  <r>
    <x v="0"/>
    <s v="Nuevo León"/>
    <s v="19"/>
    <s v="19.01"/>
    <s v="Monterrey"/>
    <s v="19041"/>
    <s v="Pesquería"/>
    <x v="1"/>
    <s v="Pintado Automotriz"/>
    <m/>
    <m/>
    <m/>
    <m/>
    <m/>
    <n v="1.5550281712164211"/>
    <m/>
    <s v="Estatal"/>
  </r>
  <r>
    <x v="0"/>
    <s v="Nuevo León"/>
    <s v="19"/>
    <m/>
    <m/>
    <s v="19042"/>
    <s v="Los Ramones"/>
    <x v="1"/>
    <s v="Pintado Automotriz"/>
    <m/>
    <m/>
    <m/>
    <m/>
    <m/>
    <n v="0"/>
    <m/>
    <s v="Estatal"/>
  </r>
  <r>
    <x v="0"/>
    <s v="Nuevo León"/>
    <s v="19"/>
    <m/>
    <m/>
    <s v="19043"/>
    <s v="Rayones"/>
    <x v="1"/>
    <s v="Pintado Automotriz"/>
    <m/>
    <m/>
    <m/>
    <m/>
    <m/>
    <n v="0"/>
    <m/>
    <s v="Estatal"/>
  </r>
  <r>
    <x v="0"/>
    <s v="Nuevo León"/>
    <s v="19"/>
    <m/>
    <m/>
    <s v="19044"/>
    <s v="Sabinas Hidalgo"/>
    <x v="1"/>
    <s v="Pintado Automotriz"/>
    <m/>
    <m/>
    <m/>
    <m/>
    <m/>
    <n v="12.828982412535474"/>
    <m/>
    <s v="Estatal"/>
  </r>
  <r>
    <x v="0"/>
    <s v="Nuevo León"/>
    <s v="19"/>
    <s v="19.01"/>
    <s v="Monterrey"/>
    <s v="19045"/>
    <s v="Salinas Victoria"/>
    <x v="1"/>
    <s v="Pintado Automotriz"/>
    <m/>
    <m/>
    <m/>
    <m/>
    <m/>
    <n v="5.6369771206595267"/>
    <m/>
    <s v="Estatal"/>
  </r>
  <r>
    <x v="0"/>
    <s v="Nuevo León"/>
    <s v="19"/>
    <s v="19.01"/>
    <s v="Monterrey"/>
    <s v="19046"/>
    <s v="San Nicolás de los Garza"/>
    <x v="1"/>
    <s v="Pintado Automotriz"/>
    <m/>
    <m/>
    <m/>
    <m/>
    <m/>
    <n v="113.32267797739682"/>
    <m/>
    <s v="Estatal"/>
  </r>
  <r>
    <x v="0"/>
    <s v="Nuevo León"/>
    <s v="19"/>
    <s v="19.01"/>
    <s v="Monterrey"/>
    <s v="19047"/>
    <s v="Hidalgo"/>
    <x v="1"/>
    <s v="Pintado Automotriz"/>
    <m/>
    <m/>
    <m/>
    <m/>
    <m/>
    <n v="0.77751408560821056"/>
    <m/>
    <s v="Estatal"/>
  </r>
  <r>
    <x v="0"/>
    <s v="Nuevo León"/>
    <s v="19"/>
    <s v="19.01"/>
    <s v="Monterrey"/>
    <s v="19048"/>
    <s v="Santa Catarina"/>
    <x v="1"/>
    <s v="Pintado Automotriz"/>
    <m/>
    <m/>
    <m/>
    <m/>
    <m/>
    <n v="27.601750039091474"/>
    <m/>
    <s v="Estatal"/>
  </r>
  <r>
    <x v="0"/>
    <s v="Nuevo León"/>
    <s v="19"/>
    <s v="19.01"/>
    <s v="Monterrey"/>
    <s v="19049"/>
    <s v="Santiago"/>
    <x v="1"/>
    <s v="Pintado Automotriz"/>
    <m/>
    <m/>
    <m/>
    <m/>
    <m/>
    <n v="7.1920052918759474"/>
    <m/>
    <s v="Estatal"/>
  </r>
  <r>
    <x v="0"/>
    <s v="Nuevo León"/>
    <s v="19"/>
    <m/>
    <m/>
    <s v="19050"/>
    <s v="Vallecillo"/>
    <x v="1"/>
    <s v="Pintado Automotriz"/>
    <m/>
    <m/>
    <m/>
    <m/>
    <m/>
    <n v="0"/>
    <m/>
    <s v="Estatal"/>
  </r>
  <r>
    <x v="0"/>
    <s v="Nuevo León"/>
    <s v="19"/>
    <m/>
    <m/>
    <s v="19051"/>
    <s v="Villaldama"/>
    <x v="1"/>
    <s v="Pintado Automotriz"/>
    <m/>
    <m/>
    <m/>
    <m/>
    <m/>
    <n v="0"/>
    <m/>
    <s v="Estatal"/>
  </r>
  <r>
    <x v="0"/>
    <s v="Nuevo León"/>
    <s v="19"/>
    <s v="19.01"/>
    <s v="Monterrey"/>
    <s v="19001"/>
    <s v="Abasolo"/>
    <x v="1"/>
    <s v="Recubrimiento de superficies arquitectónicas"/>
    <m/>
    <m/>
    <m/>
    <m/>
    <m/>
    <n v="2.2078457792419734"/>
    <m/>
    <s v="Estatal"/>
  </r>
  <r>
    <x v="0"/>
    <s v="Nuevo León"/>
    <s v="19"/>
    <m/>
    <m/>
    <s v="19002"/>
    <s v="Agualeguas"/>
    <x v="1"/>
    <s v="Recubrimiento de superficies arquitectónicas"/>
    <m/>
    <m/>
    <m/>
    <m/>
    <m/>
    <n v="1.6619057320112314"/>
    <m/>
    <s v="Estatal"/>
  </r>
  <r>
    <x v="0"/>
    <s v="Nuevo León"/>
    <s v="19"/>
    <m/>
    <m/>
    <s v="19003"/>
    <s v="Los Aldamas"/>
    <x v="1"/>
    <s v="Recubrimiento de superficies arquitectónicas"/>
    <m/>
    <m/>
    <m/>
    <m/>
    <m/>
    <n v="0.62622534829408727"/>
    <m/>
    <s v="Estatal"/>
  </r>
  <r>
    <x v="0"/>
    <s v="Nuevo León"/>
    <s v="19"/>
    <m/>
    <m/>
    <s v="19004"/>
    <s v="Allende"/>
    <x v="1"/>
    <s v="Recubrimiento de superficies arquitectónicas"/>
    <m/>
    <m/>
    <m/>
    <m/>
    <m/>
    <n v="32.049892184487121"/>
    <m/>
    <s v="Estatal"/>
  </r>
  <r>
    <x v="0"/>
    <s v="Nuevo León"/>
    <s v="19"/>
    <m/>
    <m/>
    <s v="19005"/>
    <s v="Anáhuac"/>
    <x v="1"/>
    <s v="Recubrimiento de superficies arquitectónicas"/>
    <m/>
    <m/>
    <m/>
    <m/>
    <m/>
    <n v="19.095858857916493"/>
    <m/>
    <s v="Estatal"/>
  </r>
  <r>
    <x v="0"/>
    <s v="Nuevo León"/>
    <s v="19"/>
    <s v="19.01"/>
    <s v="Monterrey"/>
    <s v="19006"/>
    <s v="Apodaca"/>
    <x v="1"/>
    <s v="Recubrimiento de superficies arquitectónicas"/>
    <m/>
    <m/>
    <m/>
    <m/>
    <m/>
    <n v="682.87064245932879"/>
    <m/>
    <s v="Estatal"/>
  </r>
  <r>
    <x v="0"/>
    <s v="Nuevo León"/>
    <s v="19"/>
    <m/>
    <m/>
    <s v="19007"/>
    <s v="Aramberri"/>
    <x v="1"/>
    <s v="Recubrimiento de superficies arquitectónicas"/>
    <m/>
    <m/>
    <m/>
    <m/>
    <m/>
    <n v="6.4790237958119024"/>
    <m/>
    <s v="Estatal"/>
  </r>
  <r>
    <x v="0"/>
    <s v="Nuevo León"/>
    <s v="19"/>
    <m/>
    <m/>
    <s v="19008"/>
    <s v="Bustamante"/>
    <x v="1"/>
    <s v="Recubrimiento de superficies arquitectónicas"/>
    <m/>
    <m/>
    <m/>
    <m/>
    <m/>
    <n v="4.4317486186966164"/>
    <m/>
    <s v="Estatal"/>
  </r>
  <r>
    <x v="0"/>
    <s v="Nuevo León"/>
    <s v="19"/>
    <s v="19.01"/>
    <s v="Monterrey"/>
    <s v="19009"/>
    <s v="Cadereyta Jiménez"/>
    <x v="1"/>
    <s v="Recubrimiento de superficies arquitectónicas"/>
    <m/>
    <m/>
    <m/>
    <m/>
    <m/>
    <n v="86.607768522082893"/>
    <m/>
    <s v="Estatal"/>
  </r>
  <r>
    <x v="0"/>
    <s v="Nuevo León"/>
    <s v="19"/>
    <s v="19.01"/>
    <s v="Monterrey"/>
    <s v="19010"/>
    <s v="El Carmen"/>
    <x v="1"/>
    <s v="Recubrimiento de superficies arquitectónicas"/>
    <m/>
    <m/>
    <m/>
    <m/>
    <m/>
    <n v="40.034265375236743"/>
    <m/>
    <s v="Estatal"/>
  </r>
  <r>
    <x v="0"/>
    <s v="Nuevo León"/>
    <s v="19"/>
    <m/>
    <m/>
    <s v="19011"/>
    <s v="Cerralvo"/>
    <x v="1"/>
    <s v="Recubrimiento de superficies arquitectónicas"/>
    <m/>
    <m/>
    <m/>
    <m/>
    <m/>
    <n v="8.1610008530889697"/>
    <m/>
    <s v="Estatal"/>
  </r>
  <r>
    <x v="0"/>
    <s v="Nuevo León"/>
    <s v="19"/>
    <s v="19.01"/>
    <s v="Monterrey"/>
    <s v="19012"/>
    <s v="Ciénega de Flores"/>
    <x v="1"/>
    <s v="Recubrimiento de superficies arquitectónicas"/>
    <m/>
    <m/>
    <m/>
    <m/>
    <m/>
    <n v="49.532016491030383"/>
    <m/>
    <s v="Estatal"/>
  </r>
  <r>
    <x v="0"/>
    <s v="Nuevo León"/>
    <s v="19"/>
    <m/>
    <m/>
    <s v="19013"/>
    <s v="China"/>
    <x v="1"/>
    <s v="Recubrimiento de superficies arquitectónicas"/>
    <m/>
    <m/>
    <m/>
    <m/>
    <m/>
    <n v="10.477231788766456"/>
    <m/>
    <s v="Estatal"/>
  </r>
  <r>
    <x v="0"/>
    <s v="Nuevo León"/>
    <s v="19"/>
    <m/>
    <m/>
    <s v="19014"/>
    <s v="Doctor Arroyo"/>
    <x v="1"/>
    <s v="Recubrimiento de superficies arquitectónicas"/>
    <m/>
    <m/>
    <m/>
    <m/>
    <m/>
    <n v="11.597211738600112"/>
    <m/>
    <s v="Estatal"/>
  </r>
  <r>
    <x v="0"/>
    <s v="Nuevo León"/>
    <s v="19"/>
    <m/>
    <m/>
    <s v="19015"/>
    <s v="Doctor Coss"/>
    <x v="1"/>
    <s v="Recubrimiento de superficies arquitectónicas"/>
    <m/>
    <m/>
    <m/>
    <m/>
    <m/>
    <n v="0.89518110685629115"/>
    <m/>
    <s v="Estatal"/>
  </r>
  <r>
    <x v="0"/>
    <s v="Nuevo León"/>
    <s v="19"/>
    <m/>
    <m/>
    <s v="19016"/>
    <s v="Doctor González"/>
    <x v="1"/>
    <s v="Recubrimiento de superficies arquitectónicas"/>
    <m/>
    <m/>
    <m/>
    <m/>
    <m/>
    <n v="2.1998172491356391"/>
    <m/>
    <s v="Estatal"/>
  </r>
  <r>
    <x v="0"/>
    <s v="Nuevo León"/>
    <s v="19"/>
    <m/>
    <m/>
    <s v="19017"/>
    <s v="Galeana"/>
    <x v="1"/>
    <s v="Recubrimiento de superficies arquitectónicas"/>
    <m/>
    <m/>
    <m/>
    <m/>
    <m/>
    <n v="8.3255857202688262"/>
    <m/>
    <s v="Estatal"/>
  </r>
  <r>
    <x v="0"/>
    <s v="Nuevo León"/>
    <s v="19"/>
    <s v="19.01"/>
    <s v="Monterrey"/>
    <s v="19018"/>
    <s v="García"/>
    <x v="1"/>
    <s v="Recubrimiento de superficies arquitectónicas"/>
    <m/>
    <m/>
    <m/>
    <m/>
    <m/>
    <n v="284.82414831737435"/>
    <m/>
    <s v="Estatal"/>
  </r>
  <r>
    <x v="0"/>
    <s v="Nuevo León"/>
    <s v="19"/>
    <s v="19.01"/>
    <s v="Monterrey"/>
    <s v="19019"/>
    <s v="San Pedro Garza García"/>
    <x v="1"/>
    <s v="Recubrimiento de superficies arquitectónicas"/>
    <m/>
    <m/>
    <m/>
    <m/>
    <m/>
    <n v="145.58936494826892"/>
    <m/>
    <s v="Estatal"/>
  </r>
  <r>
    <x v="0"/>
    <s v="Nuevo León"/>
    <s v="19"/>
    <m/>
    <m/>
    <s v="19020"/>
    <s v="General Bravo"/>
    <x v="1"/>
    <s v="Recubrimiento de superficies arquitectónicas"/>
    <m/>
    <m/>
    <m/>
    <m/>
    <m/>
    <n v="4.5802764256638042"/>
    <m/>
    <s v="Estatal"/>
  </r>
  <r>
    <x v="0"/>
    <s v="Nuevo León"/>
    <s v="19"/>
    <s v="19.01"/>
    <s v="Monterrey"/>
    <s v="19021"/>
    <s v="General Escobedo"/>
    <x v="1"/>
    <s v="Recubrimiento de superficies arquitectónicas"/>
    <m/>
    <m/>
    <m/>
    <m/>
    <m/>
    <n v="477.39245718285918"/>
    <m/>
    <s v="Estatal"/>
  </r>
  <r>
    <x v="0"/>
    <s v="Nuevo León"/>
    <s v="19"/>
    <m/>
    <m/>
    <s v="19022"/>
    <s v="General Terán"/>
    <x v="1"/>
    <s v="Recubrimiento de superficies arquitectónicas"/>
    <m/>
    <m/>
    <m/>
    <m/>
    <m/>
    <n v="7.5267469746885478"/>
    <m/>
    <s v="Estatal"/>
  </r>
  <r>
    <x v="0"/>
    <s v="Nuevo León"/>
    <s v="19"/>
    <m/>
    <m/>
    <s v="19023"/>
    <s v="General Treviño"/>
    <x v="1"/>
    <s v="Recubrimiento de superficies arquitectónicas"/>
    <m/>
    <m/>
    <m/>
    <m/>
    <m/>
    <n v="1.0356803837171442"/>
    <m/>
    <s v="Estatal"/>
  </r>
  <r>
    <x v="0"/>
    <s v="Nuevo León"/>
    <s v="19"/>
    <m/>
    <m/>
    <s v="19024"/>
    <s v="General Zaragoza"/>
    <x v="1"/>
    <s v="Recubrimiento de superficies arquitectónicas"/>
    <m/>
    <m/>
    <m/>
    <m/>
    <m/>
    <n v="2.2801025501989836"/>
    <m/>
    <s v="Estatal"/>
  </r>
  <r>
    <x v="0"/>
    <s v="Nuevo León"/>
    <s v="19"/>
    <s v="19.01"/>
    <s v="Monterrey"/>
    <s v="19025"/>
    <s v="General Zuazua"/>
    <x v="1"/>
    <s v="Recubrimiento de superficies arquitectónicas"/>
    <m/>
    <m/>
    <m/>
    <m/>
    <m/>
    <n v="89.490010830256935"/>
    <m/>
    <s v="Estatal"/>
  </r>
  <r>
    <x v="0"/>
    <s v="Nuevo León"/>
    <s v="19"/>
    <s v="19.01"/>
    <s v="Monterrey"/>
    <s v="19026"/>
    <s v="Guadalupe"/>
    <x v="1"/>
    <s v="Recubrimiento de superficies arquitectónicas"/>
    <m/>
    <m/>
    <m/>
    <m/>
    <m/>
    <n v="754.73802970618294"/>
    <m/>
    <s v="Estatal"/>
  </r>
  <r>
    <x v="0"/>
    <s v="Nuevo León"/>
    <s v="19"/>
    <m/>
    <m/>
    <s v="19027"/>
    <s v="Los Herreras"/>
    <x v="1"/>
    <s v="Recubrimiento de superficies arquitectónicas"/>
    <m/>
    <m/>
    <m/>
    <m/>
    <m/>
    <n v="1.6418344067453954"/>
    <m/>
    <s v="Estatal"/>
  </r>
  <r>
    <x v="0"/>
    <s v="Nuevo León"/>
    <s v="19"/>
    <m/>
    <m/>
    <s v="19028"/>
    <s v="Higueras"/>
    <x v="1"/>
    <s v="Recubrimiento de superficies arquitectónicas"/>
    <m/>
    <m/>
    <m/>
    <m/>
    <m/>
    <n v="1.6619057320112316"/>
    <m/>
    <s v="Estatal"/>
  </r>
  <r>
    <x v="0"/>
    <s v="Nuevo León"/>
    <s v="19"/>
    <m/>
    <m/>
    <s v="19029"/>
    <s v="Hualahuises"/>
    <x v="1"/>
    <s v="Recubrimiento de superficies arquitectónicas"/>
    <m/>
    <m/>
    <m/>
    <m/>
    <m/>
    <n v="6.7078369038424333"/>
    <m/>
    <s v="Estatal"/>
  </r>
  <r>
    <x v="0"/>
    <s v="Nuevo León"/>
    <s v="19"/>
    <m/>
    <m/>
    <s v="19030"/>
    <s v="Iturbide"/>
    <x v="1"/>
    <s v="Recubrimiento de superficies arquitectónicas"/>
    <m/>
    <m/>
    <m/>
    <m/>
    <m/>
    <n v="2.2319313695609768"/>
    <m/>
    <s v="Estatal"/>
  </r>
  <r>
    <x v="0"/>
    <s v="Nuevo León"/>
    <s v="19"/>
    <s v="19.01"/>
    <s v="Monterrey"/>
    <s v="19031"/>
    <s v="Juárez"/>
    <x v="1"/>
    <s v="Recubrimiento de superficies arquitectónicas"/>
    <m/>
    <m/>
    <m/>
    <m/>
    <m/>
    <n v="384.18925117842292"/>
    <m/>
    <s v="Estatal"/>
  </r>
  <r>
    <x v="0"/>
    <s v="Nuevo León"/>
    <s v="19"/>
    <m/>
    <m/>
    <s v="19032"/>
    <s v="Lampazos de Naranjo"/>
    <x v="1"/>
    <s v="Recubrimiento de superficies arquitectónicas"/>
    <m/>
    <m/>
    <m/>
    <m/>
    <m/>
    <n v="5.7122991706569612"/>
    <m/>
    <s v="Estatal"/>
  </r>
  <r>
    <x v="0"/>
    <s v="Nuevo León"/>
    <s v="19"/>
    <m/>
    <m/>
    <s v="19033"/>
    <s v="Linares"/>
    <x v="1"/>
    <s v="Recubrimiento de superficies arquitectónicas"/>
    <m/>
    <m/>
    <m/>
    <m/>
    <m/>
    <n v="74.757658085133258"/>
    <m/>
    <s v="Estatal"/>
  </r>
  <r>
    <x v="0"/>
    <s v="Nuevo León"/>
    <s v="19"/>
    <m/>
    <m/>
    <s v="19034"/>
    <s v="Marín"/>
    <x v="1"/>
    <s v="Recubrimiento de superficies arquitectónicas"/>
    <m/>
    <m/>
    <m/>
    <m/>
    <m/>
    <n v="3.6730525236480109"/>
    <m/>
    <s v="Estatal"/>
  </r>
  <r>
    <x v="0"/>
    <s v="Nuevo León"/>
    <s v="19"/>
    <m/>
    <m/>
    <s v="19035"/>
    <s v="Melchor Ocampo"/>
    <x v="1"/>
    <s v="Recubrimiento de superficies arquitectónicas"/>
    <m/>
    <m/>
    <m/>
    <m/>
    <m/>
    <n v="0.75468182999543842"/>
    <m/>
    <s v="Estatal"/>
  </r>
  <r>
    <x v="0"/>
    <s v="Nuevo León"/>
    <s v="19"/>
    <m/>
    <m/>
    <s v="19036"/>
    <s v="Mier y Noriega"/>
    <x v="1"/>
    <s v="Recubrimiento de superficies arquitectónicas"/>
    <m/>
    <m/>
    <m/>
    <m/>
    <m/>
    <n v="1.3809071782895253"/>
    <m/>
    <s v="Estatal"/>
  </r>
  <r>
    <x v="0"/>
    <s v="Nuevo León"/>
    <s v="19"/>
    <m/>
    <m/>
    <s v="19037"/>
    <s v="Mina"/>
    <x v="1"/>
    <s v="Recubrimiento de superficies arquitectónicas"/>
    <m/>
    <m/>
    <m/>
    <m/>
    <m/>
    <n v="5.1583305933198851"/>
    <m/>
    <s v="Estatal"/>
  </r>
  <r>
    <x v="0"/>
    <s v="Nuevo León"/>
    <s v="19"/>
    <m/>
    <m/>
    <s v="19038"/>
    <s v="Montemorelos"/>
    <x v="1"/>
    <s v="Recubrimiento de superficies arquitectónicas"/>
    <m/>
    <m/>
    <m/>
    <m/>
    <m/>
    <n v="54.156449832279037"/>
    <m/>
    <s v="Estatal"/>
  </r>
  <r>
    <x v="0"/>
    <s v="Nuevo León"/>
    <s v="19"/>
    <s v="19.01"/>
    <s v="Monterrey"/>
    <s v="19039"/>
    <s v="Monterrey"/>
    <x v="1"/>
    <s v="Recubrimiento de superficies arquitectónicas"/>
    <m/>
    <m/>
    <m/>
    <m/>
    <m/>
    <n v="1189.4548351088188"/>
    <m/>
    <s v="Estatal"/>
  </r>
  <r>
    <x v="0"/>
    <s v="Nuevo León"/>
    <s v="19"/>
    <m/>
    <m/>
    <s v="19040"/>
    <s v="Parás"/>
    <x v="1"/>
    <s v="Recubrimiento de superficies arquitectónicas"/>
    <m/>
    <m/>
    <m/>
    <m/>
    <m/>
    <n v="0.88313831169678958"/>
    <m/>
    <s v="Estatal"/>
  </r>
  <r>
    <x v="0"/>
    <s v="Nuevo León"/>
    <s v="19"/>
    <s v="19.01"/>
    <s v="Monterrey"/>
    <s v="19041"/>
    <s v="Pesquería"/>
    <x v="1"/>
    <s v="Recubrimiento de superficies arquitectónicas"/>
    <m/>
    <m/>
    <m/>
    <m/>
    <m/>
    <n v="49.873229020549623"/>
    <m/>
    <s v="Estatal"/>
  </r>
  <r>
    <x v="0"/>
    <s v="Nuevo León"/>
    <s v="19"/>
    <m/>
    <m/>
    <s v="19042"/>
    <s v="Los Ramones"/>
    <x v="1"/>
    <s v="Recubrimiento de superficies arquitectónicas"/>
    <m/>
    <m/>
    <m/>
    <m/>
    <m/>
    <n v="1.2243508412160038"/>
    <m/>
    <s v="Estatal"/>
  </r>
  <r>
    <x v="0"/>
    <s v="Nuevo León"/>
    <s v="19"/>
    <m/>
    <m/>
    <s v="19043"/>
    <s v="Rayones"/>
    <x v="1"/>
    <s v="Recubrimiento de superficies arquitectónicas"/>
    <m/>
    <m/>
    <m/>
    <m/>
    <m/>
    <n v="0.42952636068889305"/>
    <m/>
    <s v="Estatal"/>
  </r>
  <r>
    <x v="0"/>
    <s v="Nuevo León"/>
    <s v="19"/>
    <m/>
    <m/>
    <s v="19044"/>
    <s v="Sabinas Hidalgo"/>
    <x v="1"/>
    <s v="Recubrimiento de superficies arquitectónicas"/>
    <m/>
    <m/>
    <m/>
    <m/>
    <m/>
    <n v="39.295640605453954"/>
    <m/>
    <s v="Estatal"/>
  </r>
  <r>
    <x v="0"/>
    <s v="Nuevo León"/>
    <s v="19"/>
    <s v="19.01"/>
    <s v="Monterrey"/>
    <s v="19045"/>
    <s v="Salinas Victoria"/>
    <x v="1"/>
    <s v="Recubrimiento de superficies arquitectónicas"/>
    <m/>
    <m/>
    <m/>
    <m/>
    <m/>
    <n v="51.442806656338"/>
    <m/>
    <s v="Estatal"/>
  </r>
  <r>
    <x v="0"/>
    <s v="Nuevo León"/>
    <s v="19"/>
    <s v="19.01"/>
    <s v="Monterrey"/>
    <s v="19046"/>
    <s v="San Nicolás de los Garza"/>
    <x v="1"/>
    <s v="Recubrimiento de superficies arquitectónicas"/>
    <m/>
    <m/>
    <m/>
    <m/>
    <m/>
    <n v="508.65153915187221"/>
    <m/>
    <s v="Estatal"/>
  </r>
  <r>
    <x v="0"/>
    <s v="Nuevo León"/>
    <s v="19"/>
    <s v="19.01"/>
    <s v="Monterrey"/>
    <s v="19047"/>
    <s v="Hidalgo"/>
    <x v="1"/>
    <s v="Recubrimiento de superficies arquitectónicas"/>
    <m/>
    <m/>
    <m/>
    <m/>
    <m/>
    <n v="16.980341174897365"/>
    <m/>
    <s v="Estatal"/>
  </r>
  <r>
    <x v="0"/>
    <s v="Nuevo León"/>
    <s v="19"/>
    <s v="19.01"/>
    <s v="Monterrey"/>
    <s v="19048"/>
    <s v="Santa Catarina"/>
    <x v="1"/>
    <s v="Recubrimiento de superficies arquitectónicas"/>
    <m/>
    <m/>
    <m/>
    <m/>
    <m/>
    <n v="337.81244701918143"/>
    <m/>
    <s v="Estatal"/>
  </r>
  <r>
    <x v="0"/>
    <s v="Nuevo León"/>
    <s v="19"/>
    <s v="19.01"/>
    <s v="Monterrey"/>
    <s v="19049"/>
    <s v="Santiago"/>
    <x v="1"/>
    <s v="Recubrimiento de superficies arquitectónicas"/>
    <m/>
    <m/>
    <m/>
    <m/>
    <m/>
    <n v="44.923640209994439"/>
    <m/>
    <s v="Estatal"/>
  </r>
  <r>
    <x v="0"/>
    <s v="Nuevo León"/>
    <s v="19"/>
    <m/>
    <m/>
    <s v="19050"/>
    <s v="Vallecillo"/>
    <x v="1"/>
    <s v="Recubrimiento de superficies arquitectónicas"/>
    <m/>
    <m/>
    <m/>
    <m/>
    <m/>
    <n v="0.642282408506756"/>
    <m/>
    <s v="Estatal"/>
  </r>
  <r>
    <x v="0"/>
    <s v="Nuevo León"/>
    <s v="19"/>
    <m/>
    <m/>
    <s v="19051"/>
    <s v="Villaldama"/>
    <x v="1"/>
    <s v="Recubrimiento de superficies arquitectónicas"/>
    <m/>
    <m/>
    <m/>
    <m/>
    <m/>
    <n v="3.424168090351642"/>
    <m/>
    <s v="Estatal"/>
  </r>
  <r>
    <x v="0"/>
    <s v="Nuevo León"/>
    <s v="19"/>
    <s v="19.01"/>
    <s v="Monterrey"/>
    <s v="19001"/>
    <s v="Abasolo"/>
    <x v="1"/>
    <s v="Recubrimiento de superficies en la Industria"/>
    <m/>
    <m/>
    <m/>
    <m/>
    <m/>
    <n v="0"/>
    <m/>
    <s v="Estatal"/>
  </r>
  <r>
    <x v="0"/>
    <s v="Nuevo León"/>
    <s v="19"/>
    <m/>
    <m/>
    <s v="19002"/>
    <s v="Agualeguas"/>
    <x v="1"/>
    <s v="Recubrimiento de superficies en la Industria"/>
    <m/>
    <m/>
    <m/>
    <m/>
    <m/>
    <n v="1.4358530347451812"/>
    <m/>
    <s v="Estatal"/>
  </r>
  <r>
    <x v="0"/>
    <s v="Nuevo León"/>
    <s v="19"/>
    <m/>
    <m/>
    <s v="19003"/>
    <s v="Los Aldamas"/>
    <x v="1"/>
    <s v="Recubrimiento de superficies en la Industria"/>
    <m/>
    <m/>
    <m/>
    <m/>
    <m/>
    <n v="0"/>
    <m/>
    <s v="Estatal"/>
  </r>
  <r>
    <x v="0"/>
    <s v="Nuevo León"/>
    <s v="19"/>
    <m/>
    <m/>
    <s v="19004"/>
    <s v="Allende"/>
    <x v="1"/>
    <s v="Recubrimiento de superficies en la Industria"/>
    <m/>
    <m/>
    <m/>
    <m/>
    <m/>
    <n v="5.1722344228134567"/>
    <m/>
    <s v="Estatal"/>
  </r>
  <r>
    <x v="0"/>
    <s v="Nuevo León"/>
    <s v="19"/>
    <m/>
    <m/>
    <s v="19005"/>
    <s v="Anáhuac"/>
    <x v="1"/>
    <s v="Recubrimiento de superficies en la Industria"/>
    <m/>
    <m/>
    <m/>
    <m/>
    <m/>
    <n v="13.992134186484384"/>
    <m/>
    <s v="Estatal"/>
  </r>
  <r>
    <x v="0"/>
    <s v="Nuevo León"/>
    <s v="19"/>
    <s v="19.01"/>
    <s v="Monterrey"/>
    <s v="19006"/>
    <s v="Apodaca"/>
    <x v="1"/>
    <s v="Recubrimiento de superficies en la Industria"/>
    <m/>
    <m/>
    <m/>
    <m/>
    <m/>
    <n v="597.71153388063976"/>
    <m/>
    <s v="Estatal"/>
  </r>
  <r>
    <x v="0"/>
    <s v="Nuevo León"/>
    <s v="19"/>
    <m/>
    <m/>
    <s v="19007"/>
    <s v="Aramberri"/>
    <x v="1"/>
    <s v="Recubrimiento de superficies en la Industria"/>
    <m/>
    <m/>
    <m/>
    <m/>
    <m/>
    <n v="0.43075591042355443"/>
    <m/>
    <s v="Estatal"/>
  </r>
  <r>
    <x v="0"/>
    <s v="Nuevo León"/>
    <s v="19"/>
    <m/>
    <m/>
    <s v="19008"/>
    <s v="Bustamante"/>
    <x v="1"/>
    <s v="Recubrimiento de superficies en la Industria"/>
    <m/>
    <m/>
    <m/>
    <m/>
    <m/>
    <n v="1.4049718876745216"/>
    <m/>
    <s v="Estatal"/>
  </r>
  <r>
    <x v="0"/>
    <s v="Nuevo León"/>
    <s v="19"/>
    <s v="19.01"/>
    <s v="Monterrey"/>
    <s v="19009"/>
    <s v="Cadereyta Jiménez"/>
    <x v="1"/>
    <s v="Recubrimiento de superficies en la Industria"/>
    <m/>
    <m/>
    <m/>
    <m/>
    <m/>
    <n v="84.844451446506582"/>
    <m/>
    <s v="Estatal"/>
  </r>
  <r>
    <x v="0"/>
    <s v="Nuevo León"/>
    <s v="19"/>
    <s v="19.01"/>
    <s v="Monterrey"/>
    <s v="19010"/>
    <s v="El Carmen"/>
    <x v="1"/>
    <s v="Recubrimiento de superficies en la Industria"/>
    <m/>
    <m/>
    <m/>
    <m/>
    <m/>
    <n v="37.04846671486073"/>
    <m/>
    <s v="Estatal"/>
  </r>
  <r>
    <x v="0"/>
    <s v="Nuevo León"/>
    <s v="19"/>
    <m/>
    <m/>
    <s v="19011"/>
    <s v="Cerralvo"/>
    <x v="1"/>
    <s v="Recubrimiento de superficies en la Industria"/>
    <m/>
    <m/>
    <m/>
    <m/>
    <m/>
    <n v="0"/>
    <m/>
    <s v="Estatal"/>
  </r>
  <r>
    <x v="0"/>
    <s v="Nuevo León"/>
    <s v="19"/>
    <s v="19.01"/>
    <s v="Monterrey"/>
    <s v="19012"/>
    <s v="Ciénega de Flores"/>
    <x v="1"/>
    <s v="Recubrimiento de superficies en la Industria"/>
    <m/>
    <m/>
    <m/>
    <m/>
    <m/>
    <n v="11.91352081610226"/>
    <m/>
    <s v="Estatal"/>
  </r>
  <r>
    <x v="0"/>
    <s v="Nuevo León"/>
    <s v="19"/>
    <m/>
    <m/>
    <s v="19013"/>
    <s v="China"/>
    <x v="1"/>
    <s v="Recubrimiento de superficies en la Industria"/>
    <m/>
    <m/>
    <m/>
    <m/>
    <m/>
    <n v="12.977083741470834"/>
    <m/>
    <s v="Estatal"/>
  </r>
  <r>
    <x v="0"/>
    <s v="Nuevo León"/>
    <s v="19"/>
    <m/>
    <m/>
    <s v="19014"/>
    <s v="Doctor Arroyo"/>
    <x v="1"/>
    <s v="Recubrimiento de superficies en la Industria"/>
    <m/>
    <m/>
    <m/>
    <m/>
    <m/>
    <n v="5.8177039576438201"/>
    <m/>
    <s v="Estatal"/>
  </r>
  <r>
    <x v="0"/>
    <s v="Nuevo León"/>
    <s v="19"/>
    <m/>
    <m/>
    <s v="19015"/>
    <s v="Doctor Coss"/>
    <x v="1"/>
    <s v="Recubrimiento de superficies en la Industria"/>
    <m/>
    <m/>
    <m/>
    <m/>
    <m/>
    <n v="0"/>
    <m/>
    <s v="Estatal"/>
  </r>
  <r>
    <x v="0"/>
    <s v="Nuevo León"/>
    <s v="19"/>
    <m/>
    <m/>
    <s v="19016"/>
    <s v="Doctor González"/>
    <x v="1"/>
    <s v="Recubrimiento de superficies en la Industria"/>
    <m/>
    <m/>
    <m/>
    <m/>
    <m/>
    <n v="12.439171796874021"/>
    <m/>
    <s v="Estatal"/>
  </r>
  <r>
    <x v="0"/>
    <s v="Nuevo León"/>
    <s v="19"/>
    <m/>
    <m/>
    <s v="19017"/>
    <s v="Galeana"/>
    <x v="1"/>
    <s v="Recubrimiento de superficies en la Industria"/>
    <m/>
    <m/>
    <m/>
    <m/>
    <m/>
    <n v="0.43075591042355443"/>
    <m/>
    <s v="Estatal"/>
  </r>
  <r>
    <x v="0"/>
    <s v="Nuevo León"/>
    <s v="19"/>
    <s v="19.01"/>
    <s v="Monterrey"/>
    <s v="19018"/>
    <s v="García"/>
    <x v="1"/>
    <s v="Recubrimiento de superficies en la Industria"/>
    <m/>
    <m/>
    <m/>
    <m/>
    <m/>
    <n v="84.058312567926052"/>
    <m/>
    <s v="Estatal"/>
  </r>
  <r>
    <x v="0"/>
    <s v="Nuevo León"/>
    <s v="19"/>
    <s v="19.01"/>
    <s v="Monterrey"/>
    <s v="19019"/>
    <s v="San Pedro Garza García"/>
    <x v="1"/>
    <s v="Recubrimiento de superficies en la Industria"/>
    <m/>
    <m/>
    <m/>
    <m/>
    <m/>
    <n v="29.467812929303104"/>
    <m/>
    <s v="Estatal"/>
  </r>
  <r>
    <x v="0"/>
    <s v="Nuevo León"/>
    <s v="19"/>
    <m/>
    <m/>
    <s v="19020"/>
    <s v="General Bravo"/>
    <x v="1"/>
    <s v="Recubrimiento de superficies en la Industria"/>
    <m/>
    <m/>
    <m/>
    <m/>
    <m/>
    <n v="0.57434121389807258"/>
    <m/>
    <s v="Estatal"/>
  </r>
  <r>
    <x v="0"/>
    <s v="Nuevo León"/>
    <s v="19"/>
    <s v="19.01"/>
    <s v="Monterrey"/>
    <s v="19021"/>
    <s v="General Escobedo"/>
    <x v="1"/>
    <s v="Recubrimiento de superficies en la Industria"/>
    <m/>
    <m/>
    <m/>
    <m/>
    <m/>
    <n v="172.52713830481622"/>
    <m/>
    <s v="Estatal"/>
  </r>
  <r>
    <x v="0"/>
    <s v="Nuevo León"/>
    <s v="19"/>
    <m/>
    <m/>
    <s v="19022"/>
    <s v="General Terán"/>
    <x v="1"/>
    <s v="Recubrimiento de superficies en la Industria"/>
    <m/>
    <m/>
    <m/>
    <m/>
    <m/>
    <n v="0.83063067377644906"/>
    <m/>
    <s v="Estatal"/>
  </r>
  <r>
    <x v="0"/>
    <s v="Nuevo León"/>
    <s v="19"/>
    <m/>
    <m/>
    <s v="19023"/>
    <s v="General Treviño"/>
    <x v="1"/>
    <s v="Recubrimiento de superficies en la Industria"/>
    <m/>
    <m/>
    <m/>
    <m/>
    <m/>
    <n v="0"/>
    <m/>
    <s v="Estatal"/>
  </r>
  <r>
    <x v="0"/>
    <s v="Nuevo León"/>
    <s v="19"/>
    <m/>
    <m/>
    <s v="19024"/>
    <s v="General Zaragoza"/>
    <x v="1"/>
    <s v="Recubrimiento de superficies en la Industria"/>
    <m/>
    <m/>
    <m/>
    <m/>
    <m/>
    <n v="0.71792651737259072"/>
    <m/>
    <s v="Estatal"/>
  </r>
  <r>
    <x v="0"/>
    <s v="Nuevo León"/>
    <s v="19"/>
    <s v="19.01"/>
    <s v="Monterrey"/>
    <s v="19025"/>
    <s v="General Zuazua"/>
    <x v="1"/>
    <s v="Recubrimiento de superficies en la Industria"/>
    <m/>
    <m/>
    <m/>
    <m/>
    <m/>
    <n v="151.94578911947875"/>
    <m/>
    <s v="Estatal"/>
  </r>
  <r>
    <x v="0"/>
    <s v="Nuevo León"/>
    <s v="19"/>
    <s v="19.01"/>
    <s v="Monterrey"/>
    <s v="19026"/>
    <s v="Guadalupe"/>
    <x v="1"/>
    <s v="Recubrimiento de superficies en la Industria"/>
    <m/>
    <m/>
    <m/>
    <m/>
    <m/>
    <n v="377.48609578447457"/>
    <m/>
    <s v="Estatal"/>
  </r>
  <r>
    <x v="0"/>
    <s v="Nuevo León"/>
    <s v="19"/>
    <m/>
    <m/>
    <s v="19027"/>
    <s v="Los Herreras"/>
    <x v="1"/>
    <s v="Recubrimiento de superficies en la Industria"/>
    <m/>
    <m/>
    <m/>
    <m/>
    <m/>
    <n v="0"/>
    <m/>
    <s v="Estatal"/>
  </r>
  <r>
    <x v="0"/>
    <s v="Nuevo León"/>
    <s v="19"/>
    <m/>
    <m/>
    <s v="19028"/>
    <s v="Higueras"/>
    <x v="1"/>
    <s v="Recubrimiento de superficies en la Industria"/>
    <m/>
    <m/>
    <m/>
    <m/>
    <m/>
    <n v="0"/>
    <m/>
    <s v="Estatal"/>
  </r>
  <r>
    <x v="0"/>
    <s v="Nuevo León"/>
    <s v="19"/>
    <m/>
    <m/>
    <s v="19029"/>
    <s v="Hualahuises"/>
    <x v="1"/>
    <s v="Recubrimiento de superficies en la Industria"/>
    <m/>
    <m/>
    <m/>
    <m/>
    <m/>
    <n v="1.5676603894974916"/>
    <m/>
    <s v="Estatal"/>
  </r>
  <r>
    <x v="0"/>
    <s v="Nuevo León"/>
    <s v="19"/>
    <m/>
    <m/>
    <s v="19030"/>
    <s v="Iturbide"/>
    <x v="1"/>
    <s v="Recubrimiento de superficies en la Industria"/>
    <m/>
    <m/>
    <m/>
    <m/>
    <m/>
    <n v="0.57434121389807258"/>
    <m/>
    <s v="Estatal"/>
  </r>
  <r>
    <x v="0"/>
    <s v="Nuevo León"/>
    <s v="19"/>
    <s v="19.01"/>
    <s v="Monterrey"/>
    <s v="19031"/>
    <s v="Juárez"/>
    <x v="1"/>
    <s v="Recubrimiento de superficies en la Industria"/>
    <m/>
    <m/>
    <m/>
    <m/>
    <m/>
    <n v="21.591773987074458"/>
    <m/>
    <s v="Estatal"/>
  </r>
  <r>
    <x v="0"/>
    <s v="Nuevo León"/>
    <s v="19"/>
    <m/>
    <m/>
    <s v="19032"/>
    <s v="Lampazos de Naranjo"/>
    <x v="1"/>
    <s v="Recubrimiento de superficies en la Industria"/>
    <m/>
    <m/>
    <m/>
    <m/>
    <m/>
    <n v="1.9229610233706649"/>
    <m/>
    <s v="Estatal"/>
  </r>
  <r>
    <x v="0"/>
    <s v="Nuevo León"/>
    <s v="19"/>
    <m/>
    <m/>
    <s v="19033"/>
    <s v="Linares"/>
    <x v="1"/>
    <s v="Recubrimiento de superficies en la Industria"/>
    <m/>
    <m/>
    <m/>
    <m/>
    <m/>
    <n v="32.451325041807443"/>
    <m/>
    <s v="Estatal"/>
  </r>
  <r>
    <x v="0"/>
    <s v="Nuevo León"/>
    <s v="19"/>
    <m/>
    <m/>
    <s v="19034"/>
    <s v="Marín"/>
    <x v="1"/>
    <s v="Recubrimiento de superficies en la Industria"/>
    <m/>
    <m/>
    <m/>
    <m/>
    <m/>
    <n v="0"/>
    <m/>
    <s v="Estatal"/>
  </r>
  <r>
    <x v="0"/>
    <s v="Nuevo León"/>
    <s v="19"/>
    <m/>
    <m/>
    <s v="19035"/>
    <s v="Melchor Ocampo"/>
    <x v="1"/>
    <s v="Recubrimiento de superficies en la Industria"/>
    <m/>
    <m/>
    <m/>
    <m/>
    <m/>
    <n v="0"/>
    <m/>
    <s v="Estatal"/>
  </r>
  <r>
    <x v="0"/>
    <s v="Nuevo León"/>
    <s v="19"/>
    <m/>
    <m/>
    <s v="19036"/>
    <s v="Mier y Noriega"/>
    <x v="1"/>
    <s v="Recubrimiento de superficies en la Industria"/>
    <m/>
    <m/>
    <m/>
    <m/>
    <m/>
    <n v="0"/>
    <m/>
    <s v="Estatal"/>
  </r>
  <r>
    <x v="0"/>
    <s v="Nuevo León"/>
    <s v="19"/>
    <m/>
    <m/>
    <s v="19037"/>
    <s v="Mina"/>
    <x v="1"/>
    <s v="Recubrimiento de superficies en la Industria"/>
    <m/>
    <m/>
    <m/>
    <m/>
    <m/>
    <n v="0.14358530347451814"/>
    <m/>
    <s v="Estatal"/>
  </r>
  <r>
    <x v="0"/>
    <s v="Nuevo León"/>
    <s v="19"/>
    <m/>
    <m/>
    <s v="19038"/>
    <s v="Montemorelos"/>
    <x v="1"/>
    <s v="Recubrimiento de superficies en la Industria"/>
    <m/>
    <m/>
    <m/>
    <m/>
    <m/>
    <n v="2.7777100742935361"/>
    <m/>
    <s v="Estatal"/>
  </r>
  <r>
    <x v="0"/>
    <s v="Nuevo León"/>
    <s v="19"/>
    <s v="19.01"/>
    <s v="Monterrey"/>
    <s v="19039"/>
    <s v="Monterrey"/>
    <x v="1"/>
    <s v="Recubrimiento de superficies en la Industria"/>
    <m/>
    <m/>
    <m/>
    <m/>
    <m/>
    <n v="428.63180871810795"/>
    <m/>
    <s v="Estatal"/>
  </r>
  <r>
    <x v="0"/>
    <s v="Nuevo León"/>
    <s v="19"/>
    <m/>
    <m/>
    <s v="19040"/>
    <s v="Parás"/>
    <x v="1"/>
    <s v="Recubrimiento de superficies en la Industria"/>
    <m/>
    <m/>
    <m/>
    <m/>
    <m/>
    <n v="0"/>
    <m/>
    <s v="Estatal"/>
  </r>
  <r>
    <x v="0"/>
    <s v="Nuevo León"/>
    <s v="19"/>
    <s v="19.01"/>
    <s v="Monterrey"/>
    <s v="19041"/>
    <s v="Pesquería"/>
    <x v="1"/>
    <s v="Recubrimiento de superficies en la Industria"/>
    <m/>
    <m/>
    <m/>
    <m/>
    <m/>
    <n v="50.129116709035024"/>
    <m/>
    <s v="Estatal"/>
  </r>
  <r>
    <x v="0"/>
    <s v="Nuevo León"/>
    <s v="19"/>
    <m/>
    <m/>
    <s v="19042"/>
    <s v="Los Ramones"/>
    <x v="1"/>
    <s v="Recubrimiento de superficies en la Industria"/>
    <m/>
    <m/>
    <m/>
    <m/>
    <m/>
    <n v="0.86151182084710864"/>
    <m/>
    <s v="Estatal"/>
  </r>
  <r>
    <x v="0"/>
    <s v="Nuevo León"/>
    <s v="19"/>
    <m/>
    <m/>
    <s v="19043"/>
    <s v="Rayones"/>
    <x v="1"/>
    <s v="Recubrimiento de superficies en la Industria"/>
    <m/>
    <m/>
    <m/>
    <m/>
    <m/>
    <n v="0"/>
    <m/>
    <s v="Estatal"/>
  </r>
  <r>
    <x v="0"/>
    <s v="Nuevo León"/>
    <s v="19"/>
    <m/>
    <m/>
    <s v="19044"/>
    <s v="Sabinas Hidalgo"/>
    <x v="1"/>
    <s v="Recubrimiento de superficies en la Industria"/>
    <m/>
    <m/>
    <m/>
    <m/>
    <m/>
    <n v="14.425311738357491"/>
    <m/>
    <s v="Estatal"/>
  </r>
  <r>
    <x v="0"/>
    <s v="Nuevo León"/>
    <s v="19"/>
    <s v="19.01"/>
    <s v="Monterrey"/>
    <s v="19045"/>
    <s v="Salinas Victoria"/>
    <x v="1"/>
    <s v="Recubrimiento de superficies en la Industria"/>
    <m/>
    <m/>
    <m/>
    <m/>
    <m/>
    <n v="27.917312485211731"/>
    <m/>
    <s v="Estatal"/>
  </r>
  <r>
    <x v="0"/>
    <s v="Nuevo León"/>
    <s v="19"/>
    <s v="19.01"/>
    <s v="Monterrey"/>
    <s v="19046"/>
    <s v="San Nicolás de los Garza"/>
    <x v="1"/>
    <s v="Recubrimiento de superficies en la Industria"/>
    <m/>
    <m/>
    <m/>
    <m/>
    <m/>
    <n v="298.49440216914417"/>
    <m/>
    <s v="Estatal"/>
  </r>
  <r>
    <x v="0"/>
    <s v="Nuevo León"/>
    <s v="19"/>
    <s v="19.01"/>
    <s v="Monterrey"/>
    <s v="19047"/>
    <s v="Hidalgo"/>
    <x v="1"/>
    <s v="Recubrimiento de superficies en la Industria"/>
    <m/>
    <m/>
    <m/>
    <m/>
    <m/>
    <n v="1.1432722118567549"/>
    <m/>
    <s v="Estatal"/>
  </r>
  <r>
    <x v="0"/>
    <s v="Nuevo León"/>
    <s v="19"/>
    <s v="19.01"/>
    <s v="Monterrey"/>
    <s v="19048"/>
    <s v="Santa Catarina"/>
    <x v="1"/>
    <s v="Recubrimiento de superficies en la Industria"/>
    <m/>
    <m/>
    <m/>
    <m/>
    <m/>
    <n v="147.91323098584786"/>
    <m/>
    <s v="Estatal"/>
  </r>
  <r>
    <x v="0"/>
    <s v="Nuevo León"/>
    <s v="19"/>
    <s v="19.01"/>
    <s v="Monterrey"/>
    <s v="19049"/>
    <s v="Santiago"/>
    <x v="1"/>
    <s v="Recubrimiento de superficies en la Industria"/>
    <m/>
    <m/>
    <m/>
    <m/>
    <m/>
    <n v="11.845787536647746"/>
    <m/>
    <s v="Estatal"/>
  </r>
  <r>
    <x v="0"/>
    <s v="Nuevo León"/>
    <s v="19"/>
    <m/>
    <m/>
    <s v="19050"/>
    <s v="Vallecillo"/>
    <x v="1"/>
    <s v="Recubrimiento de superficies en la Industria"/>
    <m/>
    <m/>
    <m/>
    <m/>
    <m/>
    <n v="0"/>
    <m/>
    <s v="Estatal"/>
  </r>
  <r>
    <x v="0"/>
    <s v="Nuevo León"/>
    <s v="19"/>
    <m/>
    <m/>
    <s v="19051"/>
    <s v="Villaldama"/>
    <x v="1"/>
    <s v="Recubrimiento de superficies en la Industria"/>
    <m/>
    <m/>
    <m/>
    <m/>
    <m/>
    <n v="1.3727835904733094"/>
    <m/>
    <s v="Estatal"/>
  </r>
  <r>
    <x v="0"/>
    <s v="Nuevo León"/>
    <s v="19"/>
    <s v="19.01"/>
    <s v="Monterrey"/>
    <s v="19001"/>
    <s v="Abasolo"/>
    <x v="1"/>
    <s v="Uso doméstico de solventes"/>
    <m/>
    <m/>
    <m/>
    <m/>
    <m/>
    <n v="5.2930499999999991"/>
    <m/>
    <s v="Estatal"/>
  </r>
  <r>
    <x v="0"/>
    <s v="Nuevo León"/>
    <s v="19"/>
    <m/>
    <m/>
    <s v="19002"/>
    <s v="Agualeguas"/>
    <x v="1"/>
    <s v="Uso doméstico de solventes"/>
    <m/>
    <m/>
    <m/>
    <m/>
    <m/>
    <n v="3.95825"/>
    <m/>
    <s v="Estatal"/>
  </r>
  <r>
    <x v="0"/>
    <s v="Nuevo León"/>
    <s v="19"/>
    <m/>
    <m/>
    <s v="19003"/>
    <s v="Los Aldamas"/>
    <x v="1"/>
    <s v="Uso doméstico de solventes"/>
    <m/>
    <m/>
    <m/>
    <m/>
    <m/>
    <n v="1.49455"/>
    <m/>
    <s v="Estatal"/>
  </r>
  <r>
    <x v="0"/>
    <s v="Nuevo León"/>
    <s v="19"/>
    <m/>
    <m/>
    <s v="19004"/>
    <s v="Allende"/>
    <x v="1"/>
    <s v="Uso doméstico de solventes"/>
    <m/>
    <m/>
    <m/>
    <m/>
    <m/>
    <n v="76.651600000000016"/>
    <m/>
    <s v="Estatal"/>
  </r>
  <r>
    <x v="0"/>
    <s v="Nuevo León"/>
    <s v="19"/>
    <m/>
    <m/>
    <s v="19005"/>
    <s v="Anáhuac"/>
    <x v="1"/>
    <s v="Uso doméstico de solventes"/>
    <m/>
    <m/>
    <m/>
    <m/>
    <m/>
    <n v="45.645900000000005"/>
    <m/>
    <s v="Estatal"/>
  </r>
  <r>
    <x v="0"/>
    <s v="Nuevo León"/>
    <s v="19"/>
    <s v="19.01"/>
    <s v="Monterrey"/>
    <s v="19006"/>
    <s v="Apodaca"/>
    <x v="1"/>
    <s v="Uso doméstico de solventes"/>
    <m/>
    <m/>
    <m/>
    <m/>
    <m/>
    <n v="1633.3549999999991"/>
    <m/>
    <s v="Estatal"/>
  </r>
  <r>
    <x v="0"/>
    <s v="Nuevo León"/>
    <s v="19"/>
    <m/>
    <m/>
    <s v="19007"/>
    <s v="Aramberri"/>
    <x v="1"/>
    <s v="Uso doméstico de solventes"/>
    <m/>
    <m/>
    <m/>
    <m/>
    <m/>
    <n v="15.48155"/>
    <m/>
    <s v="Estatal"/>
  </r>
  <r>
    <x v="0"/>
    <s v="Nuevo León"/>
    <s v="19"/>
    <m/>
    <m/>
    <s v="19008"/>
    <s v="Bustamante"/>
    <x v="1"/>
    <s v="Uso doméstico de solventes"/>
    <m/>
    <m/>
    <m/>
    <m/>
    <m/>
    <n v="10.59675"/>
    <m/>
    <s v="Estatal"/>
  </r>
  <r>
    <x v="0"/>
    <s v="Nuevo León"/>
    <s v="19"/>
    <s v="19.01"/>
    <s v="Monterrey"/>
    <s v="19009"/>
    <s v="Cadereyta Jiménez"/>
    <x v="1"/>
    <s v="Uso doméstico de solventes"/>
    <m/>
    <m/>
    <m/>
    <m/>
    <m/>
    <n v="207.14959999999996"/>
    <m/>
    <s v="Estatal"/>
  </r>
  <r>
    <x v="0"/>
    <s v="Nuevo León"/>
    <s v="19"/>
    <s v="19.01"/>
    <s v="Monterrey"/>
    <s v="19010"/>
    <s v="El Carmen"/>
    <x v="1"/>
    <s v="Uso doméstico de solventes"/>
    <m/>
    <m/>
    <m/>
    <m/>
    <m/>
    <n v="95.747050000000002"/>
    <m/>
    <s v="Estatal"/>
  </r>
  <r>
    <x v="0"/>
    <s v="Nuevo León"/>
    <s v="19"/>
    <m/>
    <m/>
    <s v="19011"/>
    <s v="Cerralvo"/>
    <x v="1"/>
    <s v="Uso doméstico de solventes"/>
    <m/>
    <m/>
    <m/>
    <m/>
    <m/>
    <n v="19.539200000000001"/>
    <m/>
    <s v="Estatal"/>
  </r>
  <r>
    <x v="0"/>
    <s v="Nuevo León"/>
    <s v="19"/>
    <s v="19.01"/>
    <s v="Monterrey"/>
    <s v="19012"/>
    <s v="Ciénega de Flores"/>
    <x v="1"/>
    <s v="Uso doméstico de solventes"/>
    <m/>
    <m/>
    <m/>
    <m/>
    <m/>
    <n v="118.51675"/>
    <m/>
    <s v="Estatal"/>
  </r>
  <r>
    <x v="0"/>
    <s v="Nuevo León"/>
    <s v="19"/>
    <m/>
    <m/>
    <s v="19013"/>
    <s v="China"/>
    <x v="1"/>
    <s v="Uso doméstico de solventes"/>
    <m/>
    <m/>
    <m/>
    <m/>
    <m/>
    <n v="25.052349999999993"/>
    <m/>
    <s v="Estatal"/>
  </r>
  <r>
    <x v="0"/>
    <s v="Nuevo León"/>
    <s v="19"/>
    <m/>
    <m/>
    <s v="19014"/>
    <s v="Doctor Arroyo"/>
    <x v="1"/>
    <s v="Uso doméstico de solventes"/>
    <m/>
    <m/>
    <m/>
    <m/>
    <m/>
    <n v="27.72195000000001"/>
    <m/>
    <s v="Estatal"/>
  </r>
  <r>
    <x v="0"/>
    <s v="Nuevo León"/>
    <s v="19"/>
    <m/>
    <m/>
    <s v="19015"/>
    <s v="Doctor Coss"/>
    <x v="1"/>
    <s v="Uso doméstico de solventes"/>
    <m/>
    <m/>
    <m/>
    <m/>
    <m/>
    <n v="2.1335500000000001"/>
    <m/>
    <s v="Estatal"/>
  </r>
  <r>
    <x v="0"/>
    <s v="Nuevo León"/>
    <s v="19"/>
    <m/>
    <m/>
    <s v="19016"/>
    <s v="Doctor González"/>
    <x v="1"/>
    <s v="Uso doméstico de solventes"/>
    <m/>
    <m/>
    <m/>
    <m/>
    <m/>
    <n v="5.2433500000000004"/>
    <m/>
    <s v="Estatal"/>
  </r>
  <r>
    <x v="0"/>
    <s v="Nuevo León"/>
    <s v="19"/>
    <m/>
    <m/>
    <s v="19017"/>
    <s v="Galeana"/>
    <x v="1"/>
    <s v="Uso doméstico de solventes"/>
    <m/>
    <m/>
    <m/>
    <m/>
    <m/>
    <n v="19.926150000000003"/>
    <m/>
    <s v="Estatal"/>
  </r>
  <r>
    <x v="0"/>
    <s v="Nuevo León"/>
    <s v="19"/>
    <s v="19.01"/>
    <s v="Monterrey"/>
    <s v="19018"/>
    <s v="García"/>
    <x v="1"/>
    <s v="Uso doméstico de solventes"/>
    <m/>
    <m/>
    <m/>
    <m/>
    <m/>
    <n v="681.16334999999879"/>
    <m/>
    <s v="Estatal"/>
  </r>
  <r>
    <x v="0"/>
    <s v="Nuevo León"/>
    <s v="19"/>
    <s v="19.01"/>
    <s v="Monterrey"/>
    <s v="19019"/>
    <s v="San Pedro Garza García"/>
    <x v="1"/>
    <s v="Uso doméstico de solventes"/>
    <m/>
    <m/>
    <m/>
    <m/>
    <m/>
    <n v="348.16980000000001"/>
    <m/>
    <s v="Estatal"/>
  </r>
  <r>
    <x v="0"/>
    <s v="Nuevo León"/>
    <s v="19"/>
    <m/>
    <m/>
    <s v="19020"/>
    <s v="General Bravo"/>
    <x v="1"/>
    <s v="Uso doméstico de solventes"/>
    <m/>
    <m/>
    <m/>
    <m/>
    <m/>
    <n v="10.955299999999999"/>
    <m/>
    <s v="Estatal"/>
  </r>
  <r>
    <x v="0"/>
    <s v="Nuevo León"/>
    <s v="19"/>
    <s v="19.01"/>
    <s v="Monterrey"/>
    <s v="19021"/>
    <s v="General Escobedo"/>
    <x v="1"/>
    <s v="Uso doméstico de solventes"/>
    <m/>
    <m/>
    <m/>
    <m/>
    <m/>
    <n v="1141.6658000000002"/>
    <m/>
    <s v="Estatal"/>
  </r>
  <r>
    <x v="0"/>
    <s v="Nuevo León"/>
    <s v="19"/>
    <m/>
    <m/>
    <s v="19022"/>
    <s v="General Terán"/>
    <x v="1"/>
    <s v="Uso doméstico de solventes"/>
    <m/>
    <m/>
    <m/>
    <m/>
    <m/>
    <n v="17.998500000000003"/>
    <m/>
    <s v="Estatal"/>
  </r>
  <r>
    <x v="0"/>
    <s v="Nuevo León"/>
    <s v="19"/>
    <m/>
    <m/>
    <s v="19023"/>
    <s v="General Treviño"/>
    <x v="1"/>
    <s v="Uso doméstico de solventes"/>
    <m/>
    <m/>
    <m/>
    <m/>
    <m/>
    <n v="2.4601500000000001"/>
    <m/>
    <s v="Estatal"/>
  </r>
  <r>
    <x v="0"/>
    <s v="Nuevo León"/>
    <s v="19"/>
    <m/>
    <m/>
    <s v="19024"/>
    <s v="General Zaragoza"/>
    <x v="1"/>
    <s v="Uso doméstico de solventes"/>
    <m/>
    <m/>
    <m/>
    <m/>
    <m/>
    <n v="5.4456999999999995"/>
    <m/>
    <s v="Estatal"/>
  </r>
  <r>
    <x v="0"/>
    <s v="Nuevo León"/>
    <s v="19"/>
    <s v="19.01"/>
    <s v="Monterrey"/>
    <s v="19025"/>
    <s v="General Zuazua"/>
    <x v="1"/>
    <s v="Uso doméstico de solventes"/>
    <m/>
    <m/>
    <m/>
    <m/>
    <m/>
    <n v="214.07920000000001"/>
    <m/>
    <s v="Estatal"/>
  </r>
  <r>
    <x v="0"/>
    <s v="Nuevo León"/>
    <s v="19"/>
    <s v="19.01"/>
    <s v="Monterrey"/>
    <s v="19026"/>
    <s v="Guadalupe"/>
    <x v="1"/>
    <s v="Uso doméstico de solventes"/>
    <m/>
    <m/>
    <m/>
    <m/>
    <m/>
    <n v="1805.143050000001"/>
    <m/>
    <s v="Estatal"/>
  </r>
  <r>
    <x v="0"/>
    <s v="Nuevo León"/>
    <s v="19"/>
    <m/>
    <m/>
    <s v="19027"/>
    <s v="Los Herreras"/>
    <x v="1"/>
    <s v="Uso doméstico de solventes"/>
    <m/>
    <m/>
    <m/>
    <m/>
    <m/>
    <n v="3.9227500000000006"/>
    <m/>
    <s v="Estatal"/>
  </r>
  <r>
    <x v="0"/>
    <s v="Nuevo León"/>
    <s v="19"/>
    <m/>
    <m/>
    <s v="19028"/>
    <s v="Higueras"/>
    <x v="1"/>
    <s v="Uso doméstico de solventes"/>
    <m/>
    <m/>
    <m/>
    <m/>
    <m/>
    <n v="3.9618000000000002"/>
    <m/>
    <s v="Estatal"/>
  </r>
  <r>
    <x v="0"/>
    <s v="Nuevo León"/>
    <s v="19"/>
    <m/>
    <m/>
    <s v="19029"/>
    <s v="Hualahuises"/>
    <x v="1"/>
    <s v="Uso doméstico de solventes"/>
    <m/>
    <m/>
    <m/>
    <m/>
    <m/>
    <n v="16.042449999999999"/>
    <m/>
    <s v="Estatal"/>
  </r>
  <r>
    <x v="0"/>
    <s v="Nuevo León"/>
    <s v="19"/>
    <m/>
    <m/>
    <s v="19030"/>
    <s v="Iturbide"/>
    <x v="1"/>
    <s v="Uso doméstico de solventes"/>
    <m/>
    <m/>
    <m/>
    <m/>
    <m/>
    <n v="5.3427499999999997"/>
    <m/>
    <s v="Estatal"/>
  </r>
  <r>
    <x v="0"/>
    <s v="Nuevo León"/>
    <s v="19"/>
    <s v="19.01"/>
    <s v="Monterrey"/>
    <s v="19031"/>
    <s v="Juárez"/>
    <x v="1"/>
    <s v="Uso doméstico de solventes"/>
    <m/>
    <m/>
    <m/>
    <m/>
    <m/>
    <n v="918.64060000000109"/>
    <m/>
    <s v="Estatal"/>
  </r>
  <r>
    <x v="0"/>
    <s v="Nuevo León"/>
    <s v="19"/>
    <m/>
    <m/>
    <s v="19032"/>
    <s v="Lampazos de Naranjo"/>
    <x v="1"/>
    <s v="Uso doméstico de solventes"/>
    <m/>
    <m/>
    <m/>
    <m/>
    <m/>
    <n v="13.671049999999999"/>
    <m/>
    <s v="Estatal"/>
  </r>
  <r>
    <x v="0"/>
    <s v="Nuevo León"/>
    <s v="19"/>
    <m/>
    <m/>
    <s v="19033"/>
    <s v="Linares"/>
    <x v="1"/>
    <s v="Uso doméstico de solventes"/>
    <m/>
    <m/>
    <m/>
    <m/>
    <m/>
    <n v="178.79574999999997"/>
    <m/>
    <s v="Estatal"/>
  </r>
  <r>
    <x v="0"/>
    <s v="Nuevo León"/>
    <s v="19"/>
    <m/>
    <m/>
    <s v="19034"/>
    <s v="Marín"/>
    <x v="1"/>
    <s v="Uso doméstico de solventes"/>
    <m/>
    <m/>
    <m/>
    <m/>
    <m/>
    <n v="8.7933500000000002"/>
    <m/>
    <s v="Estatal"/>
  </r>
  <r>
    <x v="0"/>
    <s v="Nuevo León"/>
    <s v="19"/>
    <m/>
    <m/>
    <s v="19035"/>
    <s v="Melchor Ocampo"/>
    <x v="1"/>
    <s v="Uso doméstico de solventes"/>
    <m/>
    <m/>
    <m/>
    <m/>
    <m/>
    <n v="1.8033999999999999"/>
    <m/>
    <s v="Estatal"/>
  </r>
  <r>
    <x v="0"/>
    <s v="Nuevo León"/>
    <s v="19"/>
    <m/>
    <m/>
    <s v="19036"/>
    <s v="Mier y Noriega"/>
    <x v="1"/>
    <s v="Uso doméstico de solventes"/>
    <m/>
    <m/>
    <m/>
    <m/>
    <m/>
    <n v="3.3086000000000007"/>
    <m/>
    <s v="Estatal"/>
  </r>
  <r>
    <x v="0"/>
    <s v="Nuevo León"/>
    <s v="19"/>
    <m/>
    <m/>
    <s v="19037"/>
    <s v="Mina"/>
    <x v="1"/>
    <s v="Uso doméstico de solventes"/>
    <m/>
    <m/>
    <m/>
    <m/>
    <m/>
    <n v="12.32915"/>
    <m/>
    <s v="Estatal"/>
  </r>
  <r>
    <x v="0"/>
    <s v="Nuevo León"/>
    <s v="19"/>
    <m/>
    <m/>
    <s v="19038"/>
    <s v="Montemorelos"/>
    <x v="1"/>
    <s v="Uso doméstico de solventes"/>
    <m/>
    <m/>
    <m/>
    <m/>
    <m/>
    <n v="129.51820000000001"/>
    <m/>
    <s v="Estatal"/>
  </r>
  <r>
    <x v="0"/>
    <s v="Nuevo León"/>
    <s v="19"/>
    <s v="19.01"/>
    <s v="Monterrey"/>
    <s v="19039"/>
    <s v="Monterrey"/>
    <x v="1"/>
    <s v="Uso doméstico de solventes"/>
    <m/>
    <m/>
    <m/>
    <m/>
    <m/>
    <n v="2844.6753499999959"/>
    <m/>
    <s v="Estatal"/>
  </r>
  <r>
    <x v="0"/>
    <s v="Nuevo León"/>
    <s v="19"/>
    <m/>
    <m/>
    <s v="19040"/>
    <s v="Parás"/>
    <x v="1"/>
    <s v="Uso doméstico de solventes"/>
    <m/>
    <m/>
    <m/>
    <m/>
    <m/>
    <n v="2.1122500000000004"/>
    <m/>
    <s v="Estatal"/>
  </r>
  <r>
    <x v="0"/>
    <s v="Nuevo León"/>
    <s v="19"/>
    <s v="19.01"/>
    <s v="Monterrey"/>
    <s v="19041"/>
    <s v="Pesquería"/>
    <x v="1"/>
    <s v="Uso doméstico de solventes"/>
    <m/>
    <m/>
    <m/>
    <m/>
    <m/>
    <n v="119.20190000000005"/>
    <m/>
    <s v="Estatal"/>
  </r>
  <r>
    <x v="0"/>
    <s v="Nuevo León"/>
    <s v="19"/>
    <m/>
    <m/>
    <s v="19042"/>
    <s v="Los Ramones"/>
    <x v="1"/>
    <s v="Uso doméstico de solventes"/>
    <m/>
    <m/>
    <m/>
    <m/>
    <m/>
    <n v="2.9216500000000001"/>
    <m/>
    <s v="Estatal"/>
  </r>
  <r>
    <x v="0"/>
    <s v="Nuevo León"/>
    <s v="19"/>
    <m/>
    <m/>
    <s v="19043"/>
    <s v="Rayones"/>
    <x v="1"/>
    <s v="Uso doméstico de solventes"/>
    <m/>
    <m/>
    <m/>
    <m/>
    <m/>
    <n v="1.0259499999999999"/>
    <m/>
    <s v="Estatal"/>
  </r>
  <r>
    <x v="0"/>
    <s v="Nuevo León"/>
    <s v="19"/>
    <m/>
    <m/>
    <s v="19044"/>
    <s v="Sabinas Hidalgo"/>
    <x v="1"/>
    <s v="Uso doméstico de solventes"/>
    <m/>
    <m/>
    <m/>
    <m/>
    <m/>
    <n v="94.011099999999999"/>
    <m/>
    <s v="Estatal"/>
  </r>
  <r>
    <x v="0"/>
    <s v="Nuevo León"/>
    <s v="19"/>
    <s v="19.01"/>
    <s v="Monterrey"/>
    <s v="19045"/>
    <s v="Salinas Victoria"/>
    <x v="1"/>
    <s v="Uso doméstico de solventes"/>
    <m/>
    <m/>
    <m/>
    <m/>
    <m/>
    <n v="123.02880000000002"/>
    <m/>
    <s v="Estatal"/>
  </r>
  <r>
    <x v="0"/>
    <s v="Nuevo León"/>
    <s v="19"/>
    <s v="19.01"/>
    <s v="Monterrey"/>
    <s v="19046"/>
    <s v="San Nicolás de los Garza"/>
    <x v="1"/>
    <s v="Uso doméstico de solventes"/>
    <m/>
    <m/>
    <m/>
    <m/>
    <m/>
    <n v="1216.5743500000001"/>
    <m/>
    <s v="Estatal"/>
  </r>
  <r>
    <x v="0"/>
    <s v="Nuevo León"/>
    <s v="19"/>
    <s v="19.01"/>
    <s v="Monterrey"/>
    <s v="19047"/>
    <s v="Hidalgo"/>
    <x v="1"/>
    <s v="Uso doméstico de solventes"/>
    <m/>
    <m/>
    <m/>
    <m/>
    <m/>
    <n v="40.604899999999994"/>
    <m/>
    <s v="Estatal"/>
  </r>
  <r>
    <x v="0"/>
    <s v="Nuevo León"/>
    <s v="19"/>
    <s v="19.01"/>
    <s v="Monterrey"/>
    <s v="19048"/>
    <s v="Santa Catarina"/>
    <x v="1"/>
    <s v="Uso doméstico de solventes"/>
    <m/>
    <m/>
    <m/>
    <m/>
    <m/>
    <n v="807.93385000000023"/>
    <m/>
    <s v="Estatal"/>
  </r>
  <r>
    <x v="0"/>
    <s v="Nuevo León"/>
    <s v="19"/>
    <s v="19.01"/>
    <s v="Monterrey"/>
    <s v="19049"/>
    <s v="Santiago"/>
    <x v="1"/>
    <s v="Uso doméstico de solventes"/>
    <m/>
    <m/>
    <m/>
    <m/>
    <m/>
    <n v="107.46205"/>
    <m/>
    <s v="Estatal"/>
  </r>
  <r>
    <x v="0"/>
    <s v="Nuevo León"/>
    <s v="19"/>
    <m/>
    <m/>
    <s v="19050"/>
    <s v="Vallecillo"/>
    <x v="1"/>
    <s v="Uso doméstico de solventes"/>
    <m/>
    <m/>
    <m/>
    <m/>
    <m/>
    <n v="1.5407000000000002"/>
    <m/>
    <s v="Estatal"/>
  </r>
  <r>
    <x v="0"/>
    <s v="Nuevo León"/>
    <s v="19"/>
    <m/>
    <m/>
    <s v="19051"/>
    <s v="Villaldama"/>
    <x v="1"/>
    <s v="Uso doméstico de solventes"/>
    <m/>
    <m/>
    <m/>
    <m/>
    <m/>
    <n v="8.1898499999999999"/>
    <m/>
    <s v="Estatal"/>
  </r>
  <r>
    <x v="0"/>
    <s v="Nuevo León"/>
    <s v="19"/>
    <s v="19.01"/>
    <s v="Monterrey"/>
    <s v="19001"/>
    <s v="Abasolo"/>
    <x v="2"/>
    <s v="Manejo y Distribución de gas L.P."/>
    <m/>
    <m/>
    <m/>
    <m/>
    <m/>
    <n v="13.624364139412725"/>
    <m/>
    <s v="Federal"/>
  </r>
  <r>
    <x v="0"/>
    <s v="Nuevo León"/>
    <s v="19"/>
    <m/>
    <m/>
    <s v="19002"/>
    <s v="Agualeguas"/>
    <x v="2"/>
    <s v="Manejo y Distribución de gas L.P."/>
    <m/>
    <m/>
    <m/>
    <m/>
    <m/>
    <n v="14.863887483960761"/>
    <m/>
    <s v="Federal"/>
  </r>
  <r>
    <x v="0"/>
    <s v="Nuevo León"/>
    <s v="19"/>
    <m/>
    <m/>
    <s v="19003"/>
    <s v="Los Aldamas"/>
    <x v="2"/>
    <s v="Manejo y Distribución de gas L.P."/>
    <m/>
    <m/>
    <m/>
    <m/>
    <m/>
    <n v="7.4240392623702576"/>
    <m/>
    <s v="Federal"/>
  </r>
  <r>
    <x v="0"/>
    <s v="Nuevo León"/>
    <s v="19"/>
    <m/>
    <m/>
    <s v="19004"/>
    <s v="Allende"/>
    <x v="2"/>
    <s v="Manejo y Distribución de gas L.P."/>
    <m/>
    <m/>
    <m/>
    <m/>
    <m/>
    <n v="154.58157408655438"/>
    <m/>
    <s v="Federal"/>
  </r>
  <r>
    <x v="0"/>
    <s v="Nuevo León"/>
    <s v="19"/>
    <m/>
    <m/>
    <s v="19005"/>
    <s v="Anáhuac"/>
    <x v="2"/>
    <s v="Manejo y Distribución de gas L.P."/>
    <m/>
    <m/>
    <m/>
    <m/>
    <m/>
    <n v="95.410434074737367"/>
    <m/>
    <s v="Federal"/>
  </r>
  <r>
    <x v="0"/>
    <s v="Nuevo León"/>
    <s v="19"/>
    <s v="19.01"/>
    <s v="Monterrey"/>
    <s v="19006"/>
    <s v="Apodaca"/>
    <x v="2"/>
    <s v="Manejo y Distribución de gas L.P."/>
    <m/>
    <m/>
    <m/>
    <m/>
    <m/>
    <n v="2145.244942185243"/>
    <m/>
    <s v="Federal"/>
  </r>
  <r>
    <x v="0"/>
    <s v="Nuevo León"/>
    <s v="19"/>
    <m/>
    <m/>
    <s v="19007"/>
    <s v="Aramberri"/>
    <x v="2"/>
    <s v="Manejo y Distribución de gas L.P."/>
    <m/>
    <m/>
    <m/>
    <m/>
    <m/>
    <n v="72.861759047814346"/>
    <m/>
    <s v="Federal"/>
  </r>
  <r>
    <x v="0"/>
    <s v="Nuevo León"/>
    <s v="19"/>
    <m/>
    <m/>
    <s v="19008"/>
    <s v="Bustamante"/>
    <x v="2"/>
    <s v="Manejo y Distribución de gas L.P."/>
    <m/>
    <m/>
    <m/>
    <m/>
    <m/>
    <n v="25.958525347227507"/>
    <m/>
    <s v="Federal"/>
  </r>
  <r>
    <x v="0"/>
    <s v="Nuevo León"/>
    <s v="19"/>
    <s v="19.01"/>
    <s v="Monterrey"/>
    <s v="19009"/>
    <s v="Cadereyta Jiménez"/>
    <x v="2"/>
    <s v="Manejo y Distribución de gas L.P."/>
    <m/>
    <m/>
    <m/>
    <m/>
    <m/>
    <n v="417.76889810395977"/>
    <m/>
    <s v="Federal"/>
  </r>
  <r>
    <x v="0"/>
    <s v="Nuevo León"/>
    <s v="19"/>
    <s v="19.01"/>
    <s v="Monterrey"/>
    <s v="19010"/>
    <s v="El Carmen"/>
    <x v="2"/>
    <s v="Manejo y Distribución de gas L.P."/>
    <m/>
    <m/>
    <m/>
    <m/>
    <m/>
    <n v="108.27590820967723"/>
    <m/>
    <s v="Federal"/>
  </r>
  <r>
    <x v="0"/>
    <s v="Nuevo León"/>
    <s v="19"/>
    <m/>
    <m/>
    <s v="19011"/>
    <s v="Cerralvo"/>
    <x v="2"/>
    <s v="Manejo y Distribución de gas L.P."/>
    <m/>
    <m/>
    <m/>
    <m/>
    <m/>
    <n v="35.977345406466341"/>
    <m/>
    <s v="Federal"/>
  </r>
  <r>
    <x v="0"/>
    <s v="Nuevo León"/>
    <s v="19"/>
    <s v="19.01"/>
    <s v="Monterrey"/>
    <s v="19012"/>
    <s v="Ciénega de Flores"/>
    <x v="2"/>
    <s v="Manejo y Distribución de gas L.P."/>
    <m/>
    <m/>
    <m/>
    <m/>
    <m/>
    <n v="138.88604000456752"/>
    <m/>
    <s v="Federal"/>
  </r>
  <r>
    <x v="0"/>
    <s v="Nuevo León"/>
    <s v="19"/>
    <m/>
    <m/>
    <s v="19013"/>
    <s v="China"/>
    <x v="2"/>
    <s v="Manejo y Distribución de gas L.P."/>
    <m/>
    <m/>
    <m/>
    <m/>
    <m/>
    <n v="57.832818221339458"/>
    <m/>
    <s v="Federal"/>
  </r>
  <r>
    <x v="0"/>
    <s v="Nuevo León"/>
    <s v="19"/>
    <m/>
    <m/>
    <s v="19014"/>
    <s v="Doctor Arroyo"/>
    <x v="2"/>
    <s v="Manejo y Distribución de gas L.P."/>
    <m/>
    <m/>
    <m/>
    <m/>
    <m/>
    <n v="124.69386173536274"/>
    <m/>
    <s v="Federal"/>
  </r>
  <r>
    <x v="0"/>
    <s v="Nuevo León"/>
    <s v="19"/>
    <m/>
    <m/>
    <s v="19015"/>
    <s v="Doctor Coss"/>
    <x v="2"/>
    <s v="Manejo y Distribución de gas L.P."/>
    <m/>
    <m/>
    <m/>
    <m/>
    <m/>
    <n v="8.5886051127802592"/>
    <m/>
    <s v="Federal"/>
  </r>
  <r>
    <x v="0"/>
    <s v="Nuevo León"/>
    <s v="19"/>
    <m/>
    <m/>
    <s v="19016"/>
    <s v="Doctor González"/>
    <x v="2"/>
    <s v="Manejo y Distribución de gas L.P."/>
    <m/>
    <m/>
    <m/>
    <m/>
    <m/>
    <n v="18.824333566977877"/>
    <m/>
    <s v="Federal"/>
  </r>
  <r>
    <x v="0"/>
    <s v="Nuevo León"/>
    <s v="19"/>
    <m/>
    <m/>
    <s v="19017"/>
    <s v="Galeana"/>
    <x v="2"/>
    <s v="Manejo y Distribución de gas L.P."/>
    <m/>
    <m/>
    <m/>
    <m/>
    <m/>
    <n v="188.14555031708809"/>
    <m/>
    <s v="Federal"/>
  </r>
  <r>
    <x v="0"/>
    <s v="Nuevo León"/>
    <s v="19"/>
    <s v="19.01"/>
    <s v="Monterrey"/>
    <s v="19018"/>
    <s v="García"/>
    <x v="2"/>
    <s v="Manejo y Distribución de gas L.P."/>
    <m/>
    <m/>
    <m/>
    <m/>
    <m/>
    <n v="669.10738575644723"/>
    <m/>
    <s v="Federal"/>
  </r>
  <r>
    <x v="0"/>
    <s v="Nuevo León"/>
    <s v="19"/>
    <s v="19.01"/>
    <s v="Monterrey"/>
    <s v="19019"/>
    <s v="San Pedro Garza García"/>
    <x v="2"/>
    <s v="Manejo y Distribución de gas L.P."/>
    <m/>
    <m/>
    <m/>
    <m/>
    <m/>
    <n v="521.45684811502019"/>
    <m/>
    <s v="Federal"/>
  </r>
  <r>
    <x v="0"/>
    <s v="Nuevo León"/>
    <s v="19"/>
    <m/>
    <m/>
    <s v="19020"/>
    <s v="General Bravo"/>
    <x v="2"/>
    <s v="Manejo y Distribución de gas L.P."/>
    <m/>
    <m/>
    <m/>
    <m/>
    <m/>
    <n v="271.4943122699446"/>
    <m/>
    <s v="Federal"/>
  </r>
  <r>
    <x v="0"/>
    <s v="Nuevo León"/>
    <s v="19"/>
    <s v="19.01"/>
    <s v="Monterrey"/>
    <s v="19021"/>
    <s v="General Escobedo"/>
    <x v="2"/>
    <s v="Manejo y Distribución de gas L.P."/>
    <m/>
    <m/>
    <m/>
    <m/>
    <m/>
    <n v="1035.6526387981553"/>
    <m/>
    <s v="Federal"/>
  </r>
  <r>
    <x v="0"/>
    <s v="Nuevo León"/>
    <s v="19"/>
    <m/>
    <m/>
    <s v="19022"/>
    <s v="General Terán"/>
    <x v="2"/>
    <s v="Manejo y Distribución de gas L.P."/>
    <m/>
    <m/>
    <m/>
    <m/>
    <m/>
    <n v="50.147427886129435"/>
    <m/>
    <s v="Federal"/>
  </r>
  <r>
    <x v="0"/>
    <s v="Nuevo León"/>
    <s v="19"/>
    <m/>
    <m/>
    <s v="19023"/>
    <s v="General Treviño"/>
    <x v="2"/>
    <s v="Manejo y Distribución de gas L.P."/>
    <m/>
    <m/>
    <m/>
    <m/>
    <m/>
    <n v="6.2556360426996527"/>
    <m/>
    <s v="Federal"/>
  </r>
  <r>
    <x v="0"/>
    <s v="Nuevo León"/>
    <s v="19"/>
    <m/>
    <m/>
    <s v="19024"/>
    <s v="General Zaragoza"/>
    <x v="2"/>
    <s v="Manejo y Distribución de gas L.P."/>
    <m/>
    <m/>
    <m/>
    <m/>
    <m/>
    <n v="52.435857031011572"/>
    <m/>
    <s v="Federal"/>
  </r>
  <r>
    <x v="0"/>
    <s v="Nuevo León"/>
    <s v="19"/>
    <s v="19.01"/>
    <s v="Monterrey"/>
    <s v="19025"/>
    <s v="General Zuazua"/>
    <x v="2"/>
    <s v="Manejo y Distribución de gas L.P."/>
    <m/>
    <m/>
    <m/>
    <m/>
    <m/>
    <n v="483.69793642802688"/>
    <m/>
    <s v="Federal"/>
  </r>
  <r>
    <x v="0"/>
    <s v="Nuevo León"/>
    <s v="19"/>
    <s v="19.01"/>
    <s v="Monterrey"/>
    <s v="19026"/>
    <s v="Guadalupe"/>
    <x v="2"/>
    <s v="Manejo y Distribución de gas L.P."/>
    <m/>
    <m/>
    <m/>
    <m/>
    <m/>
    <n v="1991.7053820703586"/>
    <m/>
    <s v="Federal"/>
  </r>
  <r>
    <x v="0"/>
    <s v="Nuevo León"/>
    <s v="19"/>
    <m/>
    <m/>
    <s v="19027"/>
    <s v="Los Herreras"/>
    <x v="2"/>
    <s v="Manejo y Distribución de gas L.P."/>
    <m/>
    <m/>
    <m/>
    <m/>
    <m/>
    <n v="10.542391447980512"/>
    <m/>
    <s v="Federal"/>
  </r>
  <r>
    <x v="0"/>
    <s v="Nuevo León"/>
    <s v="19"/>
    <m/>
    <m/>
    <s v="19028"/>
    <s v="Higueras"/>
    <x v="2"/>
    <s v="Manejo y Distribución de gas L.P."/>
    <m/>
    <m/>
    <m/>
    <m/>
    <m/>
    <n v="7.7156469062651549"/>
    <m/>
    <s v="Federal"/>
  </r>
  <r>
    <x v="0"/>
    <s v="Nuevo León"/>
    <s v="19"/>
    <m/>
    <m/>
    <s v="19029"/>
    <s v="Hualahuises"/>
    <x v="2"/>
    <s v="Manejo y Distribución de gas L.P."/>
    <m/>
    <m/>
    <m/>
    <m/>
    <m/>
    <n v="57.125035760983984"/>
    <m/>
    <s v="Federal"/>
  </r>
  <r>
    <x v="0"/>
    <s v="Nuevo León"/>
    <s v="19"/>
    <m/>
    <m/>
    <s v="19030"/>
    <s v="Iturbide"/>
    <x v="2"/>
    <s v="Manejo y Distribución de gas L.P."/>
    <m/>
    <m/>
    <m/>
    <m/>
    <m/>
    <n v="20.230814347380221"/>
    <m/>
    <s v="Federal"/>
  </r>
  <r>
    <x v="0"/>
    <s v="Nuevo León"/>
    <s v="19"/>
    <s v="19.01"/>
    <s v="Monterrey"/>
    <s v="19031"/>
    <s v="Juárez"/>
    <x v="2"/>
    <s v="Manejo y Distribución de gas L.P."/>
    <m/>
    <m/>
    <m/>
    <m/>
    <m/>
    <n v="782.89365425842573"/>
    <m/>
    <s v="Federal"/>
  </r>
  <r>
    <x v="0"/>
    <s v="Nuevo León"/>
    <s v="19"/>
    <m/>
    <m/>
    <s v="19032"/>
    <s v="Lampazos de Naranjo"/>
    <x v="2"/>
    <s v="Manejo y Distribución de gas L.P."/>
    <m/>
    <m/>
    <m/>
    <m/>
    <m/>
    <n v="27.220928401497645"/>
    <m/>
    <s v="Federal"/>
  </r>
  <r>
    <x v="0"/>
    <s v="Nuevo León"/>
    <s v="19"/>
    <m/>
    <m/>
    <s v="19033"/>
    <s v="Linares"/>
    <x v="2"/>
    <s v="Manejo y Distribución de gas L.P."/>
    <m/>
    <m/>
    <m/>
    <m/>
    <m/>
    <n v="381.65849459417916"/>
    <m/>
    <s v="Federal"/>
  </r>
  <r>
    <x v="0"/>
    <s v="Nuevo León"/>
    <s v="19"/>
    <m/>
    <m/>
    <s v="19034"/>
    <s v="Marín"/>
    <x v="2"/>
    <s v="Manejo y Distribución de gas L.P."/>
    <m/>
    <m/>
    <m/>
    <m/>
    <m/>
    <n v="43.357330744397359"/>
    <m/>
    <s v="Federal"/>
  </r>
  <r>
    <x v="0"/>
    <s v="Nuevo León"/>
    <s v="19"/>
    <m/>
    <m/>
    <s v="19035"/>
    <s v="Melchor Ocampo"/>
    <x v="2"/>
    <s v="Manejo y Distribución de gas L.P."/>
    <m/>
    <m/>
    <m/>
    <m/>
    <m/>
    <n v="4.8253346669896597"/>
    <m/>
    <s v="Federal"/>
  </r>
  <r>
    <x v="0"/>
    <s v="Nuevo León"/>
    <s v="19"/>
    <m/>
    <m/>
    <s v="19036"/>
    <s v="Mier y Noriega"/>
    <x v="2"/>
    <s v="Manejo y Distribución de gas L.P."/>
    <m/>
    <m/>
    <m/>
    <m/>
    <m/>
    <n v="10.594622965752935"/>
    <m/>
    <s v="Federal"/>
  </r>
  <r>
    <x v="0"/>
    <s v="Nuevo León"/>
    <s v="19"/>
    <m/>
    <m/>
    <s v="19037"/>
    <s v="Mina"/>
    <x v="2"/>
    <s v="Manejo y Distribución de gas L.P."/>
    <m/>
    <m/>
    <m/>
    <m/>
    <m/>
    <n v="24.470322474132395"/>
    <m/>
    <s v="Federal"/>
  </r>
  <r>
    <x v="0"/>
    <s v="Nuevo León"/>
    <s v="19"/>
    <m/>
    <m/>
    <s v="19038"/>
    <s v="Montemorelos"/>
    <x v="2"/>
    <s v="Manejo y Distribución de gas L.P."/>
    <m/>
    <m/>
    <m/>
    <m/>
    <m/>
    <n v="265.43998979566396"/>
    <m/>
    <s v="Federal"/>
  </r>
  <r>
    <x v="0"/>
    <s v="Nuevo León"/>
    <s v="19"/>
    <s v="19.01"/>
    <s v="Monterrey"/>
    <s v="19039"/>
    <s v="Monterrey"/>
    <x v="2"/>
    <s v="Manejo y Distribución de gas L.P."/>
    <m/>
    <m/>
    <m/>
    <m/>
    <m/>
    <n v="4121.0500617897524"/>
    <m/>
    <s v="Federal"/>
  </r>
  <r>
    <x v="0"/>
    <s v="Nuevo León"/>
    <s v="19"/>
    <m/>
    <m/>
    <s v="19040"/>
    <s v="Parás"/>
    <x v="2"/>
    <s v="Manejo y Distribución de gas L.P."/>
    <m/>
    <m/>
    <m/>
    <m/>
    <m/>
    <n v="4.9979286641140561"/>
    <m/>
    <s v="Federal"/>
  </r>
  <r>
    <x v="0"/>
    <s v="Nuevo León"/>
    <s v="19"/>
    <s v="19.01"/>
    <s v="Monterrey"/>
    <s v="19041"/>
    <s v="Pesquería"/>
    <x v="2"/>
    <s v="Manejo y Distribución de gas L.P."/>
    <m/>
    <m/>
    <m/>
    <m/>
    <m/>
    <n v="220.5947216813029"/>
    <m/>
    <s v="Federal"/>
  </r>
  <r>
    <x v="0"/>
    <s v="Nuevo León"/>
    <s v="19"/>
    <m/>
    <m/>
    <s v="19042"/>
    <s v="Los Ramones"/>
    <x v="2"/>
    <s v="Manejo y Distribución de gas L.P."/>
    <m/>
    <m/>
    <m/>
    <m/>
    <m/>
    <n v="10.102466035156059"/>
    <m/>
    <s v="Federal"/>
  </r>
  <r>
    <x v="0"/>
    <s v="Nuevo León"/>
    <s v="19"/>
    <m/>
    <m/>
    <s v="19043"/>
    <s v="Rayones"/>
    <x v="2"/>
    <s v="Manejo y Distribución de gas L.P."/>
    <m/>
    <m/>
    <m/>
    <m/>
    <m/>
    <n v="12.81800702899602"/>
    <m/>
    <s v="Federal"/>
  </r>
  <r>
    <x v="0"/>
    <s v="Nuevo León"/>
    <s v="19"/>
    <m/>
    <m/>
    <s v="19044"/>
    <s v="Sabinas Hidalgo"/>
    <x v="2"/>
    <s v="Manejo y Distribución de gas L.P."/>
    <m/>
    <m/>
    <m/>
    <m/>
    <m/>
    <n v="204.5809696017229"/>
    <m/>
    <s v="Federal"/>
  </r>
  <r>
    <x v="0"/>
    <s v="Nuevo León"/>
    <s v="19"/>
    <s v="19.01"/>
    <s v="Monterrey"/>
    <s v="19045"/>
    <s v="Salinas Victoria"/>
    <x v="2"/>
    <s v="Manejo y Distribución de gas L.P."/>
    <m/>
    <m/>
    <m/>
    <m/>
    <m/>
    <n v="180.63446928103306"/>
    <m/>
    <s v="Federal"/>
  </r>
  <r>
    <x v="0"/>
    <s v="Nuevo León"/>
    <s v="19"/>
    <s v="19.01"/>
    <s v="Monterrey"/>
    <s v="19046"/>
    <s v="San Nicolás de los Garza"/>
    <x v="2"/>
    <s v="Manejo y Distribución de gas L.P."/>
    <m/>
    <m/>
    <m/>
    <m/>
    <m/>
    <n v="1526.4397566264042"/>
    <m/>
    <s v="Federal"/>
  </r>
  <r>
    <x v="0"/>
    <s v="Nuevo León"/>
    <s v="19"/>
    <s v="19.01"/>
    <s v="Monterrey"/>
    <s v="19047"/>
    <s v="Hidalgo"/>
    <x v="2"/>
    <s v="Manejo y Distribución de gas L.P."/>
    <m/>
    <m/>
    <m/>
    <m/>
    <m/>
    <n v="47.564426896387253"/>
    <m/>
    <s v="Federal"/>
  </r>
  <r>
    <x v="0"/>
    <s v="Nuevo León"/>
    <s v="19"/>
    <s v="19.01"/>
    <s v="Monterrey"/>
    <s v="19048"/>
    <s v="Santa Catarina"/>
    <x v="2"/>
    <s v="Manejo y Distribución de gas L.P."/>
    <m/>
    <m/>
    <m/>
    <m/>
    <m/>
    <n v="1088.9871131851401"/>
    <m/>
    <s v="Federal"/>
  </r>
  <r>
    <x v="0"/>
    <s v="Nuevo León"/>
    <s v="19"/>
    <s v="19.01"/>
    <s v="Monterrey"/>
    <s v="19049"/>
    <s v="Santiago"/>
    <x v="2"/>
    <s v="Manejo y Distribución de gas L.P."/>
    <m/>
    <m/>
    <m/>
    <m/>
    <m/>
    <n v="135.21200067942584"/>
    <m/>
    <s v="Federal"/>
  </r>
  <r>
    <x v="0"/>
    <s v="Nuevo León"/>
    <s v="19"/>
    <m/>
    <m/>
    <s v="19050"/>
    <s v="Vallecillo"/>
    <x v="2"/>
    <s v="Manejo y Distribución de gas L.P."/>
    <m/>
    <m/>
    <m/>
    <m/>
    <m/>
    <n v="24.703057115342098"/>
    <m/>
    <s v="Federal"/>
  </r>
  <r>
    <x v="0"/>
    <s v="Nuevo León"/>
    <s v="19"/>
    <m/>
    <m/>
    <s v="19051"/>
    <s v="Villaldama"/>
    <x v="2"/>
    <s v="Manejo y Distribución de gas L.P."/>
    <m/>
    <m/>
    <m/>
    <m/>
    <m/>
    <n v="27.038167349386129"/>
    <m/>
    <s v="Federal"/>
  </r>
  <r>
    <x v="0"/>
    <s v="Nuevo León"/>
    <s v="19"/>
    <s v="19.01"/>
    <s v="Monterrey"/>
    <s v="19001"/>
    <s v="Abasolo"/>
    <x v="2"/>
    <s v="Manejo y distribución de Combustibles"/>
    <m/>
    <m/>
    <m/>
    <m/>
    <m/>
    <n v="0.84311050958062861"/>
    <m/>
    <s v="Federal"/>
  </r>
  <r>
    <x v="0"/>
    <s v="Nuevo León"/>
    <s v="19"/>
    <m/>
    <m/>
    <s v="19002"/>
    <s v="Agualeguas"/>
    <x v="2"/>
    <s v="Manejo y distribución de Combustibles"/>
    <m/>
    <m/>
    <m/>
    <m/>
    <m/>
    <n v="0.73344014568722027"/>
    <m/>
    <s v="Federal"/>
  </r>
  <r>
    <x v="0"/>
    <s v="Nuevo León"/>
    <s v="19"/>
    <m/>
    <m/>
    <s v="19003"/>
    <s v="Los Aldamas"/>
    <x v="2"/>
    <s v="Manejo y distribución de Combustibles"/>
    <m/>
    <m/>
    <m/>
    <m/>
    <m/>
    <n v="1.2164525412633123"/>
    <m/>
    <s v="Federal"/>
  </r>
  <r>
    <x v="0"/>
    <s v="Nuevo León"/>
    <s v="19"/>
    <m/>
    <m/>
    <s v="19004"/>
    <s v="Allende"/>
    <x v="2"/>
    <s v="Manejo y distribución de Combustibles"/>
    <m/>
    <m/>
    <m/>
    <m/>
    <m/>
    <n v="49.921046435691387"/>
    <m/>
    <s v="Federal"/>
  </r>
  <r>
    <x v="0"/>
    <s v="Nuevo León"/>
    <s v="19"/>
    <m/>
    <m/>
    <s v="19005"/>
    <s v="Anáhuac"/>
    <x v="2"/>
    <s v="Manejo y distribución de Combustibles"/>
    <m/>
    <m/>
    <m/>
    <m/>
    <m/>
    <n v="13.243205931856568"/>
    <m/>
    <s v="Federal"/>
  </r>
  <r>
    <x v="0"/>
    <s v="Nuevo León"/>
    <s v="19"/>
    <s v="19.01"/>
    <s v="Monterrey"/>
    <s v="19006"/>
    <s v="Apodaca"/>
    <x v="2"/>
    <s v="Manejo y distribución de Combustibles"/>
    <m/>
    <m/>
    <m/>
    <m/>
    <m/>
    <n v="217.29391082820982"/>
    <m/>
    <s v="Federal"/>
  </r>
  <r>
    <x v="0"/>
    <s v="Nuevo León"/>
    <s v="19"/>
    <m/>
    <m/>
    <s v="19007"/>
    <s v="Aramberri"/>
    <x v="2"/>
    <s v="Manejo y distribución de Combustibles"/>
    <m/>
    <m/>
    <m/>
    <m/>
    <m/>
    <n v="6.2249628239253667"/>
    <m/>
    <s v="Federal"/>
  </r>
  <r>
    <x v="0"/>
    <s v="Nuevo León"/>
    <s v="19"/>
    <m/>
    <m/>
    <s v="19008"/>
    <s v="Bustamante"/>
    <x v="2"/>
    <s v="Manejo y distribución de Combustibles"/>
    <m/>
    <m/>
    <m/>
    <m/>
    <m/>
    <n v="2.3470113282509777"/>
    <m/>
    <s v="Federal"/>
  </r>
  <r>
    <x v="0"/>
    <s v="Nuevo León"/>
    <s v="19"/>
    <s v="19.01"/>
    <s v="Monterrey"/>
    <s v="19009"/>
    <s v="Cadereyta Jiménez"/>
    <x v="2"/>
    <s v="Manejo y distribución de Combustibles"/>
    <m/>
    <m/>
    <m/>
    <m/>
    <m/>
    <n v="39.521834726788271"/>
    <m/>
    <s v="Federal"/>
  </r>
  <r>
    <x v="0"/>
    <s v="Nuevo León"/>
    <s v="19"/>
    <s v="19.01"/>
    <s v="Monterrey"/>
    <s v="19010"/>
    <s v="El Carmen"/>
    <x v="2"/>
    <s v="Manejo y distribución de Combustibles"/>
    <m/>
    <m/>
    <m/>
    <m/>
    <m/>
    <n v="2.0868112375169221"/>
    <m/>
    <s v="Federal"/>
  </r>
  <r>
    <x v="0"/>
    <s v="Nuevo León"/>
    <s v="19"/>
    <m/>
    <m/>
    <s v="19011"/>
    <s v="Cerralvo"/>
    <x v="2"/>
    <s v="Manejo y distribución de Combustibles"/>
    <m/>
    <m/>
    <m/>
    <m/>
    <m/>
    <n v="10.556835186987801"/>
    <m/>
    <s v="Federal"/>
  </r>
  <r>
    <x v="0"/>
    <s v="Nuevo León"/>
    <s v="19"/>
    <s v="19.01"/>
    <s v="Monterrey"/>
    <s v="19012"/>
    <s v="Ciénega de Flores"/>
    <x v="2"/>
    <s v="Manejo y distribución de Combustibles"/>
    <m/>
    <m/>
    <m/>
    <m/>
    <m/>
    <n v="11.282508305286308"/>
    <m/>
    <s v="Federal"/>
  </r>
  <r>
    <x v="0"/>
    <s v="Nuevo León"/>
    <s v="19"/>
    <m/>
    <m/>
    <s v="19013"/>
    <s v="China"/>
    <x v="2"/>
    <s v="Manejo y distribución de Combustibles"/>
    <m/>
    <m/>
    <m/>
    <m/>
    <m/>
    <n v="11.288048858242007"/>
    <m/>
    <s v="Federal"/>
  </r>
  <r>
    <x v="0"/>
    <s v="Nuevo León"/>
    <s v="19"/>
    <m/>
    <m/>
    <s v="19014"/>
    <s v="Doctor Arroyo"/>
    <x v="2"/>
    <s v="Manejo y distribución de Combustibles"/>
    <m/>
    <m/>
    <m/>
    <m/>
    <m/>
    <n v="34.275532533438515"/>
    <m/>
    <s v="Federal"/>
  </r>
  <r>
    <x v="0"/>
    <s v="Nuevo León"/>
    <s v="19"/>
    <m/>
    <m/>
    <s v="19015"/>
    <s v="Doctor Coss"/>
    <x v="2"/>
    <s v="Manejo y distribución de Combustibles"/>
    <m/>
    <m/>
    <m/>
    <m/>
    <m/>
    <n v="0"/>
    <m/>
    <s v="Federal"/>
  </r>
  <r>
    <x v="0"/>
    <s v="Nuevo León"/>
    <s v="19"/>
    <m/>
    <m/>
    <s v="19016"/>
    <s v="Doctor González"/>
    <x v="2"/>
    <s v="Manejo y distribución de Combustibles"/>
    <m/>
    <m/>
    <m/>
    <m/>
    <m/>
    <n v="0"/>
    <m/>
    <s v="Federal"/>
  </r>
  <r>
    <x v="0"/>
    <s v="Nuevo León"/>
    <s v="19"/>
    <m/>
    <m/>
    <s v="19017"/>
    <s v="Galeana"/>
    <x v="2"/>
    <s v="Manejo y distribución de Combustibles"/>
    <m/>
    <m/>
    <m/>
    <m/>
    <m/>
    <n v="58.179021299308474"/>
    <m/>
    <s v="Federal"/>
  </r>
  <r>
    <x v="0"/>
    <s v="Nuevo León"/>
    <s v="19"/>
    <s v="19.01"/>
    <s v="Monterrey"/>
    <s v="19018"/>
    <s v="García"/>
    <x v="2"/>
    <s v="Manejo y distribución de Combustibles"/>
    <m/>
    <m/>
    <m/>
    <m/>
    <m/>
    <n v="52.806355262617508"/>
    <m/>
    <s v="Federal"/>
  </r>
  <r>
    <x v="0"/>
    <s v="Nuevo León"/>
    <s v="19"/>
    <s v="19.01"/>
    <s v="Monterrey"/>
    <s v="19019"/>
    <s v="San Pedro Garza García"/>
    <x v="2"/>
    <s v="Manejo y distribución de Combustibles"/>
    <m/>
    <m/>
    <m/>
    <m/>
    <m/>
    <n v="99.5118453478281"/>
    <m/>
    <s v="Federal"/>
  </r>
  <r>
    <x v="0"/>
    <s v="Nuevo León"/>
    <s v="19"/>
    <m/>
    <m/>
    <s v="19020"/>
    <s v="General Bravo"/>
    <x v="2"/>
    <s v="Manejo y distribución de Combustibles"/>
    <m/>
    <m/>
    <m/>
    <m/>
    <m/>
    <n v="9.9151887596803103"/>
    <m/>
    <s v="Federal"/>
  </r>
  <r>
    <x v="0"/>
    <s v="Nuevo León"/>
    <s v="19"/>
    <s v="19.01"/>
    <s v="Monterrey"/>
    <s v="19021"/>
    <s v="General Escobedo"/>
    <x v="2"/>
    <s v="Manejo y distribución de Combustibles"/>
    <m/>
    <m/>
    <m/>
    <m/>
    <m/>
    <n v="144.08501000707108"/>
    <m/>
    <s v="Federal"/>
  </r>
  <r>
    <x v="0"/>
    <s v="Nuevo León"/>
    <s v="19"/>
    <m/>
    <m/>
    <s v="19022"/>
    <s v="General Terán"/>
    <x v="2"/>
    <s v="Manejo y distribución de Combustibles"/>
    <m/>
    <m/>
    <m/>
    <m/>
    <m/>
    <n v="14.585373680814218"/>
    <m/>
    <s v="Federal"/>
  </r>
  <r>
    <x v="0"/>
    <s v="Nuevo León"/>
    <s v="19"/>
    <m/>
    <m/>
    <s v="19023"/>
    <s v="General Treviño"/>
    <x v="2"/>
    <s v="Manejo y distribución de Combustibles"/>
    <m/>
    <m/>
    <m/>
    <m/>
    <m/>
    <n v="0"/>
    <m/>
    <s v="Federal"/>
  </r>
  <r>
    <x v="0"/>
    <s v="Nuevo León"/>
    <s v="19"/>
    <m/>
    <m/>
    <s v="19024"/>
    <s v="General Zaragoza"/>
    <x v="2"/>
    <s v="Manejo y distribución de Combustibles"/>
    <m/>
    <m/>
    <m/>
    <m/>
    <m/>
    <n v="0"/>
    <m/>
    <s v="Federal"/>
  </r>
  <r>
    <x v="0"/>
    <s v="Nuevo León"/>
    <s v="19"/>
    <s v="19.01"/>
    <s v="Monterrey"/>
    <s v="19025"/>
    <s v="General Zuazua"/>
    <x v="2"/>
    <s v="Manejo y distribución de Combustibles"/>
    <m/>
    <m/>
    <m/>
    <m/>
    <m/>
    <n v="9.2965823737843571"/>
    <m/>
    <s v="Federal"/>
  </r>
  <r>
    <x v="0"/>
    <s v="Nuevo León"/>
    <s v="19"/>
    <s v="19.01"/>
    <s v="Monterrey"/>
    <s v="19026"/>
    <s v="Guadalupe"/>
    <x v="2"/>
    <s v="Manejo y distribución de Combustibles"/>
    <m/>
    <m/>
    <m/>
    <m/>
    <m/>
    <n v="258.6810398070682"/>
    <m/>
    <s v="Federal"/>
  </r>
  <r>
    <x v="0"/>
    <s v="Nuevo León"/>
    <s v="19"/>
    <m/>
    <m/>
    <s v="19027"/>
    <s v="Los Herreras"/>
    <x v="2"/>
    <s v="Manejo y distribución de Combustibles"/>
    <m/>
    <m/>
    <m/>
    <m/>
    <m/>
    <n v="1.2611399036964455"/>
    <m/>
    <s v="Federal"/>
  </r>
  <r>
    <x v="0"/>
    <s v="Nuevo León"/>
    <s v="19"/>
    <m/>
    <m/>
    <s v="19028"/>
    <s v="Higueras"/>
    <x v="2"/>
    <s v="Manejo y distribución de Combustibles"/>
    <m/>
    <m/>
    <m/>
    <m/>
    <m/>
    <n v="0"/>
    <m/>
    <s v="Federal"/>
  </r>
  <r>
    <x v="0"/>
    <s v="Nuevo León"/>
    <s v="19"/>
    <m/>
    <m/>
    <s v="19029"/>
    <s v="Hualahuises"/>
    <x v="2"/>
    <s v="Manejo y distribución de Combustibles"/>
    <m/>
    <m/>
    <m/>
    <m/>
    <m/>
    <n v="4.6852694894202935"/>
    <m/>
    <s v="Federal"/>
  </r>
  <r>
    <x v="0"/>
    <s v="Nuevo León"/>
    <s v="19"/>
    <m/>
    <m/>
    <s v="19030"/>
    <s v="Iturbide"/>
    <x v="2"/>
    <s v="Manejo y distribución de Combustibles"/>
    <m/>
    <m/>
    <m/>
    <m/>
    <m/>
    <n v="0"/>
    <m/>
    <s v="Federal"/>
  </r>
  <r>
    <x v="0"/>
    <s v="Nuevo León"/>
    <s v="19"/>
    <s v="19.01"/>
    <s v="Monterrey"/>
    <s v="19031"/>
    <s v="Juárez"/>
    <x v="2"/>
    <s v="Manejo y distribución de Combustibles"/>
    <m/>
    <m/>
    <m/>
    <m/>
    <m/>
    <n v="57.896228627685872"/>
    <m/>
    <s v="Federal"/>
  </r>
  <r>
    <x v="0"/>
    <s v="Nuevo León"/>
    <s v="19"/>
    <m/>
    <m/>
    <s v="19032"/>
    <s v="Lampazos de Naranjo"/>
    <x v="2"/>
    <s v="Manejo y distribución de Combustibles"/>
    <m/>
    <m/>
    <m/>
    <m/>
    <m/>
    <n v="4.7939690854743704"/>
    <m/>
    <s v="Federal"/>
  </r>
  <r>
    <x v="0"/>
    <s v="Nuevo León"/>
    <s v="19"/>
    <m/>
    <m/>
    <s v="19033"/>
    <s v="Linares"/>
    <x v="2"/>
    <s v="Manejo y distribución de Combustibles"/>
    <m/>
    <m/>
    <m/>
    <m/>
    <m/>
    <n v="73.990471301228595"/>
    <m/>
    <s v="Federal"/>
  </r>
  <r>
    <x v="0"/>
    <s v="Nuevo León"/>
    <s v="19"/>
    <m/>
    <m/>
    <s v="19034"/>
    <s v="Marín"/>
    <x v="2"/>
    <s v="Manejo y distribución de Combustibles"/>
    <m/>
    <m/>
    <m/>
    <m/>
    <m/>
    <n v="0"/>
    <m/>
    <s v="Federal"/>
  </r>
  <r>
    <x v="0"/>
    <s v="Nuevo León"/>
    <s v="19"/>
    <m/>
    <m/>
    <s v="19035"/>
    <s v="Melchor Ocampo"/>
    <x v="2"/>
    <s v="Manejo y distribución de Combustibles"/>
    <m/>
    <m/>
    <m/>
    <m/>
    <m/>
    <n v="0"/>
    <m/>
    <s v="Federal"/>
  </r>
  <r>
    <x v="0"/>
    <s v="Nuevo León"/>
    <s v="19"/>
    <m/>
    <m/>
    <s v="19036"/>
    <s v="Mier y Noriega"/>
    <x v="2"/>
    <s v="Manejo y distribución de Combustibles"/>
    <m/>
    <m/>
    <m/>
    <m/>
    <m/>
    <n v="2.5985721408159472"/>
    <m/>
    <s v="Federal"/>
  </r>
  <r>
    <x v="0"/>
    <s v="Nuevo León"/>
    <s v="19"/>
    <m/>
    <m/>
    <s v="19037"/>
    <s v="Mina"/>
    <x v="2"/>
    <s v="Manejo y distribución de Combustibles"/>
    <m/>
    <m/>
    <m/>
    <m/>
    <m/>
    <n v="4.1536692616703199"/>
    <m/>
    <s v="Federal"/>
  </r>
  <r>
    <x v="0"/>
    <s v="Nuevo León"/>
    <s v="19"/>
    <m/>
    <m/>
    <s v="19038"/>
    <s v="Montemorelos"/>
    <x v="2"/>
    <s v="Manejo y distribución de Combustibles"/>
    <m/>
    <m/>
    <m/>
    <m/>
    <m/>
    <n v="135.22237028387147"/>
    <m/>
    <s v="Federal"/>
  </r>
  <r>
    <x v="0"/>
    <s v="Nuevo León"/>
    <s v="19"/>
    <s v="19.01"/>
    <s v="Monterrey"/>
    <s v="19039"/>
    <s v="Monterrey"/>
    <x v="2"/>
    <s v="Manejo y distribución de Combustibles"/>
    <m/>
    <m/>
    <m/>
    <m/>
    <m/>
    <n v="656.56427494360855"/>
    <m/>
    <s v="Federal"/>
  </r>
  <r>
    <x v="0"/>
    <s v="Nuevo León"/>
    <s v="19"/>
    <m/>
    <m/>
    <s v="19040"/>
    <s v="Parás"/>
    <x v="2"/>
    <s v="Manejo y distribución de Combustibles"/>
    <m/>
    <m/>
    <m/>
    <m/>
    <m/>
    <n v="11.895025664352826"/>
    <m/>
    <s v="Federal"/>
  </r>
  <r>
    <x v="0"/>
    <s v="Nuevo León"/>
    <s v="19"/>
    <s v="19.01"/>
    <s v="Monterrey"/>
    <s v="19041"/>
    <s v="Pesquería"/>
    <x v="2"/>
    <s v="Manejo y distribución de Combustibles"/>
    <m/>
    <m/>
    <m/>
    <m/>
    <m/>
    <n v="6.1161254194934083"/>
    <m/>
    <s v="Federal"/>
  </r>
  <r>
    <x v="0"/>
    <s v="Nuevo León"/>
    <s v="19"/>
    <m/>
    <m/>
    <s v="19042"/>
    <s v="Los Ramones"/>
    <x v="2"/>
    <s v="Manejo y distribución de Combustibles"/>
    <m/>
    <m/>
    <m/>
    <m/>
    <m/>
    <n v="3.6759192539544387"/>
    <m/>
    <s v="Federal"/>
  </r>
  <r>
    <x v="0"/>
    <s v="Nuevo León"/>
    <s v="19"/>
    <m/>
    <m/>
    <s v="19043"/>
    <s v="Rayones"/>
    <x v="2"/>
    <s v="Manejo y distribución de Combustibles"/>
    <m/>
    <m/>
    <m/>
    <m/>
    <m/>
    <n v="0.24150172583199414"/>
    <m/>
    <s v="Federal"/>
  </r>
  <r>
    <x v="0"/>
    <s v="Nuevo León"/>
    <s v="19"/>
    <m/>
    <m/>
    <s v="19044"/>
    <s v="Sabinas Hidalgo"/>
    <x v="2"/>
    <s v="Manejo y distribución de Combustibles"/>
    <m/>
    <m/>
    <m/>
    <m/>
    <m/>
    <n v="34.793830462219908"/>
    <m/>
    <s v="Federal"/>
  </r>
  <r>
    <x v="0"/>
    <s v="Nuevo León"/>
    <s v="19"/>
    <s v="19.01"/>
    <s v="Monterrey"/>
    <s v="19045"/>
    <s v="Salinas Victoria"/>
    <x v="2"/>
    <s v="Manejo y distribución de Combustibles"/>
    <m/>
    <m/>
    <m/>
    <m/>
    <m/>
    <n v="0"/>
    <m/>
    <s v="Federal"/>
  </r>
  <r>
    <x v="0"/>
    <s v="Nuevo León"/>
    <s v="19"/>
    <s v="19.01"/>
    <s v="Monterrey"/>
    <s v="19046"/>
    <s v="San Nicolás de los Garza"/>
    <x v="2"/>
    <s v="Manejo y distribución de Combustibles"/>
    <m/>
    <m/>
    <m/>
    <m/>
    <m/>
    <n v="200.20064100377652"/>
    <m/>
    <s v="Federal"/>
  </r>
  <r>
    <x v="0"/>
    <s v="Nuevo León"/>
    <s v="19"/>
    <s v="19.01"/>
    <s v="Monterrey"/>
    <s v="19047"/>
    <s v="Hidalgo"/>
    <x v="2"/>
    <s v="Manejo y distribución de Combustibles"/>
    <m/>
    <m/>
    <m/>
    <m/>
    <m/>
    <n v="7.9461503634575879"/>
    <m/>
    <s v="Federal"/>
  </r>
  <r>
    <x v="0"/>
    <s v="Nuevo León"/>
    <s v="19"/>
    <s v="19.01"/>
    <s v="Monterrey"/>
    <s v="19048"/>
    <s v="Santa Catarina"/>
    <x v="2"/>
    <s v="Manejo y distribución de Combustibles"/>
    <m/>
    <m/>
    <m/>
    <m/>
    <m/>
    <n v="101.45478561568243"/>
    <m/>
    <s v="Federal"/>
  </r>
  <r>
    <x v="0"/>
    <s v="Nuevo León"/>
    <s v="19"/>
    <s v="19.01"/>
    <s v="Monterrey"/>
    <s v="19049"/>
    <s v="Santiago"/>
    <x v="2"/>
    <s v="Manejo y distribución de Combustibles"/>
    <m/>
    <m/>
    <m/>
    <m/>
    <m/>
    <n v="26.784525097412885"/>
    <m/>
    <s v="Federal"/>
  </r>
  <r>
    <x v="0"/>
    <s v="Nuevo León"/>
    <s v="19"/>
    <m/>
    <m/>
    <s v="19050"/>
    <s v="Vallecillo"/>
    <x v="2"/>
    <s v="Manejo y distribución de Combustibles"/>
    <m/>
    <m/>
    <m/>
    <m/>
    <m/>
    <n v="3.7958750030844484"/>
    <m/>
    <s v="Federal"/>
  </r>
  <r>
    <x v="0"/>
    <s v="Nuevo León"/>
    <s v="19"/>
    <m/>
    <m/>
    <s v="19051"/>
    <s v="Villaldama"/>
    <x v="2"/>
    <s v="Manejo y distribución de Combustibles"/>
    <m/>
    <m/>
    <m/>
    <m/>
    <m/>
    <n v="4.4006838049014174"/>
    <m/>
    <s v="Federal"/>
  </r>
  <r>
    <x v="0"/>
    <s v="Nuevo León"/>
    <s v="19"/>
    <s v="19.01"/>
    <s v="Monterrey"/>
    <s v="19001"/>
    <s v="Abasolo"/>
    <x v="3"/>
    <s v="Actividades de la construcción"/>
    <n v="0"/>
    <n v="0"/>
    <m/>
    <m/>
    <m/>
    <m/>
    <m/>
    <s v="Estatal"/>
  </r>
  <r>
    <x v="0"/>
    <s v="Nuevo León"/>
    <s v="19"/>
    <m/>
    <m/>
    <s v="19002"/>
    <s v="Agualeguas"/>
    <x v="3"/>
    <s v="Actividades de la construcción"/>
    <n v="0"/>
    <n v="0"/>
    <m/>
    <m/>
    <m/>
    <m/>
    <m/>
    <s v="Estatal"/>
  </r>
  <r>
    <x v="0"/>
    <s v="Nuevo León"/>
    <s v="19"/>
    <m/>
    <m/>
    <s v="19003"/>
    <s v="Los Aldamas"/>
    <x v="3"/>
    <s v="Actividades de la construcción"/>
    <n v="0"/>
    <n v="0"/>
    <m/>
    <m/>
    <m/>
    <m/>
    <m/>
    <s v="Estatal"/>
  </r>
  <r>
    <x v="0"/>
    <s v="Nuevo León"/>
    <s v="19"/>
    <m/>
    <m/>
    <s v="19004"/>
    <s v="Allende"/>
    <x v="3"/>
    <s v="Actividades de la construcción"/>
    <n v="0"/>
    <n v="0"/>
    <m/>
    <m/>
    <m/>
    <m/>
    <m/>
    <s v="Estatal"/>
  </r>
  <r>
    <x v="0"/>
    <s v="Nuevo León"/>
    <s v="19"/>
    <m/>
    <m/>
    <s v="19005"/>
    <s v="Anáhuac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06"/>
    <s v="Apodaca"/>
    <x v="3"/>
    <s v="Actividades de la construcción"/>
    <n v="0"/>
    <n v="0"/>
    <m/>
    <m/>
    <m/>
    <m/>
    <m/>
    <s v="Estatal"/>
  </r>
  <r>
    <x v="0"/>
    <s v="Nuevo León"/>
    <s v="19"/>
    <m/>
    <m/>
    <s v="19007"/>
    <s v="Aramberri"/>
    <x v="3"/>
    <s v="Actividades de la construcción"/>
    <n v="200.2034679370523"/>
    <n v="20.020346793705233"/>
    <m/>
    <m/>
    <m/>
    <m/>
    <m/>
    <s v="Estatal"/>
  </r>
  <r>
    <x v="0"/>
    <s v="Nuevo León"/>
    <s v="19"/>
    <m/>
    <m/>
    <s v="19008"/>
    <s v="Bustamante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09"/>
    <s v="Cadereyta Jiménez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10"/>
    <s v="El Carmen"/>
    <x v="3"/>
    <s v="Actividades de la construcción"/>
    <n v="0"/>
    <n v="0"/>
    <m/>
    <m/>
    <m/>
    <m/>
    <m/>
    <s v="Estatal"/>
  </r>
  <r>
    <x v="0"/>
    <s v="Nuevo León"/>
    <s v="19"/>
    <m/>
    <m/>
    <s v="19011"/>
    <s v="Cerralvo"/>
    <x v="3"/>
    <s v="Actividades de la construcción"/>
    <n v="10.092799324258532"/>
    <n v="1.0092799324258532"/>
    <m/>
    <m/>
    <m/>
    <m/>
    <m/>
    <s v="Estatal"/>
  </r>
  <r>
    <x v="0"/>
    <s v="Nuevo León"/>
    <s v="19"/>
    <s v="19.01"/>
    <s v="Monterrey"/>
    <s v="19012"/>
    <s v="Ciénega de Flores"/>
    <x v="3"/>
    <s v="Actividades de la construcción"/>
    <n v="0"/>
    <n v="0"/>
    <m/>
    <m/>
    <m/>
    <m/>
    <m/>
    <s v="Estatal"/>
  </r>
  <r>
    <x v="0"/>
    <s v="Nuevo León"/>
    <s v="19"/>
    <m/>
    <m/>
    <s v="19013"/>
    <s v="China"/>
    <x v="3"/>
    <s v="Actividades de la construcción"/>
    <n v="0"/>
    <n v="0"/>
    <m/>
    <m/>
    <m/>
    <m/>
    <m/>
    <s v="Estatal"/>
  </r>
  <r>
    <x v="0"/>
    <s v="Nuevo León"/>
    <s v="19"/>
    <m/>
    <m/>
    <s v="19014"/>
    <s v="Doctor Arroyo"/>
    <x v="3"/>
    <s v="Actividades de la construcción"/>
    <n v="0"/>
    <n v="0"/>
    <m/>
    <m/>
    <m/>
    <m/>
    <m/>
    <s v="Estatal"/>
  </r>
  <r>
    <x v="0"/>
    <s v="Nuevo León"/>
    <s v="19"/>
    <m/>
    <m/>
    <s v="19015"/>
    <s v="Doctor Coss"/>
    <x v="3"/>
    <s v="Actividades de la construcción"/>
    <n v="0"/>
    <n v="0"/>
    <m/>
    <m/>
    <m/>
    <m/>
    <m/>
    <s v="Estatal"/>
  </r>
  <r>
    <x v="0"/>
    <s v="Nuevo León"/>
    <s v="19"/>
    <m/>
    <m/>
    <s v="19016"/>
    <s v="Doctor González"/>
    <x v="3"/>
    <s v="Actividades de la construcción"/>
    <n v="0"/>
    <n v="0"/>
    <m/>
    <m/>
    <m/>
    <m/>
    <m/>
    <s v="Estatal"/>
  </r>
  <r>
    <x v="0"/>
    <s v="Nuevo León"/>
    <s v="19"/>
    <m/>
    <m/>
    <s v="19017"/>
    <s v="Galeana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18"/>
    <s v="García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19"/>
    <s v="San Pedro Garza García"/>
    <x v="3"/>
    <s v="Actividades de la construcción"/>
    <n v="0"/>
    <n v="0"/>
    <m/>
    <m/>
    <m/>
    <m/>
    <m/>
    <s v="Estatal"/>
  </r>
  <r>
    <x v="0"/>
    <s v="Nuevo León"/>
    <s v="19"/>
    <m/>
    <m/>
    <s v="19020"/>
    <s v="General Bravo"/>
    <x v="3"/>
    <s v="Actividades de la construcción"/>
    <n v="47.961349829419312"/>
    <n v="4.7961349829419309"/>
    <m/>
    <m/>
    <m/>
    <m/>
    <m/>
    <s v="Estatal"/>
  </r>
  <r>
    <x v="0"/>
    <s v="Nuevo León"/>
    <s v="19"/>
    <s v="19.01"/>
    <s v="Monterrey"/>
    <s v="19021"/>
    <s v="General Escobedo"/>
    <x v="3"/>
    <s v="Actividades de la construcción"/>
    <n v="83.394875592562983"/>
    <n v="8.3394875592562983"/>
    <m/>
    <m/>
    <m/>
    <m/>
    <m/>
    <s v="Estatal"/>
  </r>
  <r>
    <x v="0"/>
    <s v="Nuevo León"/>
    <s v="19"/>
    <m/>
    <m/>
    <s v="19022"/>
    <s v="General Terán"/>
    <x v="3"/>
    <s v="Actividades de la construcción"/>
    <n v="0"/>
    <n v="0"/>
    <m/>
    <m/>
    <m/>
    <m/>
    <m/>
    <s v="Estatal"/>
  </r>
  <r>
    <x v="0"/>
    <s v="Nuevo León"/>
    <s v="19"/>
    <m/>
    <m/>
    <s v="19023"/>
    <s v="General Treviño"/>
    <x v="3"/>
    <s v="Actividades de la construcción"/>
    <n v="198.62099763639716"/>
    <n v="19.862099763639719"/>
    <m/>
    <m/>
    <m/>
    <m/>
    <m/>
    <s v="Estatal"/>
  </r>
  <r>
    <x v="0"/>
    <s v="Nuevo León"/>
    <s v="19"/>
    <m/>
    <m/>
    <s v="19024"/>
    <s v="General Zaragoza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25"/>
    <s v="General Zuazua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26"/>
    <s v="Guadalupe"/>
    <x v="3"/>
    <s v="Actividades de la construcción"/>
    <n v="0"/>
    <n v="0"/>
    <m/>
    <m/>
    <m/>
    <m/>
    <m/>
    <s v="Estatal"/>
  </r>
  <r>
    <x v="0"/>
    <s v="Nuevo León"/>
    <s v="19"/>
    <m/>
    <m/>
    <s v="19027"/>
    <s v="Los Herreras"/>
    <x v="3"/>
    <s v="Actividades de la construcción"/>
    <n v="0"/>
    <n v="0"/>
    <m/>
    <m/>
    <m/>
    <m/>
    <m/>
    <s v="Estatal"/>
  </r>
  <r>
    <x v="0"/>
    <s v="Nuevo León"/>
    <s v="19"/>
    <m/>
    <m/>
    <s v="19028"/>
    <s v="Higueras"/>
    <x v="3"/>
    <s v="Actividades de la construcción"/>
    <n v="48.121731344432654"/>
    <n v="4.8121731344432641"/>
    <m/>
    <m/>
    <m/>
    <m/>
    <m/>
    <s v="Estatal"/>
  </r>
  <r>
    <x v="0"/>
    <s v="Nuevo León"/>
    <s v="19"/>
    <m/>
    <m/>
    <s v="19029"/>
    <s v="Hualahuises"/>
    <x v="3"/>
    <s v="Actividades de la construcción"/>
    <n v="0"/>
    <n v="0"/>
    <m/>
    <m/>
    <m/>
    <m/>
    <m/>
    <s v="Estatal"/>
  </r>
  <r>
    <x v="0"/>
    <s v="Nuevo León"/>
    <s v="19"/>
    <m/>
    <m/>
    <s v="19030"/>
    <s v="Iturbide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31"/>
    <s v="Juárez"/>
    <x v="3"/>
    <s v="Actividades de la construcción"/>
    <n v="0"/>
    <n v="0"/>
    <m/>
    <m/>
    <m/>
    <m/>
    <m/>
    <s v="Estatal"/>
  </r>
  <r>
    <x v="0"/>
    <s v="Nuevo León"/>
    <s v="19"/>
    <m/>
    <m/>
    <s v="19032"/>
    <s v="Lampazos de Naranjo"/>
    <x v="3"/>
    <s v="Actividades de la construcción"/>
    <n v="0"/>
    <n v="0"/>
    <m/>
    <m/>
    <m/>
    <m/>
    <m/>
    <s v="Estatal"/>
  </r>
  <r>
    <x v="0"/>
    <s v="Nuevo León"/>
    <s v="19"/>
    <m/>
    <m/>
    <s v="19033"/>
    <s v="Linares"/>
    <x v="3"/>
    <s v="Actividades de la construcción"/>
    <n v="0"/>
    <n v="0"/>
    <m/>
    <m/>
    <m/>
    <m/>
    <m/>
    <s v="Estatal"/>
  </r>
  <r>
    <x v="0"/>
    <s v="Nuevo León"/>
    <s v="19"/>
    <m/>
    <m/>
    <s v="19034"/>
    <s v="Marín"/>
    <x v="3"/>
    <s v="Actividades de la construcción"/>
    <n v="0"/>
    <n v="0"/>
    <m/>
    <m/>
    <m/>
    <m/>
    <m/>
    <s v="Estatal"/>
  </r>
  <r>
    <x v="0"/>
    <s v="Nuevo León"/>
    <s v="19"/>
    <m/>
    <m/>
    <s v="19035"/>
    <s v="Melchor Ocampo"/>
    <x v="3"/>
    <s v="Actividades de la construcción"/>
    <n v="0"/>
    <n v="0"/>
    <m/>
    <m/>
    <m/>
    <m/>
    <m/>
    <s v="Estatal"/>
  </r>
  <r>
    <x v="0"/>
    <s v="Nuevo León"/>
    <s v="19"/>
    <m/>
    <m/>
    <s v="19036"/>
    <s v="Mier y Noriega"/>
    <x v="3"/>
    <s v="Actividades de la construcción"/>
    <n v="0"/>
    <n v="0"/>
    <m/>
    <m/>
    <m/>
    <m/>
    <m/>
    <s v="Estatal"/>
  </r>
  <r>
    <x v="0"/>
    <s v="Nuevo León"/>
    <s v="19"/>
    <m/>
    <m/>
    <s v="19037"/>
    <s v="Mina"/>
    <x v="3"/>
    <s v="Actividades de la construcción"/>
    <n v="0"/>
    <n v="0"/>
    <m/>
    <m/>
    <m/>
    <m/>
    <m/>
    <s v="Estatal"/>
  </r>
  <r>
    <x v="0"/>
    <s v="Nuevo León"/>
    <s v="19"/>
    <m/>
    <m/>
    <s v="19038"/>
    <s v="Montemorelos"/>
    <x v="3"/>
    <s v="Actividades de la construcción"/>
    <n v="532.25521229061201"/>
    <n v="53.225521229061215"/>
    <m/>
    <m/>
    <m/>
    <m/>
    <m/>
    <s v="Estatal"/>
  </r>
  <r>
    <x v="0"/>
    <s v="Nuevo León"/>
    <s v="19"/>
    <s v="19.01"/>
    <s v="Monterrey"/>
    <s v="19039"/>
    <s v="Monterrey"/>
    <x v="3"/>
    <s v="Actividades de la construcción"/>
    <n v="0"/>
    <n v="0"/>
    <m/>
    <m/>
    <m/>
    <m/>
    <m/>
    <s v="Estatal"/>
  </r>
  <r>
    <x v="0"/>
    <s v="Nuevo León"/>
    <s v="19"/>
    <m/>
    <m/>
    <s v="19040"/>
    <s v="Parás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41"/>
    <s v="Pesquería"/>
    <x v="3"/>
    <s v="Actividades de la construcción"/>
    <n v="0"/>
    <n v="0"/>
    <m/>
    <m/>
    <m/>
    <m/>
    <m/>
    <s v="Estatal"/>
  </r>
  <r>
    <x v="0"/>
    <s v="Nuevo León"/>
    <s v="19"/>
    <m/>
    <m/>
    <s v="19042"/>
    <s v="Los Ramones"/>
    <x v="3"/>
    <s v="Actividades de la construcción"/>
    <n v="0"/>
    <n v="0"/>
    <m/>
    <m/>
    <m/>
    <m/>
    <m/>
    <s v="Estatal"/>
  </r>
  <r>
    <x v="0"/>
    <s v="Nuevo León"/>
    <s v="19"/>
    <m/>
    <m/>
    <s v="19043"/>
    <s v="Rayones"/>
    <x v="3"/>
    <s v="Actividades de la construcción"/>
    <n v="0"/>
    <n v="0"/>
    <m/>
    <m/>
    <m/>
    <m/>
    <m/>
    <s v="Estatal"/>
  </r>
  <r>
    <x v="0"/>
    <s v="Nuevo León"/>
    <s v="19"/>
    <m/>
    <m/>
    <s v="19044"/>
    <s v="Sabinas Hidalgo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45"/>
    <s v="Salinas Victoria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46"/>
    <s v="San Nicolás de los Garza"/>
    <x v="3"/>
    <s v="Actividades de la construcción"/>
    <n v="43.39326744539494"/>
    <n v="4.3393267445394939"/>
    <m/>
    <m/>
    <m/>
    <m/>
    <m/>
    <s v="Estatal"/>
  </r>
  <r>
    <x v="0"/>
    <s v="Nuevo León"/>
    <s v="19"/>
    <s v="19.01"/>
    <s v="Monterrey"/>
    <s v="19047"/>
    <s v="Hidalgo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48"/>
    <s v="Santa Catarina"/>
    <x v="3"/>
    <s v="Actividades de la construcción"/>
    <n v="114.46344581357947"/>
    <n v="11.446344581357948"/>
    <m/>
    <m/>
    <m/>
    <m/>
    <m/>
    <s v="Estatal"/>
  </r>
  <r>
    <x v="0"/>
    <s v="Nuevo León"/>
    <s v="19"/>
    <s v="19.01"/>
    <s v="Monterrey"/>
    <s v="19049"/>
    <s v="Santiago"/>
    <x v="3"/>
    <s v="Actividades de la construcción"/>
    <n v="0"/>
    <n v="0"/>
    <m/>
    <m/>
    <m/>
    <m/>
    <m/>
    <s v="Estatal"/>
  </r>
  <r>
    <x v="0"/>
    <s v="Nuevo León"/>
    <s v="19"/>
    <m/>
    <m/>
    <s v="19050"/>
    <s v="Vallecillo"/>
    <x v="3"/>
    <s v="Actividades de la construcción"/>
    <n v="0"/>
    <n v="0"/>
    <m/>
    <m/>
    <m/>
    <m/>
    <m/>
    <s v="Estatal"/>
  </r>
  <r>
    <x v="0"/>
    <s v="Nuevo León"/>
    <s v="19"/>
    <m/>
    <m/>
    <s v="19051"/>
    <s v="Villaldama"/>
    <x v="3"/>
    <s v="Actividades de la construcción"/>
    <n v="0"/>
    <n v="0"/>
    <m/>
    <m/>
    <m/>
    <m/>
    <m/>
    <s v="Estatal"/>
  </r>
  <r>
    <x v="0"/>
    <s v="Nuevo León"/>
    <s v="19"/>
    <s v="19.01"/>
    <s v="Monterrey"/>
    <s v="19001"/>
    <s v="Abasolo"/>
    <x v="3"/>
    <s v="Asados al carbón"/>
    <n v="0.16469700000000001"/>
    <n v="0.13144467569999999"/>
    <n v="0"/>
    <n v="0.32789019999999997"/>
    <n v="6.0358000000000009E-3"/>
    <n v="2.11562E-2"/>
    <n v="0"/>
    <s v="Estatal"/>
  </r>
  <r>
    <x v="0"/>
    <s v="Nuevo León"/>
    <s v="19"/>
    <m/>
    <m/>
    <s v="19002"/>
    <s v="Agualeguas"/>
    <x v="3"/>
    <s v="Asados al carbón"/>
    <n v="0.12320295000000003"/>
    <n v="9.8328274394999984E-2"/>
    <n v="0"/>
    <n v="0.24528096999999999"/>
    <n v="4.5151300000000009E-3"/>
    <n v="1.5826070000000001E-2"/>
    <n v="0"/>
    <s v="Estatal"/>
  </r>
  <r>
    <x v="0"/>
    <s v="Nuevo León"/>
    <s v="19"/>
    <m/>
    <m/>
    <s v="19003"/>
    <s v="Los Aldamas"/>
    <x v="3"/>
    <s v="Asados al carbón"/>
    <n v="4.6610850000000002E-2"/>
    <n v="3.7200119384999994E-2"/>
    <n v="0"/>
    <n v="9.2796109999999987E-2"/>
    <n v="1.7081900000000001E-3"/>
    <n v="5.9874100000000003E-3"/>
    <n v="0"/>
    <s v="Estatal"/>
  </r>
  <r>
    <x v="0"/>
    <s v="Nuevo León"/>
    <s v="19"/>
    <m/>
    <m/>
    <s v="19004"/>
    <s v="Allende"/>
    <x v="3"/>
    <s v="Asados al carbón"/>
    <n v="2.3845087500000002"/>
    <n v="1.9030764333749999"/>
    <n v="0"/>
    <n v="4.7472452500000006"/>
    <n v="8.7387249999999986E-2"/>
    <n v="0.30630275000000001"/>
    <n v="0"/>
    <s v="Estatal"/>
  </r>
  <r>
    <x v="0"/>
    <s v="Nuevo León"/>
    <s v="19"/>
    <m/>
    <m/>
    <s v="19005"/>
    <s v="Anáhuac"/>
    <x v="3"/>
    <s v="Asados al carbón"/>
    <n v="1.4201518500000003"/>
    <n v="1.1334231914849999"/>
    <n v="0"/>
    <n v="2.8273367099999995"/>
    <n v="5.2045590000000017E-2"/>
    <n v="0.18242601000000006"/>
    <n v="0"/>
    <s v="Estatal"/>
  </r>
  <r>
    <x v="0"/>
    <s v="Nuevo León"/>
    <s v="19"/>
    <s v="19.01"/>
    <s v="Monterrey"/>
    <s v="19006"/>
    <s v="Apodaca"/>
    <x v="3"/>
    <s v="Asados al carbón"/>
    <n v="50.80630620000003"/>
    <n v="40.548512978219989"/>
    <n v="0"/>
    <n v="101.14871491999986"/>
    <n v="1.8619446799999981"/>
    <n v="6.5263385199999933"/>
    <n v="0"/>
    <s v="Estatal"/>
  </r>
  <r>
    <x v="0"/>
    <s v="Nuevo León"/>
    <s v="19"/>
    <m/>
    <m/>
    <s v="19007"/>
    <s v="Aramberri"/>
    <x v="3"/>
    <s v="Asados al carbón"/>
    <n v="0.48169875000000012"/>
    <n v="0.38444377237499994"/>
    <n v="0"/>
    <n v="0.95899924999999975"/>
    <n v="1.7653250000000006E-2"/>
    <n v="6.1876749999999994E-2"/>
    <n v="0"/>
    <s v="Estatal"/>
  </r>
  <r>
    <x v="0"/>
    <s v="Nuevo León"/>
    <s v="19"/>
    <m/>
    <m/>
    <s v="19008"/>
    <s v="Bustamante"/>
    <x v="3"/>
    <s v="Asados al carbón"/>
    <n v="0.32979375"/>
    <n v="0.26320839187499995"/>
    <n v="0"/>
    <n v="0.65657624999999986"/>
    <n v="1.208625E-2"/>
    <n v="4.2363750000000006E-2"/>
    <n v="0"/>
    <s v="Estatal"/>
  </r>
  <r>
    <x v="0"/>
    <s v="Nuevo León"/>
    <s v="19"/>
    <s v="19.01"/>
    <s v="Monterrey"/>
    <s v="19009"/>
    <s v="Cadereyta Jiménez"/>
    <x v="3"/>
    <s v="Asados al carbón"/>
    <n v="6.4438100999999985"/>
    <n v="5.1428048408099984"/>
    <n v="0"/>
    <n v="12.828783659999999"/>
    <n v="0.23615214000000004"/>
    <n v="0.82774145999999982"/>
    <n v="0"/>
    <s v="Estatal"/>
  </r>
  <r>
    <x v="0"/>
    <s v="Nuevo León"/>
    <s v="19"/>
    <s v="19.01"/>
    <s v="Monterrey"/>
    <s v="19010"/>
    <s v="El Carmen"/>
    <x v="3"/>
    <s v="Asados al carbón"/>
    <n v="2.9783773500000001"/>
    <n v="2.3770429630350001"/>
    <n v="0"/>
    <n v="5.9295600099999985"/>
    <n v="0.10915129000000001"/>
    <n v="0.38258830999999999"/>
    <n v="0"/>
    <s v="Estatal"/>
  </r>
  <r>
    <x v="0"/>
    <s v="Nuevo León"/>
    <s v="19"/>
    <m/>
    <m/>
    <s v="19011"/>
    <s v="Cerralvo"/>
    <x v="3"/>
    <s v="Asados al carbón"/>
    <n v="0.60738015000000001"/>
    <n v="0.48475009771500011"/>
    <n v="0"/>
    <n v="1.2092144899999999"/>
    <n v="2.2259210000000005E-2"/>
    <n v="7.802118999999999E-2"/>
    <n v="0"/>
    <s v="Estatal"/>
  </r>
  <r>
    <x v="0"/>
    <s v="Nuevo León"/>
    <s v="19"/>
    <s v="19.01"/>
    <s v="Monterrey"/>
    <s v="19012"/>
    <s v="Ciénega de Flores"/>
    <x v="3"/>
    <s v="Asados al carbón"/>
    <n v="3.6870541499999985"/>
    <n v="2.9426379171150012"/>
    <n v="0"/>
    <n v="7.3404428900000038"/>
    <n v="0.13512281000000004"/>
    <n v="0.47362159000000015"/>
    <n v="0"/>
    <s v="Estatal"/>
  </r>
  <r>
    <x v="0"/>
    <s v="Nuevo León"/>
    <s v="19"/>
    <m/>
    <m/>
    <s v="19013"/>
    <s v="China"/>
    <x v="3"/>
    <s v="Asados al carbón"/>
    <n v="0.77935259999999984"/>
    <n v="0.62200131005999992"/>
    <n v="0"/>
    <n v="1.55158916"/>
    <n v="2.8561639999999996E-2"/>
    <n v="0.10011195999999999"/>
    <n v="0"/>
    <s v="Estatal"/>
  </r>
  <r>
    <x v="0"/>
    <s v="Nuevo León"/>
    <s v="19"/>
    <m/>
    <m/>
    <s v="19014"/>
    <s v="Doctor Arroyo"/>
    <x v="3"/>
    <s v="Asados al carbón"/>
    <n v="0.86234070000000018"/>
    <n v="0.68823411267000001"/>
    <n v="0"/>
    <n v="1.71680762"/>
    <n v="3.160298000000001E-2"/>
    <n v="0.11077222000000003"/>
    <n v="0"/>
    <s v="Estatal"/>
  </r>
  <r>
    <x v="0"/>
    <s v="Nuevo León"/>
    <s v="19"/>
    <m/>
    <m/>
    <s v="19015"/>
    <s v="Doctor Coss"/>
    <x v="3"/>
    <s v="Asados al carbón"/>
    <n v="6.6598350000000001E-2"/>
    <n v="5.3152143134999996E-2"/>
    <n v="0"/>
    <n v="0.13258861"/>
    <n v="2.4406900000000006E-3"/>
    <n v="8.5549099999999989E-3"/>
    <n v="0"/>
    <s v="Estatal"/>
  </r>
  <r>
    <x v="0"/>
    <s v="Nuevo León"/>
    <s v="19"/>
    <m/>
    <m/>
    <s v="19016"/>
    <s v="Doctor González"/>
    <x v="3"/>
    <s v="Asados al carbón"/>
    <n v="0.16309800000000002"/>
    <n v="0.1301685138"/>
    <n v="0"/>
    <n v="0.32470680000000002"/>
    <n v="5.9771999999999994E-3"/>
    <n v="2.0950799999999999E-2"/>
    <n v="0"/>
    <s v="Estatal"/>
  </r>
  <r>
    <x v="0"/>
    <s v="Nuevo León"/>
    <s v="19"/>
    <m/>
    <m/>
    <s v="19017"/>
    <s v="Galeana"/>
    <x v="3"/>
    <s v="Asados al carbón"/>
    <n v="0.62001225000000004"/>
    <n v="0.49483177672500001"/>
    <n v="0"/>
    <n v="1.23436335"/>
    <n v="2.2722150000000003E-2"/>
    <n v="7.9643849999999974E-2"/>
    <n v="0"/>
    <s v="Estatal"/>
  </r>
  <r>
    <x v="0"/>
    <s v="Nuevo León"/>
    <s v="19"/>
    <s v="19.01"/>
    <s v="Monterrey"/>
    <s v="19018"/>
    <s v="García"/>
    <x v="3"/>
    <s v="Asados al carbón"/>
    <n v="21.18938834999998"/>
    <n v="16.911250842135015"/>
    <n v="0"/>
    <n v="42.185302609999994"/>
    <n v="0.77654668999999943"/>
    <n v="2.7218889100000014"/>
    <n v="0"/>
    <s v="Estatal"/>
  </r>
  <r>
    <x v="0"/>
    <s v="Nuevo León"/>
    <s v="19"/>
    <s v="19.01"/>
    <s v="Monterrey"/>
    <s v="19019"/>
    <s v="San Pedro Garza García"/>
    <x v="3"/>
    <s v="Asados al carbón"/>
    <n v="10.831146300000002"/>
    <n v="8.6443378620299995"/>
    <n v="0"/>
    <n v="21.563396579999999"/>
    <n v="0.39693881999999997"/>
    <n v="1.3913179800000002"/>
    <n v="0"/>
    <s v="Estatal"/>
  </r>
  <r>
    <x v="0"/>
    <s v="Nuevo León"/>
    <s v="19"/>
    <m/>
    <m/>
    <s v="19020"/>
    <s v="General Bravo"/>
    <x v="3"/>
    <s v="Asados al carbón"/>
    <n v="0.34090680000000001"/>
    <n v="0.27207771708"/>
    <n v="0"/>
    <n v="0.67870087999999973"/>
    <n v="1.2493519999999999E-2"/>
    <n v="4.3791279999999988E-2"/>
    <n v="0"/>
    <s v="Estatal"/>
  </r>
  <r>
    <x v="0"/>
    <s v="Nuevo León"/>
    <s v="19"/>
    <s v="19.01"/>
    <s v="Monterrey"/>
    <s v="19021"/>
    <s v="General Escobedo"/>
    <x v="3"/>
    <s v="Asados al carbón"/>
    <n v="35.514989250000006"/>
    <n v="28.344512920425011"/>
    <n v="0"/>
    <n v="70.705701550000001"/>
    <n v="1.3015499500000007"/>
    <n v="4.5620880499999981"/>
    <n v="0"/>
    <s v="Estatal"/>
  </r>
  <r>
    <x v="0"/>
    <s v="Nuevo León"/>
    <s v="19"/>
    <m/>
    <m/>
    <s v="19022"/>
    <s v="General Terán"/>
    <x v="3"/>
    <s v="Asados al carbón"/>
    <n v="0.56012970000000006"/>
    <n v="0.44703951357000005"/>
    <n v="0"/>
    <n v="1.1151450199999999"/>
    <n v="2.052758E-2"/>
    <n v="7.1951620000000008E-2"/>
    <n v="0"/>
    <s v="Estatal"/>
  </r>
  <r>
    <x v="0"/>
    <s v="Nuevo León"/>
    <s v="19"/>
    <m/>
    <m/>
    <s v="19023"/>
    <s v="General Treviño"/>
    <x v="3"/>
    <s v="Asados al carbón"/>
    <n v="7.6592099999999996E-2"/>
    <n v="6.112815500999999E-2"/>
    <n v="0"/>
    <n v="0.15248486"/>
    <n v="2.8069400000000004E-3"/>
    <n v="9.8386599999999991E-3"/>
    <n v="0"/>
    <s v="Estatal"/>
  </r>
  <r>
    <x v="0"/>
    <s v="Nuevo León"/>
    <s v="19"/>
    <m/>
    <m/>
    <s v="19024"/>
    <s v="General Zaragoza"/>
    <x v="3"/>
    <s v="Asados al carbón"/>
    <n v="0.16941405000000001"/>
    <n v="0.135209353305"/>
    <n v="0"/>
    <n v="0.33728122999999999"/>
    <n v="6.2086700000000012E-3"/>
    <n v="2.1762129999999998E-2"/>
    <n v="0"/>
    <s v="Estatal"/>
  </r>
  <r>
    <x v="0"/>
    <s v="Nuevo León"/>
    <s v="19"/>
    <s v="19.01"/>
    <s v="Monterrey"/>
    <s v="19025"/>
    <s v="General Zuazua"/>
    <x v="3"/>
    <s v="Asados al carbón"/>
    <n v="6.6589555500000008"/>
    <n v="5.3145124244550015"/>
    <n v="0"/>
    <n v="13.257110129999996"/>
    <n v="0.24403677000000004"/>
    <n v="0.85537802999999979"/>
    <n v="0"/>
    <s v="Estatal"/>
  </r>
  <r>
    <x v="0"/>
    <s v="Nuevo León"/>
    <s v="19"/>
    <s v="19.01"/>
    <s v="Monterrey"/>
    <s v="19026"/>
    <s v="Guadalupe"/>
    <x v="3"/>
    <s v="Asados al carbón"/>
    <n v="56.151683250000026"/>
    <n v="44.814658401825028"/>
    <n v="0"/>
    <n v="111.79066194999993"/>
    <n v="2.0578415499999987"/>
    <n v="7.2129804499999999"/>
    <n v="0"/>
    <s v="Estatal"/>
  </r>
  <r>
    <x v="0"/>
    <s v="Nuevo León"/>
    <s v="19"/>
    <m/>
    <m/>
    <s v="19027"/>
    <s v="Los Herreras"/>
    <x v="3"/>
    <s v="Asados al carbón"/>
    <n v="0.12216360000000001"/>
    <n v="9.7498769159999985E-2"/>
    <n v="0"/>
    <n v="0.24321175999999997"/>
    <n v="4.4770399999999998E-3"/>
    <n v="1.5692559999999998E-2"/>
    <n v="0"/>
    <s v="Estatal"/>
  </r>
  <r>
    <x v="0"/>
    <s v="Nuevo León"/>
    <s v="19"/>
    <m/>
    <m/>
    <s v="19028"/>
    <s v="Higueras"/>
    <x v="3"/>
    <s v="Asados al carbón"/>
    <n v="0.12352275000000001"/>
    <n v="9.858350677500001E-2"/>
    <n v="0"/>
    <n v="0.24591764999999996"/>
    <n v="4.5268500000000007E-3"/>
    <n v="1.586715E-2"/>
    <n v="0"/>
    <s v="Estatal"/>
  </r>
  <r>
    <x v="0"/>
    <s v="Nuevo León"/>
    <s v="19"/>
    <m/>
    <m/>
    <s v="19029"/>
    <s v="Hualahuises"/>
    <x v="3"/>
    <s v="Asados al carbón"/>
    <n v="0.49896794999999999"/>
    <n v="0.39822632089499987"/>
    <n v="0"/>
    <n v="0.99337997"/>
    <n v="1.8286130000000001E-2"/>
    <n v="6.4095070000000004E-2"/>
    <n v="0"/>
    <s v="Estatal"/>
  </r>
  <r>
    <x v="0"/>
    <s v="Nuevo León"/>
    <s v="19"/>
    <m/>
    <m/>
    <s v="19030"/>
    <s v="Iturbide"/>
    <x v="3"/>
    <s v="Asados al carbón"/>
    <n v="0.16621605"/>
    <n v="0.132657029505"/>
    <n v="0"/>
    <n v="0.33091442999999998"/>
    <n v="6.0914699999999999E-3"/>
    <n v="2.1351330000000002E-2"/>
    <n v="0"/>
    <s v="Estatal"/>
  </r>
  <r>
    <x v="0"/>
    <s v="Nuevo León"/>
    <s v="19"/>
    <s v="19.01"/>
    <s v="Monterrey"/>
    <s v="19031"/>
    <s v="Juárez"/>
    <x v="3"/>
    <s v="Asados al carbón"/>
    <n v="28.579086900000039"/>
    <n v="22.80896925488997"/>
    <n v="0"/>
    <n v="56.89722653999997"/>
    <n v="1.0473636600000009"/>
    <n v="3.6711347400000043"/>
    <n v="0"/>
    <s v="Estatal"/>
  </r>
  <r>
    <x v="0"/>
    <s v="Nuevo León"/>
    <s v="19"/>
    <m/>
    <m/>
    <s v="19032"/>
    <s v="Lampazos de Naranjo"/>
    <x v="3"/>
    <s v="Asados al carbón"/>
    <n v="0.42525405000000005"/>
    <n v="0.33939525730499998"/>
    <n v="0"/>
    <n v="0.8466252299999999"/>
    <n v="1.5584670000000004E-2"/>
    <n v="5.4626130000000009E-2"/>
    <n v="0"/>
    <s v="Estatal"/>
  </r>
  <r>
    <x v="0"/>
    <s v="Nuevo León"/>
    <s v="19"/>
    <m/>
    <m/>
    <s v="19033"/>
    <s v="Linares"/>
    <x v="3"/>
    <s v="Asados al carbón"/>
    <n v="5.5614819000000004"/>
    <n v="4.4386187043900005"/>
    <n v="0"/>
    <n v="11.072183539999999"/>
    <n v="0.20381666000000007"/>
    <n v="0.7144017399999999"/>
    <n v="0"/>
    <s v="Estatal"/>
  </r>
  <r>
    <x v="0"/>
    <s v="Nuevo León"/>
    <s v="19"/>
    <m/>
    <m/>
    <s v="19034"/>
    <s v="Marín"/>
    <x v="3"/>
    <s v="Asados al carbón"/>
    <n v="0.27342900000000003"/>
    <n v="0.21822368489999999"/>
    <n v="0"/>
    <n v="0.5443614"/>
    <n v="1.0020600000000003E-2"/>
    <n v="3.5123399999999999E-2"/>
    <n v="0"/>
    <s v="Estatal"/>
  </r>
  <r>
    <x v="0"/>
    <s v="Nuevo León"/>
    <s v="19"/>
    <m/>
    <m/>
    <s v="19035"/>
    <s v="Melchor Ocampo"/>
    <x v="3"/>
    <s v="Asados al carbón"/>
    <n v="5.6204850000000001E-2"/>
    <n v="4.4857090784999998E-2"/>
    <n v="0"/>
    <n v="0.11189650999999999"/>
    <n v="2.0597900000000001E-3"/>
    <n v="7.2198100000000001E-3"/>
    <n v="0"/>
    <s v="Estatal"/>
  </r>
  <r>
    <x v="0"/>
    <s v="Nuevo León"/>
    <s v="19"/>
    <m/>
    <m/>
    <s v="19036"/>
    <s v="Mier y Noriega"/>
    <x v="3"/>
    <s v="Asados al carbón"/>
    <n v="0.10289564999999999"/>
    <n v="8.2121018264999998E-2"/>
    <n v="0"/>
    <n v="0.20485178999999998"/>
    <n v="3.7709100000000001E-3"/>
    <n v="1.3217490000000002E-2"/>
    <n v="0"/>
    <s v="Estatal"/>
  </r>
  <r>
    <x v="0"/>
    <s v="Nuevo León"/>
    <s v="19"/>
    <m/>
    <m/>
    <s v="19037"/>
    <s v="Mina"/>
    <x v="3"/>
    <s v="Asados al carbón"/>
    <n v="0.38368005000000005"/>
    <n v="0.30621504790499998"/>
    <n v="0"/>
    <n v="0.76385682999999982"/>
    <n v="1.4061070000000004E-2"/>
    <n v="4.928573E-2"/>
    <n v="0"/>
    <s v="Estatal"/>
  </r>
  <r>
    <x v="0"/>
    <s v="Nuevo León"/>
    <s v="19"/>
    <m/>
    <m/>
    <s v="19038"/>
    <s v="Montemorelos"/>
    <x v="3"/>
    <s v="Asados al carbón"/>
    <n v="4.0295599500000021"/>
    <n v="3.2159917960949995"/>
    <n v="0"/>
    <n v="8.0223271699999987"/>
    <n v="0.14767492999999998"/>
    <n v="0.51761827000000016"/>
    <n v="0"/>
    <s v="Estatal"/>
  </r>
  <r>
    <x v="0"/>
    <s v="Nuevo León"/>
    <s v="19"/>
    <s v="19.01"/>
    <s v="Monterrey"/>
    <s v="19039"/>
    <s v="Monterrey"/>
    <x v="3"/>
    <s v="Asados al carbón"/>
    <n v="88.487060999999983"/>
    <n v="70.621523384099831"/>
    <n v="0"/>
    <n v="176.16617260000012"/>
    <n v="3.2428653999999995"/>
    <n v="11.366630600000002"/>
    <n v="0"/>
    <s v="Estatal"/>
  </r>
  <r>
    <x v="0"/>
    <s v="Nuevo León"/>
    <s v="19"/>
    <m/>
    <m/>
    <s v="19040"/>
    <s v="Parás"/>
    <x v="3"/>
    <s v="Asados al carbón"/>
    <n v="6.5718899999999997E-2"/>
    <n v="5.2450254089999995E-2"/>
    <n v="0"/>
    <n v="0.13083773999999998"/>
    <n v="2.4084600000000003E-3"/>
    <n v="8.4419399999999985E-3"/>
    <n v="0"/>
    <s v="Estatal"/>
  </r>
  <r>
    <x v="0"/>
    <s v="Nuevo León"/>
    <s v="19"/>
    <s v="19.01"/>
    <s v="Monterrey"/>
    <s v="19041"/>
    <s v="Pesquería"/>
    <x v="3"/>
    <s v="Asados al carbón"/>
    <n v="3.7084008000000015"/>
    <n v="2.9596746784800008"/>
    <n v="0"/>
    <n v="7.3829412799999989"/>
    <n v="0.13590511999999999"/>
    <n v="0.4763636799999999"/>
    <n v="0"/>
    <s v="Estatal"/>
  </r>
  <r>
    <x v="0"/>
    <s v="Nuevo León"/>
    <s v="19"/>
    <m/>
    <m/>
    <s v="19042"/>
    <s v="Los Ramones"/>
    <x v="3"/>
    <s v="Asados al carbón"/>
    <n v="9.0983099999999997E-2"/>
    <n v="7.2613612110000003E-2"/>
    <n v="0"/>
    <n v="0.18113545999999997"/>
    <n v="3.3343400000000003E-3"/>
    <n v="1.168726E-2"/>
    <n v="0"/>
    <s v="Estatal"/>
  </r>
  <r>
    <x v="0"/>
    <s v="Nuevo León"/>
    <s v="19"/>
    <m/>
    <m/>
    <s v="19043"/>
    <s v="Rayones"/>
    <x v="3"/>
    <s v="Asados al carbón"/>
    <n v="3.1980000000000001E-2"/>
    <n v="2.5523237999999997E-2"/>
    <n v="0"/>
    <n v="6.3667999999999988E-2"/>
    <n v="1.1720000000000001E-3"/>
    <n v="4.1079999999999997E-3"/>
    <n v="0"/>
    <s v="Estatal"/>
  </r>
  <r>
    <x v="0"/>
    <s v="Nuevo León"/>
    <s v="19"/>
    <m/>
    <m/>
    <s v="19044"/>
    <s v="Sabinas Hidalgo"/>
    <x v="3"/>
    <s v="Asados al carbón"/>
    <n v="2.9240113499999998"/>
    <n v="2.3336534584350002"/>
    <n v="0"/>
    <n v="5.8213244100000008"/>
    <n v="0.10715888999999998"/>
    <n v="0.37560471000000001"/>
    <n v="0"/>
    <s v="Estatal"/>
  </r>
  <r>
    <x v="0"/>
    <s v="Nuevo León"/>
    <s v="19"/>
    <s v="19.01"/>
    <s v="Monterrey"/>
    <s v="19045"/>
    <s v="Salinas Victoria"/>
    <x v="3"/>
    <s v="Asados al carbón"/>
    <n v="3.8271265500000009"/>
    <n v="3.0544296995549995"/>
    <n v="0"/>
    <n v="7.6193087299999984"/>
    <n v="0.14025616999999999"/>
    <n v="0.49161463"/>
    <n v="0"/>
    <s v="Estatal"/>
  </r>
  <r>
    <x v="0"/>
    <s v="Nuevo León"/>
    <s v="19"/>
    <s v="19.01"/>
    <s v="Monterrey"/>
    <s v="19046"/>
    <s v="San Nicolás de los Garza"/>
    <x v="3"/>
    <s v="Asados al carbón"/>
    <n v="37.843293150000001"/>
    <n v="30.202732263015012"/>
    <n v="0"/>
    <n v="75.341050289999998"/>
    <n v="1.3868774100000003"/>
    <n v="4.8611709899999989"/>
    <n v="0"/>
    <s v="Estatal"/>
  </r>
  <r>
    <x v="0"/>
    <s v="Nuevo León"/>
    <s v="19"/>
    <s v="19.01"/>
    <s v="Monterrey"/>
    <s v="19047"/>
    <s v="Hidalgo"/>
    <x v="3"/>
    <s v="Asados al carbón"/>
    <n v="1.2626503500000001"/>
    <n v="1.0077212443350001"/>
    <n v="0"/>
    <n v="2.5137718099999997"/>
    <n v="4.6273490000000007E-2"/>
    <n v="0.16219410999999997"/>
    <n v="0"/>
    <s v="Estatal"/>
  </r>
  <r>
    <x v="0"/>
    <s v="Nuevo León"/>
    <s v="19"/>
    <s v="19.01"/>
    <s v="Monterrey"/>
    <s v="19048"/>
    <s v="Santa Catarina"/>
    <x v="3"/>
    <s v="Asados al carbón"/>
    <n v="25.13188275000001"/>
    <n v="20.057755622774994"/>
    <n v="0"/>
    <n v="50.034293649999974"/>
    <n v="0.92103085000000062"/>
    <n v="3.2283231500000023"/>
    <n v="0"/>
    <s v="Estatal"/>
  </r>
  <r>
    <x v="0"/>
    <s v="Nuevo León"/>
    <s v="19"/>
    <s v="19.01"/>
    <s v="Monterrey"/>
    <s v="19049"/>
    <s v="Santiago"/>
    <x v="3"/>
    <s v="Asados al carbón"/>
    <n v="3.342869400000001"/>
    <n v="2.6679440681400002"/>
    <n v="0"/>
    <n v="6.65521604"/>
    <n v="0.12250915999999998"/>
    <n v="0.42940924000000008"/>
    <n v="0"/>
    <s v="Estatal"/>
  </r>
  <r>
    <x v="0"/>
    <s v="Nuevo León"/>
    <s v="19"/>
    <m/>
    <m/>
    <s v="19050"/>
    <s v="Vallecillo"/>
    <x v="3"/>
    <s v="Asados al carbón"/>
    <n v="4.8129900000000003E-2"/>
    <n v="3.8412473189999997E-2"/>
    <n v="0"/>
    <n v="9.5820339999999976E-2"/>
    <n v="1.7638600000000003E-3"/>
    <n v="6.1825400000000003E-3"/>
    <n v="0"/>
    <s v="Estatal"/>
  </r>
  <r>
    <x v="0"/>
    <s v="Nuevo León"/>
    <s v="19"/>
    <m/>
    <m/>
    <s v="19051"/>
    <s v="Villaldama"/>
    <x v="3"/>
    <s v="Asados al carbón"/>
    <n v="0.25472070000000002"/>
    <n v="0.20329259066999997"/>
    <n v="0"/>
    <n v="0.50711561999999988"/>
    <n v="9.3349799999999979E-3"/>
    <n v="3.2720219999999994E-2"/>
    <n v="0"/>
    <s v="Estatal"/>
  </r>
  <r>
    <x v="0"/>
    <s v="Nuevo León"/>
    <s v="19"/>
    <s v="19.01"/>
    <s v="Monterrey"/>
    <s v="19001"/>
    <s v="Abasolo"/>
    <x v="3"/>
    <s v="Panificación"/>
    <m/>
    <m/>
    <m/>
    <m/>
    <m/>
    <n v="0"/>
    <m/>
    <s v="Estatal"/>
  </r>
  <r>
    <x v="0"/>
    <s v="Nuevo León"/>
    <s v="19"/>
    <m/>
    <m/>
    <s v="19002"/>
    <s v="Agualeguas"/>
    <x v="3"/>
    <s v="Panificación"/>
    <m/>
    <m/>
    <m/>
    <m/>
    <m/>
    <n v="8.352363479351424E-2"/>
    <m/>
    <s v="Estatal"/>
  </r>
  <r>
    <x v="0"/>
    <s v="Nuevo León"/>
    <s v="19"/>
    <m/>
    <m/>
    <s v="19003"/>
    <s v="Los Aldamas"/>
    <x v="3"/>
    <s v="Panificación"/>
    <m/>
    <m/>
    <m/>
    <m/>
    <m/>
    <n v="0"/>
    <m/>
    <s v="Estatal"/>
  </r>
  <r>
    <x v="0"/>
    <s v="Nuevo León"/>
    <s v="19"/>
    <m/>
    <m/>
    <s v="19004"/>
    <s v="Allende"/>
    <x v="3"/>
    <s v="Panificación"/>
    <m/>
    <m/>
    <m/>
    <m/>
    <m/>
    <n v="1.3781399740929852"/>
    <m/>
    <s v="Estatal"/>
  </r>
  <r>
    <x v="0"/>
    <s v="Nuevo León"/>
    <s v="19"/>
    <m/>
    <m/>
    <s v="19005"/>
    <s v="Anáhuac"/>
    <x v="3"/>
    <s v="Panificación"/>
    <m/>
    <m/>
    <m/>
    <m/>
    <m/>
    <n v="1.6913536045686635"/>
    <m/>
    <s v="Estatal"/>
  </r>
  <r>
    <x v="0"/>
    <s v="Nuevo León"/>
    <s v="19"/>
    <s v="19.01"/>
    <s v="Monterrey"/>
    <s v="19006"/>
    <s v="Apodaca"/>
    <x v="3"/>
    <s v="Panificación"/>
    <m/>
    <m/>
    <m/>
    <m/>
    <m/>
    <n v="8.4985298402400744"/>
    <m/>
    <s v="Estatal"/>
  </r>
  <r>
    <x v="0"/>
    <s v="Nuevo León"/>
    <s v="19"/>
    <m/>
    <m/>
    <s v="19007"/>
    <s v="Aramberri"/>
    <x v="3"/>
    <s v="Panificación"/>
    <m/>
    <m/>
    <m/>
    <m/>
    <m/>
    <n v="1.0440454349189281"/>
    <m/>
    <s v="Estatal"/>
  </r>
  <r>
    <x v="0"/>
    <s v="Nuevo León"/>
    <s v="19"/>
    <m/>
    <m/>
    <s v="19008"/>
    <s v="Bustamante"/>
    <x v="3"/>
    <s v="Panificación"/>
    <m/>
    <m/>
    <m/>
    <m/>
    <m/>
    <n v="1.5451872436800134"/>
    <m/>
    <s v="Estatal"/>
  </r>
  <r>
    <x v="0"/>
    <s v="Nuevo León"/>
    <s v="19"/>
    <s v="19.01"/>
    <s v="Monterrey"/>
    <s v="19009"/>
    <s v="Cadereyta Jiménez"/>
    <x v="3"/>
    <s v="Panificación"/>
    <m/>
    <m/>
    <m/>
    <m/>
    <m/>
    <n v="1.5869490610767705"/>
    <m/>
    <s v="Estatal"/>
  </r>
  <r>
    <x v="0"/>
    <s v="Nuevo León"/>
    <s v="19"/>
    <s v="19.01"/>
    <s v="Monterrey"/>
    <s v="19010"/>
    <s v="El Carmen"/>
    <x v="3"/>
    <s v="Panificación"/>
    <m/>
    <m/>
    <m/>
    <m/>
    <m/>
    <n v="0.25057090438054275"/>
    <m/>
    <s v="Estatal"/>
  </r>
  <r>
    <x v="0"/>
    <s v="Nuevo León"/>
    <s v="19"/>
    <m/>
    <m/>
    <s v="19011"/>
    <s v="Cerralvo"/>
    <x v="3"/>
    <s v="Panificación"/>
    <m/>
    <m/>
    <m/>
    <m/>
    <m/>
    <n v="0.33409453917405696"/>
    <m/>
    <s v="Estatal"/>
  </r>
  <r>
    <x v="0"/>
    <s v="Nuevo León"/>
    <s v="19"/>
    <s v="19.01"/>
    <s v="Monterrey"/>
    <s v="19012"/>
    <s v="Ciénega de Flores"/>
    <x v="3"/>
    <s v="Panificación"/>
    <m/>
    <m/>
    <m/>
    <m/>
    <m/>
    <n v="0.66818907834811392"/>
    <m/>
    <s v="Estatal"/>
  </r>
  <r>
    <x v="0"/>
    <s v="Nuevo León"/>
    <s v="19"/>
    <m/>
    <m/>
    <s v="19013"/>
    <s v="China"/>
    <x v="3"/>
    <s v="Panificación"/>
    <m/>
    <m/>
    <m/>
    <m/>
    <m/>
    <n v="0.50114180876108538"/>
    <m/>
    <s v="Estatal"/>
  </r>
  <r>
    <x v="0"/>
    <s v="Nuevo León"/>
    <s v="19"/>
    <m/>
    <m/>
    <s v="19014"/>
    <s v="Doctor Arroyo"/>
    <x v="3"/>
    <s v="Panificación"/>
    <m/>
    <m/>
    <m/>
    <m/>
    <m/>
    <n v="0.96052180012541377"/>
    <m/>
    <s v="Estatal"/>
  </r>
  <r>
    <x v="0"/>
    <s v="Nuevo León"/>
    <s v="19"/>
    <m/>
    <m/>
    <s v="19015"/>
    <s v="Doctor Coss"/>
    <x v="3"/>
    <s v="Panificación"/>
    <m/>
    <m/>
    <m/>
    <m/>
    <m/>
    <n v="0"/>
    <m/>
    <s v="Estatal"/>
  </r>
  <r>
    <x v="0"/>
    <s v="Nuevo León"/>
    <s v="19"/>
    <m/>
    <m/>
    <s v="19016"/>
    <s v="Doctor González"/>
    <x v="3"/>
    <s v="Panificación"/>
    <m/>
    <m/>
    <m/>
    <m/>
    <m/>
    <n v="0"/>
    <m/>
    <s v="Estatal"/>
  </r>
  <r>
    <x v="0"/>
    <s v="Nuevo León"/>
    <s v="19"/>
    <m/>
    <m/>
    <s v="19017"/>
    <s v="Galeana"/>
    <x v="3"/>
    <s v="Panificación"/>
    <m/>
    <m/>
    <m/>
    <m/>
    <m/>
    <n v="0.58466544355459971"/>
    <m/>
    <s v="Estatal"/>
  </r>
  <r>
    <x v="0"/>
    <s v="Nuevo León"/>
    <s v="19"/>
    <s v="19.01"/>
    <s v="Monterrey"/>
    <s v="19018"/>
    <s v="García"/>
    <x v="3"/>
    <s v="Panificación"/>
    <m/>
    <m/>
    <m/>
    <m/>
    <m/>
    <n v="2.5265899525038056"/>
    <m/>
    <s v="Estatal"/>
  </r>
  <r>
    <x v="0"/>
    <s v="Nuevo León"/>
    <s v="19"/>
    <s v="19.01"/>
    <s v="Monterrey"/>
    <s v="19019"/>
    <s v="San Pedro Garza García"/>
    <x v="3"/>
    <s v="Panificación"/>
    <m/>
    <m/>
    <m/>
    <m/>
    <m/>
    <n v="4.5729190049449047"/>
    <m/>
    <s v="Estatal"/>
  </r>
  <r>
    <x v="0"/>
    <s v="Nuevo León"/>
    <s v="19"/>
    <m/>
    <m/>
    <s v="19020"/>
    <s v="General Bravo"/>
    <x v="3"/>
    <s v="Panificación"/>
    <m/>
    <m/>
    <m/>
    <m/>
    <m/>
    <n v="0.16704726958702848"/>
    <m/>
    <s v="Estatal"/>
  </r>
  <r>
    <x v="0"/>
    <s v="Nuevo León"/>
    <s v="19"/>
    <s v="19.01"/>
    <s v="Monterrey"/>
    <s v="19021"/>
    <s v="General Escobedo"/>
    <x v="3"/>
    <s v="Panificación"/>
    <m/>
    <m/>
    <m/>
    <m/>
    <m/>
    <n v="5.7422498920541036"/>
    <m/>
    <s v="Estatal"/>
  </r>
  <r>
    <x v="0"/>
    <s v="Nuevo León"/>
    <s v="19"/>
    <m/>
    <m/>
    <s v="19022"/>
    <s v="General Terán"/>
    <x v="3"/>
    <s v="Panificación"/>
    <m/>
    <m/>
    <m/>
    <m/>
    <m/>
    <n v="0.41761817396757117"/>
    <m/>
    <s v="Estatal"/>
  </r>
  <r>
    <x v="0"/>
    <s v="Nuevo León"/>
    <s v="19"/>
    <m/>
    <m/>
    <s v="19023"/>
    <s v="General Treviño"/>
    <x v="3"/>
    <s v="Panificación"/>
    <m/>
    <m/>
    <m/>
    <m/>
    <m/>
    <n v="0"/>
    <m/>
    <s v="Estatal"/>
  </r>
  <r>
    <x v="0"/>
    <s v="Nuevo León"/>
    <s v="19"/>
    <m/>
    <m/>
    <s v="19024"/>
    <s v="General Zaragoza"/>
    <x v="3"/>
    <s v="Panificación"/>
    <m/>
    <m/>
    <m/>
    <m/>
    <m/>
    <n v="0.2714518130789213"/>
    <m/>
    <s v="Estatal"/>
  </r>
  <r>
    <x v="0"/>
    <s v="Nuevo León"/>
    <s v="19"/>
    <s v="19.01"/>
    <s v="Monterrey"/>
    <s v="19025"/>
    <s v="General Zuazua"/>
    <x v="3"/>
    <s v="Panificación"/>
    <m/>
    <m/>
    <m/>
    <m/>
    <m/>
    <n v="0.66818907834811392"/>
    <m/>
    <s v="Estatal"/>
  </r>
  <r>
    <x v="0"/>
    <s v="Nuevo León"/>
    <s v="19"/>
    <s v="19.01"/>
    <s v="Monterrey"/>
    <s v="19026"/>
    <s v="Guadalupe"/>
    <x v="3"/>
    <s v="Panificación"/>
    <m/>
    <m/>
    <m/>
    <m/>
    <m/>
    <n v="20.400647798315887"/>
    <m/>
    <s v="Estatal"/>
  </r>
  <r>
    <x v="0"/>
    <s v="Nuevo León"/>
    <s v="19"/>
    <m/>
    <m/>
    <s v="19027"/>
    <s v="Los Herreras"/>
    <x v="3"/>
    <s v="Panificación"/>
    <m/>
    <m/>
    <m/>
    <m/>
    <m/>
    <n v="0.41761817396757128"/>
    <m/>
    <s v="Estatal"/>
  </r>
  <r>
    <x v="0"/>
    <s v="Nuevo León"/>
    <s v="19"/>
    <m/>
    <m/>
    <s v="19028"/>
    <s v="Higueras"/>
    <x v="3"/>
    <s v="Panificación"/>
    <m/>
    <m/>
    <m/>
    <m/>
    <m/>
    <n v="0.16704726958702848"/>
    <m/>
    <s v="Estatal"/>
  </r>
  <r>
    <x v="0"/>
    <s v="Nuevo León"/>
    <s v="19"/>
    <m/>
    <m/>
    <s v="19029"/>
    <s v="Hualahuises"/>
    <x v="3"/>
    <s v="Panificación"/>
    <m/>
    <m/>
    <m/>
    <m/>
    <m/>
    <n v="0.16704726958702848"/>
    <m/>
    <s v="Estatal"/>
  </r>
  <r>
    <x v="0"/>
    <s v="Nuevo León"/>
    <s v="19"/>
    <m/>
    <m/>
    <s v="19030"/>
    <s v="Iturbide"/>
    <x v="3"/>
    <s v="Panificación"/>
    <m/>
    <m/>
    <m/>
    <m/>
    <m/>
    <n v="0"/>
    <m/>
    <s v="Estatal"/>
  </r>
  <r>
    <x v="0"/>
    <s v="Nuevo León"/>
    <s v="19"/>
    <s v="19.01"/>
    <s v="Monterrey"/>
    <s v="19031"/>
    <s v="Juárez"/>
    <x v="3"/>
    <s v="Panificación"/>
    <m/>
    <m/>
    <m/>
    <m/>
    <m/>
    <n v="5.074060813705989"/>
    <m/>
    <s v="Estatal"/>
  </r>
  <r>
    <x v="0"/>
    <s v="Nuevo León"/>
    <s v="19"/>
    <m/>
    <m/>
    <s v="19032"/>
    <s v="Lampazos de Naranjo"/>
    <x v="3"/>
    <s v="Panificación"/>
    <m/>
    <m/>
    <m/>
    <m/>
    <m/>
    <n v="0.50114180876108538"/>
    <m/>
    <s v="Estatal"/>
  </r>
  <r>
    <x v="0"/>
    <s v="Nuevo León"/>
    <s v="19"/>
    <m/>
    <m/>
    <s v="19033"/>
    <s v="Linares"/>
    <x v="3"/>
    <s v="Panificación"/>
    <m/>
    <m/>
    <m/>
    <m/>
    <m/>
    <n v="3.3827072091373265"/>
    <m/>
    <s v="Estatal"/>
  </r>
  <r>
    <x v="0"/>
    <s v="Nuevo León"/>
    <s v="19"/>
    <m/>
    <m/>
    <s v="19034"/>
    <s v="Marín"/>
    <x v="3"/>
    <s v="Panificación"/>
    <m/>
    <m/>
    <m/>
    <m/>
    <m/>
    <n v="0.2714518130789213"/>
    <m/>
    <s v="Estatal"/>
  </r>
  <r>
    <x v="0"/>
    <s v="Nuevo León"/>
    <s v="19"/>
    <m/>
    <m/>
    <s v="19035"/>
    <s v="Melchor Ocampo"/>
    <x v="3"/>
    <s v="Panificación"/>
    <m/>
    <m/>
    <m/>
    <m/>
    <m/>
    <n v="0"/>
    <m/>
    <s v="Estatal"/>
  </r>
  <r>
    <x v="0"/>
    <s v="Nuevo León"/>
    <s v="19"/>
    <m/>
    <m/>
    <s v="19036"/>
    <s v="Mier y Noriega"/>
    <x v="3"/>
    <s v="Panificación"/>
    <m/>
    <m/>
    <m/>
    <m/>
    <m/>
    <n v="0"/>
    <m/>
    <s v="Estatal"/>
  </r>
  <r>
    <x v="0"/>
    <s v="Nuevo León"/>
    <s v="19"/>
    <m/>
    <m/>
    <s v="19037"/>
    <s v="Mina"/>
    <x v="3"/>
    <s v="Panificación"/>
    <m/>
    <m/>
    <m/>
    <m/>
    <m/>
    <n v="0.18792817828540706"/>
    <m/>
    <s v="Estatal"/>
  </r>
  <r>
    <x v="0"/>
    <s v="Nuevo León"/>
    <s v="19"/>
    <m/>
    <m/>
    <s v="19038"/>
    <s v="Montemorelos"/>
    <x v="3"/>
    <s v="Panificación"/>
    <m/>
    <m/>
    <m/>
    <m/>
    <m/>
    <n v="1.983686326345963"/>
    <m/>
    <s v="Estatal"/>
  </r>
  <r>
    <x v="0"/>
    <s v="Nuevo León"/>
    <s v="19"/>
    <s v="19.01"/>
    <s v="Monterrey"/>
    <s v="19039"/>
    <s v="Monterrey"/>
    <x v="3"/>
    <s v="Panificación"/>
    <m/>
    <m/>
    <m/>
    <m/>
    <m/>
    <n v="36.478947496067448"/>
    <m/>
    <s v="Estatal"/>
  </r>
  <r>
    <x v="0"/>
    <s v="Nuevo León"/>
    <s v="19"/>
    <m/>
    <m/>
    <s v="19040"/>
    <s v="Parás"/>
    <x v="3"/>
    <s v="Panificación"/>
    <m/>
    <m/>
    <m/>
    <m/>
    <m/>
    <n v="0"/>
    <m/>
    <s v="Estatal"/>
  </r>
  <r>
    <x v="0"/>
    <s v="Nuevo León"/>
    <s v="19"/>
    <s v="19.01"/>
    <s v="Monterrey"/>
    <s v="19041"/>
    <s v="Pesquería"/>
    <x v="3"/>
    <s v="Panificación"/>
    <m/>
    <m/>
    <m/>
    <m/>
    <m/>
    <n v="8.352363479351424E-2"/>
    <m/>
    <s v="Estatal"/>
  </r>
  <r>
    <x v="0"/>
    <s v="Nuevo León"/>
    <s v="19"/>
    <m/>
    <m/>
    <s v="19042"/>
    <s v="Los Ramones"/>
    <x v="3"/>
    <s v="Panificación"/>
    <m/>
    <m/>
    <m/>
    <m/>
    <m/>
    <n v="8.352363479351424E-2"/>
    <m/>
    <s v="Estatal"/>
  </r>
  <r>
    <x v="0"/>
    <s v="Nuevo León"/>
    <s v="19"/>
    <m/>
    <m/>
    <s v="19043"/>
    <s v="Rayones"/>
    <x v="3"/>
    <s v="Panificación"/>
    <m/>
    <m/>
    <m/>
    <m/>
    <m/>
    <n v="0.16704726958702848"/>
    <m/>
    <s v="Estatal"/>
  </r>
  <r>
    <x v="0"/>
    <s v="Nuevo León"/>
    <s v="19"/>
    <m/>
    <m/>
    <s v="19044"/>
    <s v="Sabinas Hidalgo"/>
    <x v="3"/>
    <s v="Panificación"/>
    <m/>
    <m/>
    <m/>
    <m/>
    <m/>
    <n v="3.2574217569470552"/>
    <m/>
    <s v="Estatal"/>
  </r>
  <r>
    <x v="0"/>
    <s v="Nuevo León"/>
    <s v="19"/>
    <s v="19.01"/>
    <s v="Monterrey"/>
    <s v="19045"/>
    <s v="Salinas Victoria"/>
    <x v="3"/>
    <s v="Panificación"/>
    <m/>
    <m/>
    <m/>
    <m/>
    <m/>
    <n v="0.60554635225297826"/>
    <m/>
    <s v="Estatal"/>
  </r>
  <r>
    <x v="0"/>
    <s v="Nuevo León"/>
    <s v="19"/>
    <s v="19.01"/>
    <s v="Monterrey"/>
    <s v="19046"/>
    <s v="San Nicolás de los Garza"/>
    <x v="3"/>
    <s v="Panificación"/>
    <m/>
    <m/>
    <m/>
    <m/>
    <m/>
    <n v="10.983357975347133"/>
    <m/>
    <s v="Estatal"/>
  </r>
  <r>
    <x v="0"/>
    <s v="Nuevo León"/>
    <s v="19"/>
    <s v="19.01"/>
    <s v="Monterrey"/>
    <s v="19047"/>
    <s v="Hidalgo"/>
    <x v="3"/>
    <s v="Panificación"/>
    <m/>
    <m/>
    <m/>
    <m/>
    <m/>
    <n v="0.33409453917405696"/>
    <m/>
    <s v="Estatal"/>
  </r>
  <r>
    <x v="0"/>
    <s v="Nuevo León"/>
    <s v="19"/>
    <s v="19.01"/>
    <s v="Monterrey"/>
    <s v="19048"/>
    <s v="Santa Catarina"/>
    <x v="3"/>
    <s v="Panificación"/>
    <m/>
    <m/>
    <m/>
    <m/>
    <m/>
    <n v="5.0531799050076112"/>
    <m/>
    <s v="Estatal"/>
  </r>
  <r>
    <x v="0"/>
    <s v="Nuevo León"/>
    <s v="19"/>
    <s v="19.01"/>
    <s v="Monterrey"/>
    <s v="19049"/>
    <s v="Santiago"/>
    <x v="3"/>
    <s v="Panificación"/>
    <m/>
    <m/>
    <m/>
    <m/>
    <m/>
    <n v="1.2528545219027136"/>
    <m/>
    <s v="Estatal"/>
  </r>
  <r>
    <x v="0"/>
    <s v="Nuevo León"/>
    <s v="19"/>
    <m/>
    <m/>
    <s v="19050"/>
    <s v="Vallecillo"/>
    <x v="3"/>
    <s v="Panificación"/>
    <m/>
    <m/>
    <m/>
    <m/>
    <m/>
    <n v="8.352363479351424E-2"/>
    <m/>
    <s v="Estatal"/>
  </r>
  <r>
    <x v="0"/>
    <s v="Nuevo León"/>
    <s v="19"/>
    <m/>
    <m/>
    <s v="19051"/>
    <s v="Villaldama"/>
    <x v="3"/>
    <s v="Panificación"/>
    <m/>
    <m/>
    <m/>
    <m/>
    <m/>
    <n v="0.50114180876108549"/>
    <m/>
    <s v="Estatal"/>
  </r>
  <r>
    <x v="0"/>
    <s v="Nuevo León"/>
    <s v="19"/>
    <s v="19.01"/>
    <s v="Monterrey"/>
    <s v="19001"/>
    <s v="Abasolo"/>
    <x v="4"/>
    <s v="Aplicación de fertilizantes"/>
    <m/>
    <m/>
    <m/>
    <m/>
    <m/>
    <m/>
    <n v="2.7195752714285714E-2"/>
    <s v="Estatal"/>
  </r>
  <r>
    <x v="0"/>
    <s v="Nuevo León"/>
    <s v="19"/>
    <m/>
    <m/>
    <s v="19002"/>
    <s v="Agualeguas"/>
    <x v="4"/>
    <s v="Aplicación de fertilizantes"/>
    <m/>
    <m/>
    <m/>
    <m/>
    <m/>
    <m/>
    <n v="5.5188259660727264"/>
    <s v="Estatal"/>
  </r>
  <r>
    <x v="0"/>
    <s v="Nuevo León"/>
    <s v="19"/>
    <m/>
    <m/>
    <s v="19003"/>
    <s v="Los Aldamas"/>
    <x v="4"/>
    <s v="Aplicación de fertilizantes"/>
    <m/>
    <m/>
    <m/>
    <m/>
    <m/>
    <m/>
    <n v="0"/>
    <s v="Estatal"/>
  </r>
  <r>
    <x v="0"/>
    <s v="Nuevo León"/>
    <s v="19"/>
    <m/>
    <m/>
    <s v="19004"/>
    <s v="Allende"/>
    <x v="4"/>
    <s v="Aplicación de fertilizantes"/>
    <m/>
    <m/>
    <m/>
    <m/>
    <m/>
    <m/>
    <n v="6.0775336561071427"/>
    <s v="Estatal"/>
  </r>
  <r>
    <x v="0"/>
    <s v="Nuevo León"/>
    <s v="19"/>
    <m/>
    <m/>
    <s v="19005"/>
    <s v="Anáhuac"/>
    <x v="4"/>
    <s v="Aplicación de fertilizantes"/>
    <m/>
    <m/>
    <m/>
    <m/>
    <m/>
    <m/>
    <n v="14.767318098630225"/>
    <s v="Estatal"/>
  </r>
  <r>
    <x v="0"/>
    <s v="Nuevo León"/>
    <s v="19"/>
    <s v="19.01"/>
    <s v="Monterrey"/>
    <s v="19006"/>
    <s v="Apodaca"/>
    <x v="4"/>
    <s v="Aplicación de fertilizantes"/>
    <m/>
    <m/>
    <m/>
    <m/>
    <m/>
    <m/>
    <n v="4.2833310524999994E-2"/>
    <s v="Estatal"/>
  </r>
  <r>
    <x v="0"/>
    <s v="Nuevo León"/>
    <s v="19"/>
    <m/>
    <m/>
    <s v="19007"/>
    <s v="Aramberri"/>
    <x v="4"/>
    <s v="Aplicación de fertilizantes"/>
    <m/>
    <m/>
    <m/>
    <m/>
    <m/>
    <m/>
    <n v="30.209100903345206"/>
    <s v="Estatal"/>
  </r>
  <r>
    <x v="0"/>
    <s v="Nuevo León"/>
    <s v="19"/>
    <m/>
    <m/>
    <s v="19008"/>
    <s v="Bustamante"/>
    <x v="4"/>
    <s v="Aplicación de fertilizantes"/>
    <m/>
    <m/>
    <m/>
    <m/>
    <m/>
    <m/>
    <n v="4.150751758017857"/>
    <s v="Estatal"/>
  </r>
  <r>
    <x v="0"/>
    <s v="Nuevo León"/>
    <s v="19"/>
    <s v="19.01"/>
    <s v="Monterrey"/>
    <s v="19009"/>
    <s v="Cadereyta Jiménez"/>
    <x v="4"/>
    <s v="Aplicación de fertilizantes"/>
    <m/>
    <m/>
    <m/>
    <m/>
    <m/>
    <m/>
    <n v="185.55368618964621"/>
    <s v="Estatal"/>
  </r>
  <r>
    <x v="0"/>
    <s v="Nuevo León"/>
    <s v="19"/>
    <s v="19.01"/>
    <s v="Monterrey"/>
    <s v="19010"/>
    <s v="El Carmen"/>
    <x v="4"/>
    <s v="Aplicación de fertilizantes"/>
    <m/>
    <m/>
    <m/>
    <m/>
    <m/>
    <m/>
    <n v="1.3733855120714287"/>
    <s v="Estatal"/>
  </r>
  <r>
    <x v="0"/>
    <s v="Nuevo León"/>
    <s v="19"/>
    <m/>
    <m/>
    <s v="19011"/>
    <s v="Cerralvo"/>
    <x v="4"/>
    <s v="Aplicación de fertilizantes"/>
    <m/>
    <m/>
    <m/>
    <m/>
    <m/>
    <m/>
    <n v="12.394843256654543"/>
    <s v="Estatal"/>
  </r>
  <r>
    <x v="0"/>
    <s v="Nuevo León"/>
    <s v="19"/>
    <s v="19.01"/>
    <s v="Monterrey"/>
    <s v="19012"/>
    <s v="Ciénega de Flores"/>
    <x v="4"/>
    <s v="Aplicación de fertilizantes"/>
    <m/>
    <m/>
    <m/>
    <m/>
    <m/>
    <m/>
    <n v="0.21076708353571427"/>
    <s v="Estatal"/>
  </r>
  <r>
    <x v="0"/>
    <s v="Nuevo León"/>
    <s v="19"/>
    <m/>
    <m/>
    <s v="19013"/>
    <s v="China"/>
    <x v="4"/>
    <s v="Aplicación de fertilizantes"/>
    <m/>
    <m/>
    <m/>
    <m/>
    <m/>
    <m/>
    <n v="0.28491964583333335"/>
    <s v="Estatal"/>
  </r>
  <r>
    <x v="0"/>
    <s v="Nuevo León"/>
    <s v="19"/>
    <m/>
    <m/>
    <s v="19014"/>
    <s v="Doctor Arroyo"/>
    <x v="4"/>
    <s v="Aplicación de fertilizantes"/>
    <m/>
    <m/>
    <m/>
    <m/>
    <m/>
    <m/>
    <n v="0.67400603242857127"/>
    <s v="Estatal"/>
  </r>
  <r>
    <x v="0"/>
    <s v="Nuevo León"/>
    <s v="19"/>
    <m/>
    <m/>
    <s v="19015"/>
    <s v="Doctor Coss"/>
    <x v="4"/>
    <s v="Aplicación de fertilizantes"/>
    <m/>
    <m/>
    <m/>
    <m/>
    <m/>
    <m/>
    <n v="0"/>
    <s v="Estatal"/>
  </r>
  <r>
    <x v="0"/>
    <s v="Nuevo León"/>
    <s v="19"/>
    <m/>
    <m/>
    <s v="19016"/>
    <s v="Doctor González"/>
    <x v="4"/>
    <s v="Aplicación de fertilizantes"/>
    <m/>
    <m/>
    <m/>
    <m/>
    <m/>
    <m/>
    <n v="1.6134749162857145"/>
    <s v="Estatal"/>
  </r>
  <r>
    <x v="0"/>
    <s v="Nuevo León"/>
    <s v="19"/>
    <m/>
    <m/>
    <s v="19017"/>
    <s v="Galeana"/>
    <x v="4"/>
    <s v="Aplicación de fertilizantes"/>
    <m/>
    <m/>
    <m/>
    <m/>
    <m/>
    <m/>
    <n v="45.065217016600585"/>
    <s v="Estatal"/>
  </r>
  <r>
    <x v="0"/>
    <s v="Nuevo León"/>
    <s v="19"/>
    <s v="19.01"/>
    <s v="Monterrey"/>
    <s v="19018"/>
    <s v="García"/>
    <x v="4"/>
    <s v="Aplicación de fertilizantes"/>
    <m/>
    <m/>
    <m/>
    <m/>
    <m/>
    <m/>
    <n v="1.3257929448214285"/>
    <s v="Estatal"/>
  </r>
  <r>
    <x v="0"/>
    <s v="Nuevo León"/>
    <s v="19"/>
    <s v="19.01"/>
    <s v="Monterrey"/>
    <s v="19019"/>
    <s v="San Pedro Garza García"/>
    <x v="4"/>
    <s v="Aplicación de fertilizantes"/>
    <m/>
    <m/>
    <m/>
    <m/>
    <m/>
    <m/>
    <n v="0"/>
    <s v="Estatal"/>
  </r>
  <r>
    <x v="0"/>
    <s v="Nuevo León"/>
    <s v="19"/>
    <m/>
    <m/>
    <s v="19020"/>
    <s v="General Bravo"/>
    <x v="4"/>
    <s v="Aplicación de fertilizantes"/>
    <m/>
    <m/>
    <m/>
    <m/>
    <m/>
    <m/>
    <n v="1.4057915297236458"/>
    <s v="Estatal"/>
  </r>
  <r>
    <x v="0"/>
    <s v="Nuevo León"/>
    <s v="19"/>
    <s v="19.01"/>
    <s v="Monterrey"/>
    <s v="19021"/>
    <s v="General Escobedo"/>
    <x v="4"/>
    <s v="Aplicación de fertilizantes"/>
    <m/>
    <m/>
    <m/>
    <m/>
    <m/>
    <m/>
    <n v="0"/>
    <s v="Estatal"/>
  </r>
  <r>
    <x v="0"/>
    <s v="Nuevo León"/>
    <s v="19"/>
    <m/>
    <m/>
    <s v="19022"/>
    <s v="General Terán"/>
    <x v="4"/>
    <s v="Aplicación de fertilizantes"/>
    <m/>
    <m/>
    <m/>
    <m/>
    <m/>
    <m/>
    <n v="166.00567570332385"/>
    <s v="Estatal"/>
  </r>
  <r>
    <x v="0"/>
    <s v="Nuevo León"/>
    <s v="19"/>
    <m/>
    <m/>
    <s v="19023"/>
    <s v="General Treviño"/>
    <x v="4"/>
    <s v="Aplicación de fertilizantes"/>
    <m/>
    <m/>
    <m/>
    <m/>
    <m/>
    <m/>
    <n v="2.5550675573272725"/>
    <s v="Estatal"/>
  </r>
  <r>
    <x v="0"/>
    <s v="Nuevo León"/>
    <s v="19"/>
    <m/>
    <m/>
    <s v="19024"/>
    <s v="General Zaragoza"/>
    <x v="4"/>
    <s v="Aplicación de fertilizantes"/>
    <m/>
    <m/>
    <m/>
    <m/>
    <m/>
    <m/>
    <n v="2.3109506755735354"/>
    <s v="Estatal"/>
  </r>
  <r>
    <x v="0"/>
    <s v="Nuevo León"/>
    <s v="19"/>
    <s v="19.01"/>
    <s v="Monterrey"/>
    <s v="19025"/>
    <s v="General Zuazua"/>
    <x v="4"/>
    <s v="Aplicación de fertilizantes"/>
    <m/>
    <m/>
    <m/>
    <m/>
    <m/>
    <m/>
    <n v="7.4788319964285713E-2"/>
    <s v="Estatal"/>
  </r>
  <r>
    <x v="0"/>
    <s v="Nuevo León"/>
    <s v="19"/>
    <s v="19.01"/>
    <s v="Monterrey"/>
    <s v="19026"/>
    <s v="Guadalupe"/>
    <x v="4"/>
    <s v="Aplicación de fertilizantes"/>
    <m/>
    <m/>
    <m/>
    <m/>
    <m/>
    <m/>
    <n v="0"/>
    <s v="Estatal"/>
  </r>
  <r>
    <x v="0"/>
    <s v="Nuevo León"/>
    <s v="19"/>
    <m/>
    <m/>
    <s v="19027"/>
    <s v="Los Herreras"/>
    <x v="4"/>
    <s v="Aplicación de fertilizantes"/>
    <m/>
    <m/>
    <m/>
    <m/>
    <m/>
    <m/>
    <n v="0"/>
    <s v="Estatal"/>
  </r>
  <r>
    <x v="0"/>
    <s v="Nuevo León"/>
    <s v="19"/>
    <m/>
    <m/>
    <s v="19028"/>
    <s v="Higueras"/>
    <x v="4"/>
    <s v="Aplicación de fertilizantes"/>
    <m/>
    <m/>
    <m/>
    <m/>
    <m/>
    <m/>
    <n v="0"/>
    <s v="Estatal"/>
  </r>
  <r>
    <x v="0"/>
    <s v="Nuevo León"/>
    <s v="19"/>
    <m/>
    <m/>
    <s v="19029"/>
    <s v="Hualahuises"/>
    <x v="4"/>
    <s v="Aplicación de fertilizantes"/>
    <m/>
    <m/>
    <m/>
    <m/>
    <m/>
    <m/>
    <n v="39.943767247500006"/>
    <s v="Estatal"/>
  </r>
  <r>
    <x v="0"/>
    <s v="Nuevo León"/>
    <s v="19"/>
    <m/>
    <m/>
    <s v="19030"/>
    <s v="Iturbide"/>
    <x v="4"/>
    <s v="Aplicación de fertilizantes"/>
    <m/>
    <m/>
    <m/>
    <m/>
    <m/>
    <m/>
    <n v="0"/>
    <s v="Estatal"/>
  </r>
  <r>
    <x v="0"/>
    <s v="Nuevo León"/>
    <s v="19"/>
    <s v="19.01"/>
    <s v="Monterrey"/>
    <s v="19031"/>
    <s v="Juárez"/>
    <x v="4"/>
    <s v="Aplicación de fertilizantes"/>
    <m/>
    <m/>
    <m/>
    <m/>
    <m/>
    <m/>
    <n v="0.2452383618575486"/>
    <s v="Estatal"/>
  </r>
  <r>
    <x v="0"/>
    <s v="Nuevo León"/>
    <s v="19"/>
    <m/>
    <m/>
    <s v="19032"/>
    <s v="Lampazos de Naranjo"/>
    <x v="4"/>
    <s v="Aplicación de fertilizantes"/>
    <m/>
    <m/>
    <m/>
    <m/>
    <m/>
    <m/>
    <n v="0.24882430780489712"/>
    <s v="Estatal"/>
  </r>
  <r>
    <x v="0"/>
    <s v="Nuevo León"/>
    <s v="19"/>
    <m/>
    <m/>
    <s v="19033"/>
    <s v="Linares"/>
    <x v="4"/>
    <s v="Aplicación de fertilizantes"/>
    <m/>
    <m/>
    <m/>
    <m/>
    <m/>
    <m/>
    <n v="55.283346413279759"/>
    <s v="Estatal"/>
  </r>
  <r>
    <x v="0"/>
    <s v="Nuevo León"/>
    <s v="19"/>
    <m/>
    <m/>
    <s v="19034"/>
    <s v="Marín"/>
    <x v="4"/>
    <s v="Aplicación de fertilizantes"/>
    <m/>
    <m/>
    <m/>
    <m/>
    <m/>
    <m/>
    <n v="0"/>
    <s v="Estatal"/>
  </r>
  <r>
    <x v="0"/>
    <s v="Nuevo León"/>
    <s v="19"/>
    <m/>
    <m/>
    <s v="19035"/>
    <s v="Melchor Ocampo"/>
    <x v="4"/>
    <s v="Aplicación de fertilizantes"/>
    <m/>
    <m/>
    <m/>
    <m/>
    <m/>
    <m/>
    <n v="0.40028291040000002"/>
    <s v="Estatal"/>
  </r>
  <r>
    <x v="0"/>
    <s v="Nuevo León"/>
    <s v="19"/>
    <m/>
    <m/>
    <s v="19036"/>
    <s v="Mier y Noriega"/>
    <x v="4"/>
    <s v="Aplicación de fertilizantes"/>
    <m/>
    <m/>
    <m/>
    <m/>
    <m/>
    <m/>
    <n v="0"/>
    <s v="Estatal"/>
  </r>
  <r>
    <x v="0"/>
    <s v="Nuevo León"/>
    <s v="19"/>
    <m/>
    <m/>
    <s v="19037"/>
    <s v="Mina"/>
    <x v="4"/>
    <s v="Aplicación de fertilizantes"/>
    <m/>
    <m/>
    <m/>
    <m/>
    <m/>
    <m/>
    <n v="8.1942147082706751E-2"/>
    <s v="Estatal"/>
  </r>
  <r>
    <x v="0"/>
    <s v="Nuevo León"/>
    <s v="19"/>
    <m/>
    <m/>
    <s v="19038"/>
    <s v="Montemorelos"/>
    <x v="4"/>
    <s v="Aplicación de fertilizantes"/>
    <m/>
    <m/>
    <m/>
    <m/>
    <m/>
    <m/>
    <n v="132.39414603070131"/>
    <s v="Estatal"/>
  </r>
  <r>
    <x v="0"/>
    <s v="Nuevo León"/>
    <s v="19"/>
    <s v="19.01"/>
    <s v="Monterrey"/>
    <s v="19039"/>
    <s v="Monterrey"/>
    <x v="4"/>
    <s v="Aplicación de fertilizantes"/>
    <m/>
    <m/>
    <m/>
    <m/>
    <m/>
    <m/>
    <n v="0"/>
    <s v="Estatal"/>
  </r>
  <r>
    <x v="0"/>
    <s v="Nuevo León"/>
    <s v="19"/>
    <m/>
    <m/>
    <s v="19040"/>
    <s v="Parás"/>
    <x v="4"/>
    <s v="Aplicación de fertilizantes"/>
    <m/>
    <m/>
    <m/>
    <m/>
    <m/>
    <m/>
    <n v="0"/>
    <s v="Estatal"/>
  </r>
  <r>
    <x v="0"/>
    <s v="Nuevo León"/>
    <s v="19"/>
    <s v="19.01"/>
    <s v="Monterrey"/>
    <s v="19041"/>
    <s v="Pesquería"/>
    <x v="4"/>
    <s v="Aplicación de fertilizantes"/>
    <m/>
    <m/>
    <m/>
    <m/>
    <m/>
    <m/>
    <n v="26.732535882447991"/>
    <s v="Estatal"/>
  </r>
  <r>
    <x v="0"/>
    <s v="Nuevo León"/>
    <s v="19"/>
    <m/>
    <m/>
    <s v="19042"/>
    <s v="Los Ramones"/>
    <x v="4"/>
    <s v="Aplicación de fertilizantes"/>
    <m/>
    <m/>
    <m/>
    <m/>
    <m/>
    <m/>
    <n v="10.347881908136364"/>
    <s v="Estatal"/>
  </r>
  <r>
    <x v="0"/>
    <s v="Nuevo León"/>
    <s v="19"/>
    <m/>
    <m/>
    <s v="19043"/>
    <s v="Rayones"/>
    <x v="4"/>
    <s v="Aplicación de fertilizantes"/>
    <m/>
    <m/>
    <m/>
    <m/>
    <m/>
    <m/>
    <n v="0"/>
    <s v="Estatal"/>
  </r>
  <r>
    <x v="0"/>
    <s v="Nuevo León"/>
    <s v="19"/>
    <m/>
    <m/>
    <s v="19044"/>
    <s v="Sabinas Hidalgo"/>
    <x v="4"/>
    <s v="Aplicación de fertilizantes"/>
    <m/>
    <m/>
    <m/>
    <m/>
    <m/>
    <m/>
    <n v="1.3259547270813909"/>
    <s v="Estatal"/>
  </r>
  <r>
    <x v="0"/>
    <s v="Nuevo León"/>
    <s v="19"/>
    <s v="19.01"/>
    <s v="Monterrey"/>
    <s v="19045"/>
    <s v="Salinas Victoria"/>
    <x v="4"/>
    <s v="Aplicación de fertilizantes"/>
    <m/>
    <m/>
    <m/>
    <m/>
    <m/>
    <m/>
    <n v="0.14957663992857143"/>
    <s v="Estatal"/>
  </r>
  <r>
    <x v="0"/>
    <s v="Nuevo León"/>
    <s v="19"/>
    <s v="19.01"/>
    <s v="Monterrey"/>
    <s v="19046"/>
    <s v="San Nicolás de los Garza"/>
    <x v="4"/>
    <s v="Aplicación de fertilizantes"/>
    <m/>
    <m/>
    <m/>
    <m/>
    <m/>
    <m/>
    <n v="0"/>
    <s v="Estatal"/>
  </r>
  <r>
    <x v="0"/>
    <s v="Nuevo León"/>
    <s v="19"/>
    <s v="19.01"/>
    <s v="Monterrey"/>
    <s v="19047"/>
    <s v="Hidalgo"/>
    <x v="4"/>
    <s v="Aplicación de fertilizantes"/>
    <m/>
    <m/>
    <m/>
    <m/>
    <m/>
    <m/>
    <n v="4.4218241605263144E-2"/>
    <s v="Estatal"/>
  </r>
  <r>
    <x v="0"/>
    <s v="Nuevo León"/>
    <s v="19"/>
    <s v="19.01"/>
    <s v="Monterrey"/>
    <s v="19048"/>
    <s v="Santa Catarina"/>
    <x v="4"/>
    <s v="Aplicación de fertilizantes"/>
    <m/>
    <m/>
    <m/>
    <m/>
    <m/>
    <m/>
    <n v="1.0004659024854761"/>
    <s v="Estatal"/>
  </r>
  <r>
    <x v="0"/>
    <s v="Nuevo León"/>
    <s v="19"/>
    <s v="19.01"/>
    <s v="Monterrey"/>
    <s v="19049"/>
    <s v="Santiago"/>
    <x v="4"/>
    <s v="Aplicación de fertilizantes"/>
    <m/>
    <m/>
    <m/>
    <m/>
    <m/>
    <m/>
    <n v="0"/>
    <s v="Estatal"/>
  </r>
  <r>
    <x v="0"/>
    <s v="Nuevo León"/>
    <s v="19"/>
    <m/>
    <m/>
    <s v="19050"/>
    <s v="Vallecillo"/>
    <x v="4"/>
    <s v="Aplicación de fertilizantes"/>
    <m/>
    <m/>
    <m/>
    <m/>
    <m/>
    <m/>
    <n v="1.8510982303315962"/>
    <s v="Estatal"/>
  </r>
  <r>
    <x v="0"/>
    <s v="Nuevo León"/>
    <s v="19"/>
    <m/>
    <m/>
    <s v="19051"/>
    <s v="Villaldama"/>
    <x v="4"/>
    <s v="Aplicación de fertilizantes"/>
    <m/>
    <m/>
    <m/>
    <m/>
    <m/>
    <m/>
    <n v="1.5365851718016916"/>
    <s v="Estatal"/>
  </r>
  <r>
    <x v="0"/>
    <s v="Nuevo León"/>
    <s v="19"/>
    <s v="19.01"/>
    <s v="Monterrey"/>
    <s v="19001"/>
    <s v="Abasolo"/>
    <x v="4"/>
    <s v="Aplicación de plaguicidas"/>
    <m/>
    <m/>
    <m/>
    <m/>
    <m/>
    <n v="3.2477950389622442E-4"/>
    <m/>
    <s v="Estatal"/>
  </r>
  <r>
    <x v="0"/>
    <s v="Nuevo León"/>
    <s v="19"/>
    <m/>
    <m/>
    <s v="19002"/>
    <s v="Agualeguas"/>
    <x v="4"/>
    <s v="Aplicación de plaguicidas"/>
    <m/>
    <m/>
    <m/>
    <m/>
    <m/>
    <n v="7.971169026419854E-2"/>
    <m/>
    <s v="Estatal"/>
  </r>
  <r>
    <x v="0"/>
    <s v="Nuevo León"/>
    <s v="19"/>
    <m/>
    <m/>
    <s v="19003"/>
    <s v="Los Aldamas"/>
    <x v="4"/>
    <s v="Aplicación de plaguicidas"/>
    <m/>
    <m/>
    <m/>
    <m/>
    <m/>
    <n v="3.1148635495764588E-3"/>
    <m/>
    <s v="Estatal"/>
  </r>
  <r>
    <x v="0"/>
    <s v="Nuevo León"/>
    <s v="19"/>
    <m/>
    <m/>
    <s v="19004"/>
    <s v="Allende"/>
    <x v="4"/>
    <s v="Aplicación de plaguicidas"/>
    <m/>
    <m/>
    <m/>
    <m/>
    <m/>
    <n v="0.21768474383527103"/>
    <m/>
    <s v="Estatal"/>
  </r>
  <r>
    <x v="0"/>
    <s v="Nuevo León"/>
    <s v="19"/>
    <m/>
    <m/>
    <s v="19005"/>
    <s v="Anáhuac"/>
    <x v="4"/>
    <s v="Aplicación de plaguicidas"/>
    <m/>
    <m/>
    <m/>
    <m/>
    <m/>
    <n v="0.21085263970064583"/>
    <m/>
    <s v="Estatal"/>
  </r>
  <r>
    <x v="0"/>
    <s v="Nuevo León"/>
    <s v="19"/>
    <s v="19.01"/>
    <s v="Monterrey"/>
    <s v="19006"/>
    <s v="Apodaca"/>
    <x v="4"/>
    <s v="Aplicación de plaguicidas"/>
    <m/>
    <m/>
    <m/>
    <m/>
    <m/>
    <n v="3.802459130484239E-4"/>
    <m/>
    <s v="Estatal"/>
  </r>
  <r>
    <x v="0"/>
    <s v="Nuevo León"/>
    <s v="19"/>
    <m/>
    <m/>
    <s v="19007"/>
    <s v="Aramberri"/>
    <x v="4"/>
    <s v="Aplicación de plaguicidas"/>
    <m/>
    <m/>
    <m/>
    <m/>
    <m/>
    <n v="0.93295657750041094"/>
    <m/>
    <s v="Estatal"/>
  </r>
  <r>
    <x v="0"/>
    <s v="Nuevo León"/>
    <s v="19"/>
    <m/>
    <m/>
    <s v="19008"/>
    <s v="Bustamante"/>
    <x v="4"/>
    <s v="Aplicación de plaguicidas"/>
    <m/>
    <m/>
    <m/>
    <m/>
    <m/>
    <n v="3.7236112077478956E-2"/>
    <m/>
    <s v="Estatal"/>
  </r>
  <r>
    <x v="0"/>
    <s v="Nuevo León"/>
    <s v="19"/>
    <s v="19.01"/>
    <s v="Monterrey"/>
    <s v="19009"/>
    <s v="Cadereyta Jiménez"/>
    <x v="4"/>
    <s v="Aplicación de plaguicidas"/>
    <m/>
    <m/>
    <m/>
    <m/>
    <m/>
    <n v="1.7419881349890756"/>
    <m/>
    <s v="Estatal"/>
  </r>
  <r>
    <x v="0"/>
    <s v="Nuevo León"/>
    <s v="19"/>
    <s v="19.01"/>
    <s v="Monterrey"/>
    <s v="19010"/>
    <s v="El Carmen"/>
    <x v="4"/>
    <s v="Aplicación de plaguicidas"/>
    <m/>
    <m/>
    <m/>
    <m/>
    <m/>
    <n v="1.2192011815203432E-2"/>
    <m/>
    <s v="Estatal"/>
  </r>
  <r>
    <x v="0"/>
    <s v="Nuevo León"/>
    <s v="19"/>
    <m/>
    <m/>
    <s v="19011"/>
    <s v="Cerralvo"/>
    <x v="4"/>
    <s v="Aplicación de plaguicidas"/>
    <m/>
    <m/>
    <m/>
    <m/>
    <m/>
    <n v="0.17462559165181327"/>
    <m/>
    <s v="Estatal"/>
  </r>
  <r>
    <x v="0"/>
    <s v="Nuevo León"/>
    <s v="19"/>
    <s v="19.01"/>
    <s v="Monterrey"/>
    <s v="19012"/>
    <s v="Ciénega de Flores"/>
    <x v="4"/>
    <s v="Aplicación de plaguicidas"/>
    <m/>
    <m/>
    <m/>
    <m/>
    <m/>
    <n v="1.8710513181747841E-3"/>
    <m/>
    <s v="Estatal"/>
  </r>
  <r>
    <x v="0"/>
    <s v="Nuevo León"/>
    <s v="19"/>
    <m/>
    <m/>
    <s v="19013"/>
    <s v="China"/>
    <x v="4"/>
    <s v="Aplicación de plaguicidas"/>
    <m/>
    <m/>
    <m/>
    <m/>
    <m/>
    <n v="0.15591374187935059"/>
    <m/>
    <s v="Estatal"/>
  </r>
  <r>
    <x v="0"/>
    <s v="Nuevo León"/>
    <s v="19"/>
    <m/>
    <m/>
    <s v="19014"/>
    <s v="Doctor Arroyo"/>
    <x v="4"/>
    <s v="Aplicación de plaguicidas"/>
    <m/>
    <m/>
    <m/>
    <m/>
    <m/>
    <n v="4.5108796579749049"/>
    <m/>
    <s v="Estatal"/>
  </r>
  <r>
    <x v="0"/>
    <s v="Nuevo León"/>
    <s v="19"/>
    <m/>
    <m/>
    <s v="19015"/>
    <s v="Doctor Coss"/>
    <x v="4"/>
    <s v="Aplicación de plaguicidas"/>
    <m/>
    <m/>
    <m/>
    <m/>
    <m/>
    <n v="1.9007215229604638E-2"/>
    <m/>
    <s v="Estatal"/>
  </r>
  <r>
    <x v="0"/>
    <s v="Nuevo León"/>
    <s v="19"/>
    <m/>
    <m/>
    <s v="19016"/>
    <s v="Doctor González"/>
    <x v="4"/>
    <s v="Aplicación de plaguicidas"/>
    <m/>
    <m/>
    <m/>
    <m/>
    <m/>
    <n v="4.1328779526995339E-2"/>
    <m/>
    <s v="Estatal"/>
  </r>
  <r>
    <x v="0"/>
    <s v="Nuevo León"/>
    <s v="19"/>
    <m/>
    <m/>
    <s v="19017"/>
    <s v="Galeana"/>
    <x v="4"/>
    <s v="Aplicación de plaguicidas"/>
    <m/>
    <m/>
    <m/>
    <m/>
    <m/>
    <n v="2.6759107046393638"/>
    <m/>
    <s v="Estatal"/>
  </r>
  <r>
    <x v="0"/>
    <s v="Nuevo León"/>
    <s v="19"/>
    <s v="19.01"/>
    <s v="Monterrey"/>
    <s v="19018"/>
    <s v="García"/>
    <x v="4"/>
    <s v="Aplicación de plaguicidas"/>
    <m/>
    <m/>
    <m/>
    <m/>
    <m/>
    <n v="1.3983678197905292E-2"/>
    <m/>
    <s v="Estatal"/>
  </r>
  <r>
    <x v="0"/>
    <s v="Nuevo León"/>
    <s v="19"/>
    <s v="19.01"/>
    <s v="Monterrey"/>
    <s v="19019"/>
    <s v="San Pedro Garza García"/>
    <x v="4"/>
    <s v="Aplicación de plaguicidas"/>
    <m/>
    <m/>
    <m/>
    <m/>
    <m/>
    <n v="0"/>
    <m/>
    <s v="Estatal"/>
  </r>
  <r>
    <x v="0"/>
    <s v="Nuevo León"/>
    <s v="19"/>
    <m/>
    <m/>
    <s v="19020"/>
    <s v="General Bravo"/>
    <x v="4"/>
    <s v="Aplicación de plaguicidas"/>
    <m/>
    <m/>
    <m/>
    <m/>
    <m/>
    <n v="0.16297739079876947"/>
    <m/>
    <s v="Estatal"/>
  </r>
  <r>
    <x v="0"/>
    <s v="Nuevo León"/>
    <s v="19"/>
    <s v="19.01"/>
    <s v="Monterrey"/>
    <s v="19021"/>
    <s v="General Escobedo"/>
    <x v="4"/>
    <s v="Aplicación de plaguicidas"/>
    <m/>
    <m/>
    <m/>
    <m/>
    <m/>
    <n v="8.0207736401593805E-3"/>
    <m/>
    <s v="Estatal"/>
  </r>
  <r>
    <x v="0"/>
    <s v="Nuevo León"/>
    <s v="19"/>
    <m/>
    <m/>
    <s v="19022"/>
    <s v="General Terán"/>
    <x v="4"/>
    <s v="Aplicación de plaguicidas"/>
    <m/>
    <m/>
    <m/>
    <m/>
    <m/>
    <n v="2.0881733588298954"/>
    <m/>
    <s v="Estatal"/>
  </r>
  <r>
    <x v="0"/>
    <s v="Nuevo León"/>
    <s v="19"/>
    <m/>
    <m/>
    <s v="19023"/>
    <s v="General Treviño"/>
    <x v="4"/>
    <s v="Aplicación de plaguicidas"/>
    <m/>
    <m/>
    <m/>
    <m/>
    <m/>
    <n v="4.6496047491093664E-2"/>
    <m/>
    <s v="Estatal"/>
  </r>
  <r>
    <x v="0"/>
    <s v="Nuevo León"/>
    <s v="19"/>
    <m/>
    <m/>
    <s v="19024"/>
    <s v="General Zaragoza"/>
    <x v="4"/>
    <s v="Aplicación de plaguicidas"/>
    <m/>
    <m/>
    <m/>
    <m/>
    <m/>
    <n v="0.3737937726074948"/>
    <m/>
    <s v="Estatal"/>
  </r>
  <r>
    <x v="0"/>
    <s v="Nuevo León"/>
    <s v="19"/>
    <s v="19.01"/>
    <s v="Monterrey"/>
    <s v="19025"/>
    <s v="General Zuazua"/>
    <x v="4"/>
    <s v="Aplicación de plaguicidas"/>
    <m/>
    <m/>
    <m/>
    <m/>
    <m/>
    <n v="1.5404777254047156E-3"/>
    <m/>
    <s v="Estatal"/>
  </r>
  <r>
    <x v="0"/>
    <s v="Nuevo León"/>
    <s v="19"/>
    <s v="19.01"/>
    <s v="Monterrey"/>
    <s v="19026"/>
    <s v="Guadalupe"/>
    <x v="4"/>
    <s v="Aplicación de plaguicidas"/>
    <m/>
    <m/>
    <m/>
    <m/>
    <m/>
    <n v="0"/>
    <m/>
    <s v="Estatal"/>
  </r>
  <r>
    <x v="0"/>
    <s v="Nuevo León"/>
    <s v="19"/>
    <m/>
    <m/>
    <s v="19027"/>
    <s v="Los Herreras"/>
    <x v="4"/>
    <s v="Aplicación de plaguicidas"/>
    <m/>
    <m/>
    <m/>
    <m/>
    <m/>
    <n v="2.821245653995081E-2"/>
    <m/>
    <s v="Estatal"/>
  </r>
  <r>
    <x v="0"/>
    <s v="Nuevo León"/>
    <s v="19"/>
    <m/>
    <m/>
    <s v="19028"/>
    <s v="Higueras"/>
    <x v="4"/>
    <s v="Aplicación de plaguicidas"/>
    <m/>
    <m/>
    <m/>
    <m/>
    <m/>
    <n v="0"/>
    <m/>
    <s v="Estatal"/>
  </r>
  <r>
    <x v="0"/>
    <s v="Nuevo León"/>
    <s v="19"/>
    <m/>
    <m/>
    <s v="19029"/>
    <s v="Hualahuises"/>
    <x v="4"/>
    <s v="Aplicación de plaguicidas"/>
    <m/>
    <m/>
    <m/>
    <m/>
    <m/>
    <n v="0.34777969842217504"/>
    <m/>
    <s v="Estatal"/>
  </r>
  <r>
    <x v="0"/>
    <s v="Nuevo León"/>
    <s v="19"/>
    <m/>
    <m/>
    <s v="19030"/>
    <s v="Iturbide"/>
    <x v="4"/>
    <s v="Aplicación de plaguicidas"/>
    <m/>
    <m/>
    <m/>
    <m/>
    <m/>
    <n v="5.504511519685136E-2"/>
    <m/>
    <s v="Estatal"/>
  </r>
  <r>
    <x v="0"/>
    <s v="Nuevo León"/>
    <s v="19"/>
    <s v="19.01"/>
    <s v="Monterrey"/>
    <s v="19031"/>
    <s v="Juárez"/>
    <x v="4"/>
    <s v="Aplicación de plaguicidas"/>
    <m/>
    <m/>
    <m/>
    <m/>
    <m/>
    <n v="1.1138475119905771E-2"/>
    <m/>
    <s v="Estatal"/>
  </r>
  <r>
    <x v="0"/>
    <s v="Nuevo León"/>
    <s v="19"/>
    <m/>
    <m/>
    <s v="19032"/>
    <s v="Lampazos de Naranjo"/>
    <x v="4"/>
    <s v="Aplicación de plaguicidas"/>
    <m/>
    <m/>
    <m/>
    <m/>
    <m/>
    <n v="2.6457356815727602E-3"/>
    <m/>
    <s v="Estatal"/>
  </r>
  <r>
    <x v="0"/>
    <s v="Nuevo León"/>
    <s v="19"/>
    <m/>
    <m/>
    <s v="19033"/>
    <s v="Linares"/>
    <x v="4"/>
    <s v="Aplicación de plaguicidas"/>
    <m/>
    <m/>
    <m/>
    <m/>
    <m/>
    <n v="0.97807952193725711"/>
    <m/>
    <s v="Estatal"/>
  </r>
  <r>
    <x v="0"/>
    <s v="Nuevo León"/>
    <s v="19"/>
    <m/>
    <m/>
    <s v="19034"/>
    <s v="Marín"/>
    <x v="4"/>
    <s v="Aplicación de plaguicidas"/>
    <m/>
    <m/>
    <m/>
    <m/>
    <m/>
    <n v="1.5574317747882294E-3"/>
    <m/>
    <s v="Estatal"/>
  </r>
  <r>
    <x v="0"/>
    <s v="Nuevo León"/>
    <s v="19"/>
    <m/>
    <m/>
    <s v="19035"/>
    <s v="Melchor Ocampo"/>
    <x v="4"/>
    <s v="Aplicación de plaguicidas"/>
    <m/>
    <m/>
    <m/>
    <m/>
    <m/>
    <n v="1.7416854187895389E-2"/>
    <m/>
    <s v="Estatal"/>
  </r>
  <r>
    <x v="0"/>
    <s v="Nuevo León"/>
    <s v="19"/>
    <m/>
    <m/>
    <s v="19036"/>
    <s v="Mier y Noriega"/>
    <x v="4"/>
    <s v="Aplicación de plaguicidas"/>
    <m/>
    <m/>
    <m/>
    <m/>
    <m/>
    <n v="0.49755080213230513"/>
    <m/>
    <s v="Estatal"/>
  </r>
  <r>
    <x v="0"/>
    <s v="Nuevo León"/>
    <s v="19"/>
    <m/>
    <m/>
    <s v="19037"/>
    <s v="Mina"/>
    <x v="4"/>
    <s v="Aplicación de plaguicidas"/>
    <m/>
    <m/>
    <m/>
    <m/>
    <m/>
    <n v="4.3667916421141215E-3"/>
    <m/>
    <s v="Estatal"/>
  </r>
  <r>
    <x v="0"/>
    <s v="Nuevo León"/>
    <s v="19"/>
    <m/>
    <m/>
    <s v="19038"/>
    <s v="Montemorelos"/>
    <x v="4"/>
    <s v="Aplicación de plaguicidas"/>
    <m/>
    <m/>
    <m/>
    <m/>
    <m/>
    <n v="1.5661904021023241"/>
    <m/>
    <s v="Estatal"/>
  </r>
  <r>
    <x v="0"/>
    <s v="Nuevo León"/>
    <s v="19"/>
    <s v="19.01"/>
    <s v="Monterrey"/>
    <s v="19039"/>
    <s v="Monterrey"/>
    <x v="4"/>
    <s v="Aplicación de plaguicidas"/>
    <m/>
    <m/>
    <m/>
    <m/>
    <m/>
    <n v="0"/>
    <m/>
    <s v="Estatal"/>
  </r>
  <r>
    <x v="0"/>
    <s v="Nuevo León"/>
    <s v="19"/>
    <m/>
    <m/>
    <s v="19040"/>
    <s v="Parás"/>
    <x v="4"/>
    <s v="Aplicación de plaguicidas"/>
    <m/>
    <m/>
    <m/>
    <m/>
    <m/>
    <n v="1.5538896330505615E-4"/>
    <m/>
    <s v="Estatal"/>
  </r>
  <r>
    <x v="0"/>
    <s v="Nuevo León"/>
    <s v="19"/>
    <s v="19.01"/>
    <s v="Monterrey"/>
    <s v="19041"/>
    <s v="Pesquería"/>
    <x v="4"/>
    <s v="Aplicación de plaguicidas"/>
    <m/>
    <m/>
    <m/>
    <m/>
    <m/>
    <n v="0.36692826091641578"/>
    <m/>
    <s v="Estatal"/>
  </r>
  <r>
    <x v="0"/>
    <s v="Nuevo León"/>
    <s v="19"/>
    <m/>
    <m/>
    <s v="19042"/>
    <s v="Los Ramones"/>
    <x v="4"/>
    <s v="Aplicación de plaguicidas"/>
    <m/>
    <m/>
    <m/>
    <m/>
    <m/>
    <n v="0.19938420425543946"/>
    <m/>
    <s v="Estatal"/>
  </r>
  <r>
    <x v="0"/>
    <s v="Nuevo León"/>
    <s v="19"/>
    <m/>
    <m/>
    <s v="19043"/>
    <s v="Rayones"/>
    <x v="4"/>
    <s v="Aplicación de plaguicidas"/>
    <m/>
    <m/>
    <m/>
    <m/>
    <m/>
    <n v="7.2427792961604551E-2"/>
    <m/>
    <s v="Estatal"/>
  </r>
  <r>
    <x v="0"/>
    <s v="Nuevo León"/>
    <s v="19"/>
    <m/>
    <m/>
    <s v="19044"/>
    <s v="Sabinas Hidalgo"/>
    <x v="4"/>
    <s v="Aplicación de plaguicidas"/>
    <m/>
    <m/>
    <m/>
    <m/>
    <m/>
    <n v="1.9476059966101345E-2"/>
    <m/>
    <s v="Estatal"/>
  </r>
  <r>
    <x v="0"/>
    <s v="Nuevo León"/>
    <s v="19"/>
    <s v="19.01"/>
    <s v="Monterrey"/>
    <s v="19045"/>
    <s v="Salinas Victoria"/>
    <x v="4"/>
    <s v="Aplicación de plaguicidas"/>
    <m/>
    <m/>
    <m/>
    <m/>
    <m/>
    <n v="7.492957712654705E-3"/>
    <m/>
    <s v="Estatal"/>
  </r>
  <r>
    <x v="0"/>
    <s v="Nuevo León"/>
    <s v="19"/>
    <s v="19.01"/>
    <s v="Monterrey"/>
    <s v="19046"/>
    <s v="San Nicolás de los Garza"/>
    <x v="4"/>
    <s v="Aplicación de plaguicidas"/>
    <m/>
    <m/>
    <m/>
    <m/>
    <m/>
    <n v="0"/>
    <m/>
    <s v="Estatal"/>
  </r>
  <r>
    <x v="0"/>
    <s v="Nuevo León"/>
    <s v="19"/>
    <s v="19.01"/>
    <s v="Monterrey"/>
    <s v="19047"/>
    <s v="Hidalgo"/>
    <x v="4"/>
    <s v="Aplicación de plaguicidas"/>
    <m/>
    <m/>
    <m/>
    <m/>
    <m/>
    <n v="2.7797257022886472E-3"/>
    <m/>
    <s v="Estatal"/>
  </r>
  <r>
    <x v="0"/>
    <s v="Nuevo León"/>
    <s v="19"/>
    <s v="19.01"/>
    <s v="Monterrey"/>
    <s v="19048"/>
    <s v="Santa Catarina"/>
    <x v="4"/>
    <s v="Aplicación de plaguicidas"/>
    <m/>
    <m/>
    <m/>
    <m/>
    <m/>
    <n v="3.567190410904629E-2"/>
    <m/>
    <s v="Estatal"/>
  </r>
  <r>
    <x v="0"/>
    <s v="Nuevo León"/>
    <s v="19"/>
    <s v="19.01"/>
    <s v="Monterrey"/>
    <s v="19049"/>
    <s v="Santiago"/>
    <x v="4"/>
    <s v="Aplicación de plaguicidas"/>
    <m/>
    <m/>
    <m/>
    <m/>
    <m/>
    <n v="0.2473777430463279"/>
    <m/>
    <s v="Estatal"/>
  </r>
  <r>
    <x v="0"/>
    <s v="Nuevo León"/>
    <s v="19"/>
    <m/>
    <m/>
    <s v="19050"/>
    <s v="Vallecillo"/>
    <x v="4"/>
    <s v="Aplicación de plaguicidas"/>
    <m/>
    <m/>
    <m/>
    <m/>
    <m/>
    <n v="8.8071292707677749E-3"/>
    <m/>
    <s v="Estatal"/>
  </r>
  <r>
    <x v="0"/>
    <s v="Nuevo León"/>
    <s v="19"/>
    <m/>
    <m/>
    <s v="19051"/>
    <s v="Villaldama"/>
    <x v="4"/>
    <s v="Aplicación de plaguicidas"/>
    <m/>
    <m/>
    <m/>
    <m/>
    <m/>
    <n v="1.6522969287580361E-2"/>
    <m/>
    <s v="Estatal"/>
  </r>
  <r>
    <x v="0"/>
    <s v="Nuevo León"/>
    <s v="19"/>
    <s v="19.01"/>
    <s v="Monterrey"/>
    <s v="19001"/>
    <s v="Abasolo"/>
    <x v="4"/>
    <s v="Emisiones Ganaderas"/>
    <m/>
    <m/>
    <m/>
    <m/>
    <m/>
    <m/>
    <n v="0.19979999999999998"/>
    <s v="Estatal"/>
  </r>
  <r>
    <x v="0"/>
    <s v="Nuevo León"/>
    <s v="19"/>
    <m/>
    <m/>
    <s v="19002"/>
    <s v="Agualeguas"/>
    <x v="4"/>
    <s v="Emisiones Ganaderas"/>
    <m/>
    <m/>
    <m/>
    <m/>
    <m/>
    <m/>
    <n v="164.99844999999999"/>
    <s v="Estatal"/>
  </r>
  <r>
    <x v="0"/>
    <s v="Nuevo León"/>
    <s v="19"/>
    <m/>
    <m/>
    <s v="19003"/>
    <s v="Los Aldamas"/>
    <x v="4"/>
    <s v="Emisiones Ganaderas"/>
    <m/>
    <m/>
    <m/>
    <m/>
    <m/>
    <m/>
    <n v="15.94477"/>
    <s v="Estatal"/>
  </r>
  <r>
    <x v="0"/>
    <s v="Nuevo León"/>
    <s v="19"/>
    <m/>
    <m/>
    <s v="19004"/>
    <s v="Allende"/>
    <x v="4"/>
    <s v="Emisiones Ganaderas"/>
    <m/>
    <m/>
    <m/>
    <m/>
    <m/>
    <m/>
    <n v="260.71025999999995"/>
    <s v="Estatal"/>
  </r>
  <r>
    <x v="0"/>
    <s v="Nuevo León"/>
    <s v="19"/>
    <m/>
    <m/>
    <s v="19005"/>
    <s v="Anáhuac"/>
    <x v="4"/>
    <s v="Emisiones Ganaderas"/>
    <m/>
    <m/>
    <m/>
    <m/>
    <m/>
    <m/>
    <n v="132.51090000000002"/>
    <s v="Estatal"/>
  </r>
  <r>
    <x v="0"/>
    <s v="Nuevo León"/>
    <s v="19"/>
    <s v="19.01"/>
    <s v="Monterrey"/>
    <s v="19006"/>
    <s v="Apodaca"/>
    <x v="4"/>
    <s v="Emisiones Ganaderas"/>
    <m/>
    <m/>
    <m/>
    <m/>
    <m/>
    <m/>
    <n v="143.22319000000002"/>
    <s v="Estatal"/>
  </r>
  <r>
    <x v="0"/>
    <s v="Nuevo León"/>
    <s v="19"/>
    <m/>
    <m/>
    <s v="19007"/>
    <s v="Aramberri"/>
    <x v="4"/>
    <s v="Emisiones Ganaderas"/>
    <m/>
    <m/>
    <m/>
    <m/>
    <m/>
    <m/>
    <n v="231.84934000000001"/>
    <s v="Estatal"/>
  </r>
  <r>
    <x v="0"/>
    <s v="Nuevo León"/>
    <s v="19"/>
    <m/>
    <m/>
    <s v="19008"/>
    <s v="Bustamante"/>
    <x v="4"/>
    <s v="Emisiones Ganaderas"/>
    <m/>
    <m/>
    <m/>
    <m/>
    <m/>
    <m/>
    <n v="34.876300000000001"/>
    <s v="Estatal"/>
  </r>
  <r>
    <x v="0"/>
    <s v="Nuevo León"/>
    <s v="19"/>
    <s v="19.01"/>
    <s v="Monterrey"/>
    <s v="19009"/>
    <s v="Cadereyta Jiménez"/>
    <x v="4"/>
    <s v="Emisiones Ganaderas"/>
    <m/>
    <m/>
    <m/>
    <m/>
    <m/>
    <m/>
    <n v="473.34028000000012"/>
    <s v="Estatal"/>
  </r>
  <r>
    <x v="0"/>
    <s v="Nuevo León"/>
    <s v="19"/>
    <s v="19.01"/>
    <s v="Monterrey"/>
    <s v="19010"/>
    <s v="El Carmen"/>
    <x v="4"/>
    <s v="Emisiones Ganaderas"/>
    <m/>
    <m/>
    <m/>
    <m/>
    <m/>
    <m/>
    <n v="28.06512"/>
    <s v="Estatal"/>
  </r>
  <r>
    <x v="0"/>
    <s v="Nuevo León"/>
    <s v="19"/>
    <m/>
    <m/>
    <s v="19011"/>
    <s v="Cerralvo"/>
    <x v="4"/>
    <s v="Emisiones Ganaderas"/>
    <m/>
    <m/>
    <m/>
    <m/>
    <m/>
    <m/>
    <n v="785.08717000000001"/>
    <s v="Estatal"/>
  </r>
  <r>
    <x v="0"/>
    <s v="Nuevo León"/>
    <s v="19"/>
    <s v="19.01"/>
    <s v="Monterrey"/>
    <s v="19012"/>
    <s v="Ciénega de Flores"/>
    <x v="4"/>
    <s v="Emisiones Ganaderas"/>
    <m/>
    <m/>
    <m/>
    <m/>
    <m/>
    <m/>
    <n v="13.797889999999999"/>
    <s v="Estatal"/>
  </r>
  <r>
    <x v="0"/>
    <s v="Nuevo León"/>
    <s v="19"/>
    <m/>
    <m/>
    <s v="19013"/>
    <s v="China"/>
    <x v="4"/>
    <s v="Emisiones Ganaderas"/>
    <m/>
    <m/>
    <m/>
    <m/>
    <m/>
    <m/>
    <n v="122.66754"/>
    <s v="Estatal"/>
  </r>
  <r>
    <x v="0"/>
    <s v="Nuevo León"/>
    <s v="19"/>
    <m/>
    <m/>
    <s v="19014"/>
    <s v="Doctor Arroyo"/>
    <x v="4"/>
    <s v="Emisiones Ganaderas"/>
    <m/>
    <m/>
    <m/>
    <m/>
    <m/>
    <m/>
    <n v="531.22686999999985"/>
    <s v="Estatal"/>
  </r>
  <r>
    <x v="0"/>
    <s v="Nuevo León"/>
    <s v="19"/>
    <m/>
    <m/>
    <s v="19015"/>
    <s v="Doctor Coss"/>
    <x v="4"/>
    <s v="Emisiones Ganaderas"/>
    <m/>
    <m/>
    <m/>
    <m/>
    <m/>
    <m/>
    <n v="22.631549999999997"/>
    <s v="Estatal"/>
  </r>
  <r>
    <x v="0"/>
    <s v="Nuevo León"/>
    <s v="19"/>
    <m/>
    <m/>
    <s v="19016"/>
    <s v="Doctor González"/>
    <x v="4"/>
    <s v="Emisiones Ganaderas"/>
    <m/>
    <m/>
    <m/>
    <m/>
    <m/>
    <m/>
    <n v="882.37597999999991"/>
    <s v="Estatal"/>
  </r>
  <r>
    <x v="0"/>
    <s v="Nuevo León"/>
    <s v="19"/>
    <m/>
    <m/>
    <s v="19017"/>
    <s v="Galeana"/>
    <x v="4"/>
    <s v="Emisiones Ganaderas"/>
    <m/>
    <m/>
    <m/>
    <m/>
    <m/>
    <m/>
    <n v="236.39621"/>
    <s v="Estatal"/>
  </r>
  <r>
    <x v="0"/>
    <s v="Nuevo León"/>
    <s v="19"/>
    <s v="19.01"/>
    <s v="Monterrey"/>
    <s v="19018"/>
    <s v="García"/>
    <x v="4"/>
    <s v="Emisiones Ganaderas"/>
    <m/>
    <m/>
    <m/>
    <m/>
    <m/>
    <m/>
    <n v="84.974240000000009"/>
    <s v="Estatal"/>
  </r>
  <r>
    <x v="0"/>
    <s v="Nuevo León"/>
    <s v="19"/>
    <s v="19.01"/>
    <s v="Monterrey"/>
    <s v="19019"/>
    <s v="San Pedro Garza García"/>
    <x v="4"/>
    <s v="Emisiones Ganaderas"/>
    <m/>
    <m/>
    <m/>
    <m/>
    <m/>
    <m/>
    <n v="3.6599999999999994E-2"/>
    <s v="Estatal"/>
  </r>
  <r>
    <x v="0"/>
    <s v="Nuevo León"/>
    <s v="19"/>
    <m/>
    <m/>
    <s v="19020"/>
    <s v="General Bravo"/>
    <x v="4"/>
    <s v="Emisiones Ganaderas"/>
    <m/>
    <m/>
    <m/>
    <m/>
    <m/>
    <m/>
    <n v="78.844750000000005"/>
    <s v="Estatal"/>
  </r>
  <r>
    <x v="0"/>
    <s v="Nuevo León"/>
    <s v="19"/>
    <s v="19.01"/>
    <s v="Monterrey"/>
    <s v="19021"/>
    <s v="General Escobedo"/>
    <x v="4"/>
    <s v="Emisiones Ganaderas"/>
    <m/>
    <m/>
    <m/>
    <m/>
    <m/>
    <m/>
    <n v="18.009279999999997"/>
    <s v="Estatal"/>
  </r>
  <r>
    <x v="0"/>
    <s v="Nuevo León"/>
    <s v="19"/>
    <m/>
    <m/>
    <s v="19022"/>
    <s v="General Terán"/>
    <x v="4"/>
    <s v="Emisiones Ganaderas"/>
    <m/>
    <m/>
    <m/>
    <m/>
    <m/>
    <m/>
    <n v="303.27085999999997"/>
    <s v="Estatal"/>
  </r>
  <r>
    <x v="0"/>
    <s v="Nuevo León"/>
    <s v="19"/>
    <m/>
    <m/>
    <s v="19023"/>
    <s v="General Treviño"/>
    <x v="4"/>
    <s v="Emisiones Ganaderas"/>
    <m/>
    <m/>
    <m/>
    <m/>
    <m/>
    <m/>
    <n v="22.79176"/>
    <s v="Estatal"/>
  </r>
  <r>
    <x v="0"/>
    <s v="Nuevo León"/>
    <s v="19"/>
    <m/>
    <m/>
    <s v="19024"/>
    <s v="General Zaragoza"/>
    <x v="4"/>
    <s v="Emisiones Ganaderas"/>
    <m/>
    <m/>
    <m/>
    <m/>
    <m/>
    <m/>
    <n v="113.83669999999999"/>
    <s v="Estatal"/>
  </r>
  <r>
    <x v="0"/>
    <s v="Nuevo León"/>
    <s v="19"/>
    <s v="19.01"/>
    <s v="Monterrey"/>
    <s v="19025"/>
    <s v="General Zuazua"/>
    <x v="4"/>
    <s v="Emisiones Ganaderas"/>
    <m/>
    <m/>
    <m/>
    <m/>
    <m/>
    <m/>
    <n v="104.22672000000001"/>
    <s v="Estatal"/>
  </r>
  <r>
    <x v="0"/>
    <s v="Nuevo León"/>
    <s v="19"/>
    <s v="19.01"/>
    <s v="Monterrey"/>
    <s v="19026"/>
    <s v="Guadalupe"/>
    <x v="4"/>
    <s v="Emisiones Ganaderas"/>
    <m/>
    <m/>
    <m/>
    <m/>
    <m/>
    <m/>
    <n v="0.62219999999999998"/>
    <s v="Estatal"/>
  </r>
  <r>
    <x v="0"/>
    <s v="Nuevo León"/>
    <s v="19"/>
    <m/>
    <m/>
    <s v="19027"/>
    <s v="Los Herreras"/>
    <x v="4"/>
    <s v="Emisiones Ganaderas"/>
    <m/>
    <m/>
    <m/>
    <m/>
    <m/>
    <m/>
    <n v="31.964129999999997"/>
    <s v="Estatal"/>
  </r>
  <r>
    <x v="0"/>
    <s v="Nuevo León"/>
    <s v="19"/>
    <m/>
    <m/>
    <s v="19028"/>
    <s v="Higueras"/>
    <x v="4"/>
    <s v="Emisiones Ganaderas"/>
    <m/>
    <m/>
    <m/>
    <m/>
    <m/>
    <m/>
    <n v="147.81598"/>
    <s v="Estatal"/>
  </r>
  <r>
    <x v="0"/>
    <s v="Nuevo León"/>
    <s v="19"/>
    <m/>
    <m/>
    <s v="19029"/>
    <s v="Hualahuises"/>
    <x v="4"/>
    <s v="Emisiones Ganaderas"/>
    <m/>
    <m/>
    <m/>
    <m/>
    <m/>
    <m/>
    <n v="196.11323000000002"/>
    <s v="Estatal"/>
  </r>
  <r>
    <x v="0"/>
    <s v="Nuevo León"/>
    <s v="19"/>
    <m/>
    <m/>
    <s v="19030"/>
    <s v="Iturbide"/>
    <x v="4"/>
    <s v="Emisiones Ganaderas"/>
    <m/>
    <m/>
    <m/>
    <m/>
    <m/>
    <m/>
    <n v="107.88975000000001"/>
    <s v="Estatal"/>
  </r>
  <r>
    <x v="0"/>
    <s v="Nuevo León"/>
    <s v="19"/>
    <s v="19.01"/>
    <s v="Monterrey"/>
    <s v="19031"/>
    <s v="Juárez"/>
    <x v="4"/>
    <s v="Emisiones Ganaderas"/>
    <m/>
    <m/>
    <m/>
    <m/>
    <m/>
    <m/>
    <n v="274.44958000000003"/>
    <s v="Estatal"/>
  </r>
  <r>
    <x v="0"/>
    <s v="Nuevo León"/>
    <s v="19"/>
    <m/>
    <m/>
    <s v="19032"/>
    <s v="Lampazos de Naranjo"/>
    <x v="4"/>
    <s v="Emisiones Ganaderas"/>
    <m/>
    <m/>
    <m/>
    <m/>
    <m/>
    <m/>
    <n v="86.067759999999993"/>
    <s v="Estatal"/>
  </r>
  <r>
    <x v="0"/>
    <s v="Nuevo León"/>
    <s v="19"/>
    <m/>
    <m/>
    <s v="19033"/>
    <s v="Linares"/>
    <x v="4"/>
    <s v="Emisiones Ganaderas"/>
    <m/>
    <m/>
    <m/>
    <m/>
    <m/>
    <m/>
    <n v="457.89060999999992"/>
    <s v="Estatal"/>
  </r>
  <r>
    <x v="0"/>
    <s v="Nuevo León"/>
    <s v="19"/>
    <m/>
    <m/>
    <s v="19034"/>
    <s v="Marín"/>
    <x v="4"/>
    <s v="Emisiones Ganaderas"/>
    <m/>
    <m/>
    <m/>
    <m/>
    <m/>
    <m/>
    <n v="1164.25467"/>
    <s v="Estatal"/>
  </r>
  <r>
    <x v="0"/>
    <s v="Nuevo León"/>
    <s v="19"/>
    <m/>
    <m/>
    <s v="19035"/>
    <s v="Melchor Ocampo"/>
    <x v="4"/>
    <s v="Emisiones Ganaderas"/>
    <m/>
    <m/>
    <m/>
    <m/>
    <m/>
    <m/>
    <n v="27.229290000000002"/>
    <s v="Estatal"/>
  </r>
  <r>
    <x v="0"/>
    <s v="Nuevo León"/>
    <s v="19"/>
    <m/>
    <m/>
    <s v="19036"/>
    <s v="Mier y Noriega"/>
    <x v="4"/>
    <s v="Emisiones Ganaderas"/>
    <m/>
    <m/>
    <m/>
    <m/>
    <m/>
    <m/>
    <n v="139.59030000000001"/>
    <s v="Estatal"/>
  </r>
  <r>
    <x v="0"/>
    <s v="Nuevo León"/>
    <s v="19"/>
    <m/>
    <m/>
    <s v="19037"/>
    <s v="Mina"/>
    <x v="4"/>
    <s v="Emisiones Ganaderas"/>
    <m/>
    <m/>
    <m/>
    <m/>
    <m/>
    <m/>
    <n v="117.93185"/>
    <s v="Estatal"/>
  </r>
  <r>
    <x v="0"/>
    <s v="Nuevo León"/>
    <s v="19"/>
    <m/>
    <m/>
    <s v="19038"/>
    <s v="Montemorelos"/>
    <x v="4"/>
    <s v="Emisiones Ganaderas"/>
    <m/>
    <m/>
    <m/>
    <m/>
    <m/>
    <m/>
    <n v="1403.0214699999999"/>
    <s v="Estatal"/>
  </r>
  <r>
    <x v="0"/>
    <s v="Nuevo León"/>
    <s v="19"/>
    <s v="19.01"/>
    <s v="Monterrey"/>
    <s v="19039"/>
    <s v="Monterrey"/>
    <x v="4"/>
    <s v="Emisiones Ganaderas"/>
    <m/>
    <m/>
    <m/>
    <m/>
    <m/>
    <m/>
    <n v="8.539999999999999E-2"/>
    <s v="Estatal"/>
  </r>
  <r>
    <x v="0"/>
    <s v="Nuevo León"/>
    <s v="19"/>
    <m/>
    <m/>
    <s v="19040"/>
    <s v="Parás"/>
    <x v="4"/>
    <s v="Emisiones Ganaderas"/>
    <m/>
    <m/>
    <m/>
    <m/>
    <m/>
    <m/>
    <n v="30.25723"/>
    <s v="Estatal"/>
  </r>
  <r>
    <x v="0"/>
    <s v="Nuevo León"/>
    <s v="19"/>
    <s v="19.01"/>
    <s v="Monterrey"/>
    <s v="19041"/>
    <s v="Pesquería"/>
    <x v="4"/>
    <s v="Emisiones Ganaderas"/>
    <m/>
    <m/>
    <m/>
    <m/>
    <m/>
    <m/>
    <n v="1880.1489300000001"/>
    <s v="Estatal"/>
  </r>
  <r>
    <x v="0"/>
    <s v="Nuevo León"/>
    <s v="19"/>
    <m/>
    <m/>
    <s v="19042"/>
    <s v="Los Ramones"/>
    <x v="4"/>
    <s v="Emisiones Ganaderas"/>
    <m/>
    <m/>
    <m/>
    <m/>
    <m/>
    <m/>
    <n v="102.37404000000001"/>
    <s v="Estatal"/>
  </r>
  <r>
    <x v="0"/>
    <s v="Nuevo León"/>
    <s v="19"/>
    <m/>
    <m/>
    <s v="19043"/>
    <s v="Rayones"/>
    <x v="4"/>
    <s v="Emisiones Ganaderas"/>
    <m/>
    <m/>
    <m/>
    <m/>
    <m/>
    <m/>
    <n v="101.51079999999999"/>
    <s v="Estatal"/>
  </r>
  <r>
    <x v="0"/>
    <s v="Nuevo León"/>
    <s v="19"/>
    <m/>
    <m/>
    <s v="19044"/>
    <s v="Sabinas Hidalgo"/>
    <x v="4"/>
    <s v="Emisiones Ganaderas"/>
    <m/>
    <m/>
    <m/>
    <m/>
    <m/>
    <m/>
    <n v="67.362939999999995"/>
    <s v="Estatal"/>
  </r>
  <r>
    <x v="0"/>
    <s v="Nuevo León"/>
    <s v="19"/>
    <s v="19.01"/>
    <s v="Monterrey"/>
    <s v="19045"/>
    <s v="Salinas Victoria"/>
    <x v="4"/>
    <s v="Emisiones Ganaderas"/>
    <m/>
    <m/>
    <m/>
    <m/>
    <m/>
    <m/>
    <n v="1562.1987799999997"/>
    <s v="Estatal"/>
  </r>
  <r>
    <x v="0"/>
    <s v="Nuevo León"/>
    <s v="19"/>
    <s v="19.01"/>
    <s v="Monterrey"/>
    <s v="19046"/>
    <s v="San Nicolás de los Garza"/>
    <x v="4"/>
    <s v="Emisiones Ganaderas"/>
    <m/>
    <m/>
    <m/>
    <m/>
    <m/>
    <m/>
    <n v="0"/>
    <s v="Estatal"/>
  </r>
  <r>
    <x v="0"/>
    <s v="Nuevo León"/>
    <s v="19"/>
    <s v="19.01"/>
    <s v="Monterrey"/>
    <s v="19047"/>
    <s v="Hidalgo"/>
    <x v="4"/>
    <s v="Emisiones Ganaderas"/>
    <m/>
    <m/>
    <m/>
    <m/>
    <m/>
    <m/>
    <n v="88.180669999999992"/>
    <s v="Estatal"/>
  </r>
  <r>
    <x v="0"/>
    <s v="Nuevo León"/>
    <s v="19"/>
    <s v="19.01"/>
    <s v="Monterrey"/>
    <s v="19048"/>
    <s v="Santa Catarina"/>
    <x v="4"/>
    <s v="Emisiones Ganaderas"/>
    <m/>
    <m/>
    <m/>
    <m/>
    <m/>
    <m/>
    <n v="23.773870000000002"/>
    <s v="Estatal"/>
  </r>
  <r>
    <x v="0"/>
    <s v="Nuevo León"/>
    <s v="19"/>
    <s v="19.01"/>
    <s v="Monterrey"/>
    <s v="19049"/>
    <s v="Santiago"/>
    <x v="4"/>
    <s v="Emisiones Ganaderas"/>
    <m/>
    <m/>
    <m/>
    <m/>
    <m/>
    <m/>
    <n v="14.09097"/>
    <s v="Estatal"/>
  </r>
  <r>
    <x v="0"/>
    <s v="Nuevo León"/>
    <s v="19"/>
    <m/>
    <m/>
    <s v="19050"/>
    <s v="Vallecillo"/>
    <x v="4"/>
    <s v="Emisiones Ganaderas"/>
    <m/>
    <m/>
    <m/>
    <m/>
    <m/>
    <m/>
    <n v="81.02306999999999"/>
    <s v="Estatal"/>
  </r>
  <r>
    <x v="0"/>
    <s v="Nuevo León"/>
    <s v="19"/>
    <m/>
    <m/>
    <s v="19051"/>
    <s v="Villaldama"/>
    <x v="4"/>
    <s v="Emisiones Ganaderas"/>
    <m/>
    <m/>
    <m/>
    <m/>
    <m/>
    <m/>
    <n v="34.976770000000002"/>
    <s v="Estatal"/>
  </r>
  <r>
    <x v="0"/>
    <s v="Nuevo León"/>
    <s v="19"/>
    <s v="19.01"/>
    <s v="Monterrey"/>
    <s v="19001"/>
    <s v="Abasolo"/>
    <x v="4"/>
    <s v="Corrales de engorda"/>
    <n v="0"/>
    <n v="0"/>
    <m/>
    <m/>
    <m/>
    <m/>
    <m/>
    <s v="Estatal"/>
  </r>
  <r>
    <x v="0"/>
    <s v="Nuevo León"/>
    <s v="19"/>
    <m/>
    <m/>
    <s v="19002"/>
    <s v="Agualeguas"/>
    <x v="4"/>
    <s v="Corrales de engorda"/>
    <n v="4.0419467999999998"/>
    <n v="0.46159032455999999"/>
    <m/>
    <m/>
    <m/>
    <m/>
    <m/>
    <s v="Estatal"/>
  </r>
  <r>
    <x v="0"/>
    <s v="Nuevo León"/>
    <s v="19"/>
    <m/>
    <m/>
    <s v="19003"/>
    <s v="Los Aldamas"/>
    <x v="4"/>
    <s v="Corrales de engorda"/>
    <n v="1.3421376"/>
    <n v="0.15327211392000001"/>
    <m/>
    <m/>
    <m/>
    <m/>
    <m/>
    <s v="Estatal"/>
  </r>
  <r>
    <x v="0"/>
    <s v="Nuevo León"/>
    <s v="19"/>
    <m/>
    <m/>
    <s v="19004"/>
    <s v="Allende"/>
    <x v="4"/>
    <s v="Corrales de engorda"/>
    <n v="0.49915920000000008"/>
    <n v="5.700398064E-2"/>
    <m/>
    <m/>
    <m/>
    <m/>
    <m/>
    <s v="Estatal"/>
  </r>
  <r>
    <x v="0"/>
    <s v="Nuevo León"/>
    <s v="19"/>
    <m/>
    <m/>
    <s v="19005"/>
    <s v="Anáhuac"/>
    <x v="4"/>
    <s v="Corrales de engorda"/>
    <n v="6.0841500000000002"/>
    <n v="0.69480993000000002"/>
    <m/>
    <m/>
    <m/>
    <m/>
    <m/>
    <s v="Estatal"/>
  </r>
  <r>
    <x v="0"/>
    <s v="Nuevo León"/>
    <s v="19"/>
    <s v="19.01"/>
    <s v="Monterrey"/>
    <s v="19006"/>
    <s v="Apodaca"/>
    <x v="4"/>
    <s v="Corrales de engorda"/>
    <n v="3.5023992000000002"/>
    <n v="0.39997398864"/>
    <m/>
    <m/>
    <m/>
    <m/>
    <m/>
    <s v="Estatal"/>
  </r>
  <r>
    <x v="0"/>
    <s v="Nuevo León"/>
    <s v="19"/>
    <m/>
    <m/>
    <s v="19007"/>
    <s v="Aramberri"/>
    <x v="4"/>
    <s v="Corrales de engorda"/>
    <n v="1.0625256000000001"/>
    <n v="0.12134042352"/>
    <m/>
    <m/>
    <m/>
    <m/>
    <m/>
    <s v="Estatal"/>
  </r>
  <r>
    <x v="0"/>
    <s v="Nuevo León"/>
    <s v="19"/>
    <m/>
    <m/>
    <s v="19008"/>
    <s v="Bustamante"/>
    <x v="4"/>
    <s v="Corrales de engorda"/>
    <n v="0.60789720000000003"/>
    <n v="6.9421860239999994E-2"/>
    <m/>
    <m/>
    <m/>
    <m/>
    <m/>
    <s v="Estatal"/>
  </r>
  <r>
    <x v="0"/>
    <s v="Nuevo León"/>
    <s v="19"/>
    <s v="19.01"/>
    <s v="Monterrey"/>
    <s v="19009"/>
    <s v="Cadereyta Jiménez"/>
    <x v="4"/>
    <s v="Corrales de engorda"/>
    <n v="6.3782604000000003"/>
    <n v="0.72839733767999992"/>
    <m/>
    <m/>
    <m/>
    <m/>
    <m/>
    <s v="Estatal"/>
  </r>
  <r>
    <x v="0"/>
    <s v="Nuevo León"/>
    <s v="19"/>
    <s v="19.01"/>
    <s v="Monterrey"/>
    <s v="19010"/>
    <s v="El Carmen"/>
    <x v="4"/>
    <s v="Corrales de engorda"/>
    <n v="5.8273212000000001"/>
    <n v="0.66548008104"/>
    <m/>
    <m/>
    <m/>
    <m/>
    <m/>
    <s v="Estatal"/>
  </r>
  <r>
    <x v="0"/>
    <s v="Nuevo León"/>
    <s v="19"/>
    <m/>
    <m/>
    <s v="19011"/>
    <s v="Cerralvo"/>
    <x v="4"/>
    <s v="Corrales de engorda"/>
    <n v="15.633417600000001"/>
    <n v="1.7853362899199998"/>
    <m/>
    <m/>
    <m/>
    <m/>
    <m/>
    <s v="Estatal"/>
  </r>
  <r>
    <x v="0"/>
    <s v="Nuevo León"/>
    <s v="19"/>
    <s v="19.01"/>
    <s v="Monterrey"/>
    <s v="19012"/>
    <s v="Ciénega de Flores"/>
    <x v="4"/>
    <s v="Corrales de engorda"/>
    <n v="1.4943708000000002"/>
    <n v="0.17065714535999998"/>
    <m/>
    <m/>
    <m/>
    <m/>
    <m/>
    <s v="Estatal"/>
  </r>
  <r>
    <x v="0"/>
    <s v="Nuevo León"/>
    <s v="19"/>
    <m/>
    <m/>
    <s v="19013"/>
    <s v="China"/>
    <x v="4"/>
    <s v="Corrales de engorda"/>
    <n v="8.7363216000000019"/>
    <n v="0.99768792671999995"/>
    <m/>
    <m/>
    <m/>
    <m/>
    <m/>
    <s v="Estatal"/>
  </r>
  <r>
    <x v="0"/>
    <s v="Nuevo León"/>
    <s v="19"/>
    <m/>
    <m/>
    <s v="19014"/>
    <s v="Doctor Arroyo"/>
    <x v="4"/>
    <s v="Corrales de engorda"/>
    <n v="2.3912004000000002"/>
    <n v="0.27307508568"/>
    <m/>
    <m/>
    <m/>
    <m/>
    <m/>
    <s v="Estatal"/>
  </r>
  <r>
    <x v="0"/>
    <s v="Nuevo León"/>
    <s v="19"/>
    <m/>
    <m/>
    <s v="19015"/>
    <s v="Doctor Coss"/>
    <x v="4"/>
    <s v="Corrales de engorda"/>
    <n v="3.4309428000000004"/>
    <n v="0.39181366775999998"/>
    <m/>
    <m/>
    <m/>
    <m/>
    <m/>
    <s v="Estatal"/>
  </r>
  <r>
    <x v="0"/>
    <s v="Nuevo León"/>
    <s v="19"/>
    <m/>
    <m/>
    <s v="19016"/>
    <s v="Doctor González"/>
    <x v="4"/>
    <s v="Corrales de engorda"/>
    <n v="1.2561827999999999"/>
    <n v="0.14345607576"/>
    <m/>
    <m/>
    <m/>
    <m/>
    <m/>
    <s v="Estatal"/>
  </r>
  <r>
    <x v="0"/>
    <s v="Nuevo León"/>
    <s v="19"/>
    <m/>
    <m/>
    <s v="19017"/>
    <s v="Galeana"/>
    <x v="4"/>
    <s v="Corrales de engorda"/>
    <n v="2.0132064000000001"/>
    <n v="0.22990817088000001"/>
    <m/>
    <m/>
    <m/>
    <m/>
    <m/>
    <s v="Estatal"/>
  </r>
  <r>
    <x v="0"/>
    <s v="Nuevo León"/>
    <s v="19"/>
    <s v="19.01"/>
    <s v="Monterrey"/>
    <s v="19018"/>
    <s v="García"/>
    <x v="4"/>
    <s v="Corrales de engorda"/>
    <n v="0.32207160000000007"/>
    <n v="3.6780576719999999E-2"/>
    <m/>
    <m/>
    <m/>
    <m/>
    <m/>
    <s v="Estatal"/>
  </r>
  <r>
    <x v="0"/>
    <s v="Nuevo León"/>
    <s v="19"/>
    <s v="19.01"/>
    <s v="Monterrey"/>
    <s v="19019"/>
    <s v="San Pedro Garza García"/>
    <x v="4"/>
    <s v="Corrales de engorda"/>
    <n v="0"/>
    <n v="0"/>
    <m/>
    <m/>
    <m/>
    <m/>
    <m/>
    <s v="Estatal"/>
  </r>
  <r>
    <x v="0"/>
    <s v="Nuevo León"/>
    <s v="19"/>
    <m/>
    <m/>
    <s v="19020"/>
    <s v="General Bravo"/>
    <x v="4"/>
    <s v="Corrales de engorda"/>
    <n v="7.6882944000000011"/>
    <n v="0.87800322048000001"/>
    <m/>
    <m/>
    <m/>
    <m/>
    <m/>
    <s v="Estatal"/>
  </r>
  <r>
    <x v="0"/>
    <s v="Nuevo León"/>
    <s v="19"/>
    <s v="19.01"/>
    <s v="Monterrey"/>
    <s v="19021"/>
    <s v="General Escobedo"/>
    <x v="4"/>
    <s v="Corrales de engorda"/>
    <n v="0"/>
    <n v="0"/>
    <m/>
    <m/>
    <m/>
    <m/>
    <m/>
    <s v="Estatal"/>
  </r>
  <r>
    <x v="0"/>
    <s v="Nuevo León"/>
    <s v="19"/>
    <m/>
    <m/>
    <s v="19022"/>
    <s v="General Terán"/>
    <x v="4"/>
    <s v="Corrales de engorda"/>
    <n v="12.368170800000001"/>
    <n v="1.41244510536"/>
    <m/>
    <m/>
    <m/>
    <m/>
    <m/>
    <s v="Estatal"/>
  </r>
  <r>
    <x v="0"/>
    <s v="Nuevo León"/>
    <s v="19"/>
    <m/>
    <m/>
    <s v="19023"/>
    <s v="General Treviño"/>
    <x v="4"/>
    <s v="Corrales de engorda"/>
    <n v="1.0967004000000002"/>
    <n v="0.12524318568000001"/>
    <m/>
    <m/>
    <m/>
    <m/>
    <m/>
    <s v="Estatal"/>
  </r>
  <r>
    <x v="0"/>
    <s v="Nuevo León"/>
    <s v="19"/>
    <m/>
    <m/>
    <s v="19024"/>
    <s v="General Zaragoza"/>
    <x v="4"/>
    <s v="Corrales de engorda"/>
    <n v="0.67003320000000011"/>
    <n v="7.6517791439999996E-2"/>
    <m/>
    <m/>
    <m/>
    <m/>
    <m/>
    <s v="Estatal"/>
  </r>
  <r>
    <x v="0"/>
    <s v="Nuevo León"/>
    <s v="19"/>
    <s v="19.01"/>
    <s v="Monterrey"/>
    <s v="19025"/>
    <s v="General Zuazua"/>
    <x v="4"/>
    <s v="Corrales de engorda"/>
    <n v="2.4502296000000001"/>
    <n v="0.27981622032000003"/>
    <m/>
    <m/>
    <m/>
    <m/>
    <m/>
    <s v="Estatal"/>
  </r>
  <r>
    <x v="0"/>
    <s v="Nuevo León"/>
    <s v="19"/>
    <s v="19.01"/>
    <s v="Monterrey"/>
    <s v="19026"/>
    <s v="Guadalupe"/>
    <x v="4"/>
    <s v="Corrales de engorda"/>
    <n v="0"/>
    <n v="0"/>
    <m/>
    <m/>
    <m/>
    <m/>
    <m/>
    <s v="Estatal"/>
  </r>
  <r>
    <x v="0"/>
    <s v="Nuevo León"/>
    <s v="19"/>
    <m/>
    <m/>
    <s v="19027"/>
    <s v="Los Herreras"/>
    <x v="4"/>
    <s v="Corrales de engorda"/>
    <n v="0.86161920000000014"/>
    <n v="9.839691264E-2"/>
    <m/>
    <m/>
    <m/>
    <m/>
    <m/>
    <s v="Estatal"/>
  </r>
  <r>
    <x v="0"/>
    <s v="Nuevo León"/>
    <s v="19"/>
    <m/>
    <m/>
    <s v="19028"/>
    <s v="Higueras"/>
    <x v="4"/>
    <s v="Corrales de engorda"/>
    <n v="0.61307520000000004"/>
    <n v="7.0013187840000005E-2"/>
    <m/>
    <m/>
    <m/>
    <m/>
    <m/>
    <s v="Estatal"/>
  </r>
  <r>
    <x v="0"/>
    <s v="Nuevo León"/>
    <s v="19"/>
    <m/>
    <m/>
    <s v="19029"/>
    <s v="Hualahuises"/>
    <x v="4"/>
    <s v="Corrales de engorda"/>
    <n v="0.10356"/>
    <n v="1.1826551999999999E-2"/>
    <m/>
    <m/>
    <m/>
    <m/>
    <m/>
    <s v="Estatal"/>
  </r>
  <r>
    <x v="0"/>
    <s v="Nuevo León"/>
    <s v="19"/>
    <m/>
    <m/>
    <s v="19030"/>
    <s v="Iturbide"/>
    <x v="4"/>
    <s v="Corrales de engorda"/>
    <n v="0"/>
    <n v="0"/>
    <m/>
    <m/>
    <m/>
    <m/>
    <m/>
    <s v="Estatal"/>
  </r>
  <r>
    <x v="0"/>
    <s v="Nuevo León"/>
    <s v="19"/>
    <s v="19.01"/>
    <s v="Monterrey"/>
    <s v="19031"/>
    <s v="Juárez"/>
    <x v="4"/>
    <s v="Corrales de engorda"/>
    <n v="0.43805880000000003"/>
    <n v="5.0026314959999998E-2"/>
    <m/>
    <m/>
    <m/>
    <m/>
    <m/>
    <s v="Estatal"/>
  </r>
  <r>
    <x v="0"/>
    <s v="Nuevo León"/>
    <s v="19"/>
    <m/>
    <m/>
    <s v="19032"/>
    <s v="Lampazos de Naranjo"/>
    <x v="4"/>
    <s v="Corrales de engorda"/>
    <n v="3.9725616000000006"/>
    <n v="0.45366653472000001"/>
    <m/>
    <m/>
    <m/>
    <m/>
    <m/>
    <s v="Estatal"/>
  </r>
  <r>
    <x v="0"/>
    <s v="Nuevo León"/>
    <s v="19"/>
    <m/>
    <m/>
    <s v="19033"/>
    <s v="Linares"/>
    <x v="4"/>
    <s v="Corrales de engorda"/>
    <n v="1.3069272000000001"/>
    <n v="0.14925108624"/>
    <m/>
    <m/>
    <m/>
    <m/>
    <m/>
    <s v="Estatal"/>
  </r>
  <r>
    <x v="0"/>
    <s v="Nuevo León"/>
    <s v="19"/>
    <m/>
    <m/>
    <s v="19034"/>
    <s v="Marín"/>
    <x v="4"/>
    <s v="Corrales de engorda"/>
    <n v="0.12841440000000001"/>
    <n v="1.4664924479999999E-2"/>
    <m/>
    <m/>
    <m/>
    <m/>
    <m/>
    <s v="Estatal"/>
  </r>
  <r>
    <x v="0"/>
    <s v="Nuevo León"/>
    <s v="19"/>
    <m/>
    <m/>
    <s v="19035"/>
    <s v="Melchor Ocampo"/>
    <x v="4"/>
    <s v="Corrales de engorda"/>
    <n v="0.57786480000000007"/>
    <n v="6.5992160159999994E-2"/>
    <m/>
    <m/>
    <m/>
    <m/>
    <m/>
    <s v="Estatal"/>
  </r>
  <r>
    <x v="0"/>
    <s v="Nuevo León"/>
    <s v="19"/>
    <m/>
    <m/>
    <s v="19036"/>
    <s v="Mier y Noriega"/>
    <x v="4"/>
    <s v="Corrales de engorda"/>
    <n v="0.91754160000000007"/>
    <n v="0.10478325072"/>
    <m/>
    <m/>
    <m/>
    <m/>
    <m/>
    <s v="Estatal"/>
  </r>
  <r>
    <x v="0"/>
    <s v="Nuevo León"/>
    <s v="19"/>
    <m/>
    <m/>
    <s v="19037"/>
    <s v="Mina"/>
    <x v="4"/>
    <s v="Corrales de engorda"/>
    <n v="1.3990956000000001"/>
    <n v="0.15977671752"/>
    <m/>
    <m/>
    <m/>
    <m/>
    <m/>
    <s v="Estatal"/>
  </r>
  <r>
    <x v="0"/>
    <s v="Nuevo León"/>
    <s v="19"/>
    <m/>
    <m/>
    <s v="19038"/>
    <s v="Montemorelos"/>
    <x v="4"/>
    <s v="Corrales de engorda"/>
    <n v="88.746777600000001"/>
    <n v="10.134882001919999"/>
    <m/>
    <m/>
    <m/>
    <m/>
    <m/>
    <s v="Estatal"/>
  </r>
  <r>
    <x v="0"/>
    <s v="Nuevo León"/>
    <s v="19"/>
    <s v="19.01"/>
    <s v="Monterrey"/>
    <s v="19039"/>
    <s v="Monterrey"/>
    <x v="4"/>
    <s v="Corrales de engorda"/>
    <n v="0"/>
    <n v="0"/>
    <m/>
    <m/>
    <m/>
    <m/>
    <m/>
    <s v="Estatal"/>
  </r>
  <r>
    <x v="0"/>
    <s v="Nuevo León"/>
    <s v="19"/>
    <m/>
    <m/>
    <s v="19040"/>
    <s v="Parás"/>
    <x v="4"/>
    <s v="Corrales de engorda"/>
    <n v="0.59857680000000002"/>
    <n v="6.8357470559999994E-2"/>
    <m/>
    <m/>
    <m/>
    <m/>
    <m/>
    <s v="Estatal"/>
  </r>
  <r>
    <x v="0"/>
    <s v="Nuevo León"/>
    <s v="19"/>
    <s v="19.01"/>
    <s v="Monterrey"/>
    <s v="19041"/>
    <s v="Pesquería"/>
    <x v="4"/>
    <s v="Corrales de engorda"/>
    <n v="2.0774136000000003"/>
    <n v="0.23724063311999999"/>
    <m/>
    <m/>
    <m/>
    <m/>
    <m/>
    <s v="Estatal"/>
  </r>
  <r>
    <x v="0"/>
    <s v="Nuevo León"/>
    <s v="19"/>
    <m/>
    <m/>
    <s v="19042"/>
    <s v="Los Ramones"/>
    <x v="4"/>
    <s v="Corrales de engorda"/>
    <n v="2.8737900000000005"/>
    <n v="0.32818681799999999"/>
    <m/>
    <m/>
    <m/>
    <m/>
    <m/>
    <s v="Estatal"/>
  </r>
  <r>
    <x v="0"/>
    <s v="Nuevo León"/>
    <s v="19"/>
    <m/>
    <m/>
    <s v="19043"/>
    <s v="Rayones"/>
    <x v="4"/>
    <s v="Corrales de engorda"/>
    <n v="4.9708800000000004E-2"/>
    <n v="5.6767449599999997E-3"/>
    <m/>
    <m/>
    <m/>
    <m/>
    <m/>
    <s v="Estatal"/>
  </r>
  <r>
    <x v="0"/>
    <s v="Nuevo León"/>
    <s v="19"/>
    <m/>
    <m/>
    <s v="19044"/>
    <s v="Sabinas Hidalgo"/>
    <x v="4"/>
    <s v="Corrales de engorda"/>
    <n v="5.5456380000000012"/>
    <n v="0.63331185960000003"/>
    <m/>
    <m/>
    <m/>
    <m/>
    <m/>
    <s v="Estatal"/>
  </r>
  <r>
    <x v="0"/>
    <s v="Nuevo León"/>
    <s v="19"/>
    <s v="19.01"/>
    <s v="Monterrey"/>
    <s v="19045"/>
    <s v="Salinas Victoria"/>
    <x v="4"/>
    <s v="Corrales de engorda"/>
    <n v="3.9062832000000003"/>
    <n v="0.44609754143999997"/>
    <m/>
    <m/>
    <m/>
    <m/>
    <m/>
    <s v="Estatal"/>
  </r>
  <r>
    <x v="0"/>
    <s v="Nuevo León"/>
    <s v="19"/>
    <s v="19.01"/>
    <s v="Monterrey"/>
    <s v="19046"/>
    <s v="San Nicolás de los Garza"/>
    <x v="4"/>
    <s v="Corrales de engorda"/>
    <n v="0"/>
    <n v="0"/>
    <m/>
    <m/>
    <m/>
    <m/>
    <m/>
    <s v="Estatal"/>
  </r>
  <r>
    <x v="0"/>
    <s v="Nuevo León"/>
    <s v="19"/>
    <s v="19.01"/>
    <s v="Monterrey"/>
    <s v="19047"/>
    <s v="Hidalgo"/>
    <x v="4"/>
    <s v="Corrales de engorda"/>
    <n v="5.0071260000000004"/>
    <n v="0.57181378919999992"/>
    <m/>
    <m/>
    <m/>
    <m/>
    <m/>
    <s v="Estatal"/>
  </r>
  <r>
    <x v="0"/>
    <s v="Nuevo León"/>
    <s v="19"/>
    <s v="19.01"/>
    <s v="Monterrey"/>
    <s v="19048"/>
    <s v="Santa Catarina"/>
    <x v="4"/>
    <s v="Corrales de engorda"/>
    <n v="0.19158600000000001"/>
    <n v="2.1879121200000001E-2"/>
    <m/>
    <m/>
    <m/>
    <m/>
    <m/>
    <s v="Estatal"/>
  </r>
  <r>
    <x v="0"/>
    <s v="Nuevo León"/>
    <s v="19"/>
    <s v="19.01"/>
    <s v="Monterrey"/>
    <s v="19049"/>
    <s v="Santiago"/>
    <x v="4"/>
    <s v="Corrales de engorda"/>
    <n v="0"/>
    <n v="0"/>
    <m/>
    <m/>
    <m/>
    <m/>
    <m/>
    <s v="Estatal"/>
  </r>
  <r>
    <x v="0"/>
    <s v="Nuevo León"/>
    <s v="19"/>
    <m/>
    <m/>
    <s v="19050"/>
    <s v="Vallecillo"/>
    <x v="4"/>
    <s v="Corrales de engorda"/>
    <n v="4.1382576000000002"/>
    <n v="0.47258901792000002"/>
    <m/>
    <m/>
    <m/>
    <m/>
    <m/>
    <s v="Estatal"/>
  </r>
  <r>
    <x v="0"/>
    <s v="Nuevo León"/>
    <s v="19"/>
    <m/>
    <m/>
    <s v="19051"/>
    <s v="Villaldama"/>
    <x v="4"/>
    <s v="Corrales de engorda"/>
    <n v="2.4823332000000002"/>
    <n v="0.28348245143999995"/>
    <m/>
    <m/>
    <m/>
    <m/>
    <m/>
    <s v="Estatal"/>
  </r>
  <r>
    <x v="0"/>
    <s v="Nuevo León"/>
    <s v="19"/>
    <s v="19.01"/>
    <s v="Monterrey"/>
    <s v="19001"/>
    <s v="Abasolo"/>
    <x v="4"/>
    <s v="Labranza"/>
    <n v="0.24191573333333333"/>
    <n v="5.3632718080000003E-2"/>
    <m/>
    <m/>
    <m/>
    <m/>
    <m/>
    <s v="Estatal"/>
  </r>
  <r>
    <x v="0"/>
    <s v="Nuevo León"/>
    <s v="19"/>
    <m/>
    <m/>
    <s v="19002"/>
    <s v="Agualeguas"/>
    <x v="4"/>
    <s v="Labranza"/>
    <n v="18.559545519347665"/>
    <n v="4.1146512416393781"/>
    <m/>
    <m/>
    <m/>
    <m/>
    <m/>
    <s v="Estatal"/>
  </r>
  <r>
    <x v="0"/>
    <s v="Nuevo León"/>
    <s v="19"/>
    <m/>
    <m/>
    <s v="19003"/>
    <s v="Los Aldamas"/>
    <x v="4"/>
    <s v="Labranza"/>
    <n v="0.67427958290091417"/>
    <n v="0.14948778352913267"/>
    <m/>
    <m/>
    <m/>
    <m/>
    <m/>
    <s v="Estatal"/>
  </r>
  <r>
    <x v="0"/>
    <s v="Nuevo León"/>
    <s v="19"/>
    <m/>
    <m/>
    <s v="19004"/>
    <s v="Allende"/>
    <x v="4"/>
    <s v="Labranza"/>
    <n v="6.3911639580924131"/>
    <n v="1.4169210495090883"/>
    <m/>
    <m/>
    <m/>
    <m/>
    <m/>
    <s v="Estatal"/>
  </r>
  <r>
    <x v="0"/>
    <s v="Nuevo León"/>
    <s v="19"/>
    <m/>
    <m/>
    <s v="19005"/>
    <s v="Anáhuac"/>
    <x v="4"/>
    <s v="Labranza"/>
    <n v="37.3677047354386"/>
    <n v="8.2844201398467376"/>
    <m/>
    <m/>
    <m/>
    <m/>
    <m/>
    <s v="Estatal"/>
  </r>
  <r>
    <x v="0"/>
    <s v="Nuevo León"/>
    <s v="19"/>
    <s v="19.01"/>
    <s v="Monterrey"/>
    <s v="19006"/>
    <s v="Apodaca"/>
    <x v="4"/>
    <s v="Labranza"/>
    <n v="0.38101727999999996"/>
    <n v="8.4471530975999992E-2"/>
    <m/>
    <m/>
    <m/>
    <m/>
    <m/>
    <s v="Estatal"/>
  </r>
  <r>
    <x v="0"/>
    <s v="Nuevo León"/>
    <s v="19"/>
    <m/>
    <m/>
    <s v="19007"/>
    <s v="Aramberri"/>
    <x v="4"/>
    <s v="Labranza"/>
    <n v="77.244801014084501"/>
    <n v="17.125172384822541"/>
    <m/>
    <m/>
    <m/>
    <m/>
    <m/>
    <s v="Estatal"/>
  </r>
  <r>
    <x v="0"/>
    <s v="Nuevo León"/>
    <s v="19"/>
    <m/>
    <m/>
    <s v="19008"/>
    <s v="Bustamante"/>
    <x v="4"/>
    <s v="Labranza"/>
    <n v="37.120391178848529"/>
    <n v="8.2295907243507198"/>
    <m/>
    <m/>
    <m/>
    <m/>
    <m/>
    <s v="Estatal"/>
  </r>
  <r>
    <x v="0"/>
    <s v="Nuevo León"/>
    <s v="19"/>
    <s v="19.01"/>
    <s v="Monterrey"/>
    <s v="19009"/>
    <s v="Cadereyta Jiménez"/>
    <x v="4"/>
    <s v="Labranza"/>
    <n v="146.92951344102795"/>
    <n v="32.574273129875891"/>
    <m/>
    <m/>
    <m/>
    <m/>
    <m/>
    <s v="Estatal"/>
  </r>
  <r>
    <x v="0"/>
    <s v="Nuevo León"/>
    <s v="19"/>
    <s v="19.01"/>
    <s v="Monterrey"/>
    <s v="19010"/>
    <s v="El Carmen"/>
    <x v="4"/>
    <s v="Labranza"/>
    <n v="12.207598719841856"/>
    <n v="2.7064246361889395"/>
    <m/>
    <m/>
    <m/>
    <m/>
    <m/>
    <s v="Estatal"/>
  </r>
  <r>
    <x v="0"/>
    <s v="Nuevo León"/>
    <s v="19"/>
    <m/>
    <m/>
    <s v="19011"/>
    <s v="Cerralvo"/>
    <x v="4"/>
    <s v="Labranza"/>
    <n v="38.77367629710897"/>
    <n v="8.5961240350690584"/>
    <m/>
    <m/>
    <m/>
    <m/>
    <m/>
    <s v="Estatal"/>
  </r>
  <r>
    <x v="0"/>
    <s v="Nuevo León"/>
    <s v="19"/>
    <s v="19.01"/>
    <s v="Monterrey"/>
    <s v="19012"/>
    <s v="Ciénega de Flores"/>
    <x v="4"/>
    <s v="Labranza"/>
    <n v="1.8748469333333333"/>
    <n v="0.41565356511999996"/>
    <m/>
    <m/>
    <m/>
    <m/>
    <m/>
    <s v="Estatal"/>
  </r>
  <r>
    <x v="0"/>
    <s v="Nuevo León"/>
    <s v="19"/>
    <m/>
    <m/>
    <s v="19013"/>
    <s v="China"/>
    <x v="4"/>
    <s v="Labranza"/>
    <n v="36.711810927600695"/>
    <n v="8.1390084826490749"/>
    <m/>
    <m/>
    <m/>
    <m/>
    <m/>
    <s v="Estatal"/>
  </r>
  <r>
    <x v="0"/>
    <s v="Nuevo León"/>
    <s v="19"/>
    <m/>
    <m/>
    <s v="19014"/>
    <s v="Doctor Arroyo"/>
    <x v="4"/>
    <s v="Labranza"/>
    <n v="232.78193493017045"/>
    <n v="51.607754974018796"/>
    <m/>
    <m/>
    <m/>
    <m/>
    <m/>
    <s v="Estatal"/>
  </r>
  <r>
    <x v="0"/>
    <s v="Nuevo León"/>
    <s v="19"/>
    <m/>
    <m/>
    <s v="19015"/>
    <s v="Doctor Coss"/>
    <x v="4"/>
    <s v="Labranza"/>
    <n v="4.8885269760316286"/>
    <n v="1.0837864305862122"/>
    <m/>
    <m/>
    <m/>
    <m/>
    <m/>
    <s v="Estatal"/>
  </r>
  <r>
    <x v="0"/>
    <s v="Nuevo León"/>
    <s v="19"/>
    <m/>
    <m/>
    <s v="19016"/>
    <s v="Doctor González"/>
    <x v="4"/>
    <s v="Labranza"/>
    <n v="10.381663955720287"/>
    <n v="2.3016148989831873"/>
    <m/>
    <m/>
    <m/>
    <m/>
    <m/>
    <s v="Estatal"/>
  </r>
  <r>
    <x v="0"/>
    <s v="Nuevo León"/>
    <s v="19"/>
    <m/>
    <m/>
    <s v="19017"/>
    <s v="Galeana"/>
    <x v="4"/>
    <s v="Labranza"/>
    <n v="187.15366868384481"/>
    <n v="41.491968347208392"/>
    <m/>
    <m/>
    <m/>
    <m/>
    <m/>
    <s v="Estatal"/>
  </r>
  <r>
    <x v="0"/>
    <s v="Nuevo León"/>
    <s v="19"/>
    <s v="19.01"/>
    <s v="Monterrey"/>
    <s v="19018"/>
    <s v="García"/>
    <x v="4"/>
    <s v="Labranza"/>
    <n v="12.121273896911292"/>
    <n v="2.6872864229452329"/>
    <m/>
    <m/>
    <m/>
    <m/>
    <m/>
    <s v="Estatal"/>
  </r>
  <r>
    <x v="0"/>
    <s v="Nuevo León"/>
    <s v="19"/>
    <s v="19.01"/>
    <s v="Monterrey"/>
    <s v="19019"/>
    <s v="San Pedro Garza García"/>
    <x v="4"/>
    <s v="Labranza"/>
    <n v="0"/>
    <n v="0"/>
    <m/>
    <m/>
    <m/>
    <m/>
    <m/>
    <s v="Estatal"/>
  </r>
  <r>
    <x v="0"/>
    <s v="Nuevo León"/>
    <s v="19"/>
    <m/>
    <m/>
    <s v="19020"/>
    <s v="General Bravo"/>
    <x v="4"/>
    <s v="Labranza"/>
    <n v="35.256156975758834"/>
    <n v="7.8162900015257337"/>
    <m/>
    <m/>
    <m/>
    <m/>
    <m/>
    <s v="Estatal"/>
  </r>
  <r>
    <x v="0"/>
    <s v="Nuevo León"/>
    <s v="19"/>
    <s v="19.01"/>
    <s v="Monterrey"/>
    <s v="19021"/>
    <s v="General Escobedo"/>
    <x v="4"/>
    <s v="Labranza"/>
    <n v="1.7362699259698544"/>
    <n v="0.38493104258751676"/>
    <m/>
    <m/>
    <m/>
    <m/>
    <m/>
    <s v="Estatal"/>
  </r>
  <r>
    <x v="0"/>
    <s v="Nuevo León"/>
    <s v="19"/>
    <m/>
    <m/>
    <s v="19022"/>
    <s v="General Terán"/>
    <x v="4"/>
    <s v="Labranza"/>
    <n v="195.94971533303681"/>
    <n v="43.442051889334266"/>
    <m/>
    <m/>
    <m/>
    <m/>
    <m/>
    <s v="Estatal"/>
  </r>
  <r>
    <x v="0"/>
    <s v="Nuevo León"/>
    <s v="19"/>
    <m/>
    <m/>
    <s v="19023"/>
    <s v="General Treviño"/>
    <x v="4"/>
    <s v="Labranza"/>
    <n v="11.51646214736842"/>
    <n v="2.5531996580715788"/>
    <m/>
    <m/>
    <m/>
    <m/>
    <m/>
    <s v="Estatal"/>
  </r>
  <r>
    <x v="0"/>
    <s v="Nuevo León"/>
    <s v="19"/>
    <m/>
    <m/>
    <s v="19024"/>
    <s v="General Zaragoza"/>
    <x v="4"/>
    <s v="Labranza"/>
    <n v="29.294914845366939"/>
    <n v="6.4946826212178488"/>
    <m/>
    <m/>
    <m/>
    <m/>
    <m/>
    <s v="Estatal"/>
  </r>
  <r>
    <x v="0"/>
    <s v="Nuevo León"/>
    <s v="19"/>
    <s v="19.01"/>
    <s v="Monterrey"/>
    <s v="19025"/>
    <s v="General Zuazua"/>
    <x v="4"/>
    <s v="Labranza"/>
    <n v="0.84174660111687671"/>
    <n v="0.18661522146761156"/>
    <m/>
    <m/>
    <m/>
    <m/>
    <m/>
    <s v="Estatal"/>
  </r>
  <r>
    <x v="0"/>
    <s v="Nuevo León"/>
    <s v="19"/>
    <s v="19.01"/>
    <s v="Monterrey"/>
    <s v="19026"/>
    <s v="Guadalupe"/>
    <x v="4"/>
    <s v="Labranza"/>
    <n v="0"/>
    <n v="0"/>
    <m/>
    <m/>
    <m/>
    <m/>
    <m/>
    <s v="Estatal"/>
  </r>
  <r>
    <x v="0"/>
    <s v="Nuevo León"/>
    <s v="19"/>
    <m/>
    <m/>
    <s v="19027"/>
    <s v="Los Herreras"/>
    <x v="4"/>
    <s v="Labranza"/>
    <n v="5.7313764546577719"/>
    <n v="1.2706461599976282"/>
    <m/>
    <m/>
    <m/>
    <m/>
    <m/>
    <s v="Estatal"/>
  </r>
  <r>
    <x v="0"/>
    <s v="Nuevo León"/>
    <s v="19"/>
    <m/>
    <m/>
    <s v="19028"/>
    <s v="Higueras"/>
    <x v="4"/>
    <s v="Labranza"/>
    <n v="0"/>
    <n v="0"/>
    <m/>
    <m/>
    <m/>
    <m/>
    <m/>
    <s v="Estatal"/>
  </r>
  <r>
    <x v="0"/>
    <s v="Nuevo León"/>
    <s v="19"/>
    <m/>
    <m/>
    <s v="19029"/>
    <s v="Hualahuises"/>
    <x v="4"/>
    <s v="Labranza"/>
    <n v="13.215868616753149"/>
    <n v="2.9299580723341734"/>
    <m/>
    <m/>
    <m/>
    <m/>
    <m/>
    <s v="Estatal"/>
  </r>
  <r>
    <x v="0"/>
    <s v="Nuevo León"/>
    <s v="19"/>
    <m/>
    <m/>
    <s v="19030"/>
    <s v="Iturbide"/>
    <x v="4"/>
    <s v="Labranza"/>
    <n v="2.90666505836422"/>
    <n v="0.64440764343934753"/>
    <m/>
    <m/>
    <m/>
    <m/>
    <m/>
    <s v="Estatal"/>
  </r>
  <r>
    <x v="0"/>
    <s v="Nuevo León"/>
    <s v="19"/>
    <s v="19.01"/>
    <s v="Monterrey"/>
    <s v="19031"/>
    <s v="Juárez"/>
    <x v="4"/>
    <s v="Labranza"/>
    <n v="1.7069046914751669"/>
    <n v="0.37842077010004449"/>
    <m/>
    <m/>
    <m/>
    <m/>
    <m/>
    <s v="Estatal"/>
  </r>
  <r>
    <x v="0"/>
    <s v="Nuevo León"/>
    <s v="19"/>
    <m/>
    <m/>
    <s v="19032"/>
    <s v="Lampazos de Naranjo"/>
    <x v="4"/>
    <s v="Labranza"/>
    <n v="1.4598332299481098"/>
    <n v="0.32364502707949594"/>
    <m/>
    <m/>
    <m/>
    <m/>
    <m/>
    <s v="Estatal"/>
  </r>
  <r>
    <x v="0"/>
    <s v="Nuevo León"/>
    <s v="19"/>
    <m/>
    <m/>
    <s v="19033"/>
    <s v="Linares"/>
    <x v="4"/>
    <s v="Labranza"/>
    <n v="71.717591395898197"/>
    <n v="15.899790012470628"/>
    <m/>
    <m/>
    <m/>
    <m/>
    <m/>
    <s v="Estatal"/>
  </r>
  <r>
    <x v="0"/>
    <s v="Nuevo León"/>
    <s v="19"/>
    <m/>
    <m/>
    <s v="19034"/>
    <s v="Marín"/>
    <x v="4"/>
    <s v="Labranza"/>
    <n v="0.33713979145045708"/>
    <n v="7.4743891764566334E-2"/>
    <m/>
    <m/>
    <m/>
    <m/>
    <m/>
    <s v="Estatal"/>
  </r>
  <r>
    <x v="0"/>
    <s v="Nuevo León"/>
    <s v="19"/>
    <m/>
    <m/>
    <s v="19035"/>
    <s v="Melchor Ocampo"/>
    <x v="4"/>
    <s v="Labranza"/>
    <n v="4.1973904035581917"/>
    <n v="0.93056145246885114"/>
    <m/>
    <m/>
    <m/>
    <m/>
    <m/>
    <s v="Estatal"/>
  </r>
  <r>
    <x v="0"/>
    <s v="Nuevo León"/>
    <s v="19"/>
    <m/>
    <m/>
    <s v="19036"/>
    <s v="Mier y Noriega"/>
    <x v="4"/>
    <s v="Labranza"/>
    <n v="25.461675765752407"/>
    <n v="5.6448535172673084"/>
    <m/>
    <m/>
    <m/>
    <m/>
    <m/>
    <s v="Estatal"/>
  </r>
  <r>
    <x v="0"/>
    <s v="Nuevo León"/>
    <s v="19"/>
    <m/>
    <m/>
    <s v="19037"/>
    <s v="Mina"/>
    <x v="4"/>
    <s v="Labranza"/>
    <n v="0.59555385500370639"/>
    <n v="0.13203428965432173"/>
    <m/>
    <m/>
    <m/>
    <m/>
    <m/>
    <s v="Estatal"/>
  </r>
  <r>
    <x v="0"/>
    <s v="Nuevo León"/>
    <s v="19"/>
    <m/>
    <m/>
    <s v="19038"/>
    <s v="Montemorelos"/>
    <x v="4"/>
    <s v="Labranza"/>
    <n v="67.04092001620954"/>
    <n v="14.86297196759365"/>
    <m/>
    <m/>
    <m/>
    <m/>
    <m/>
    <s v="Estatal"/>
  </r>
  <r>
    <x v="0"/>
    <s v="Nuevo León"/>
    <s v="19"/>
    <s v="19.01"/>
    <s v="Monterrey"/>
    <s v="19039"/>
    <s v="Monterrey"/>
    <x v="4"/>
    <s v="Labranza"/>
    <n v="0"/>
    <n v="0"/>
    <m/>
    <m/>
    <m/>
    <m/>
    <m/>
    <s v="Estatal"/>
  </r>
  <r>
    <x v="0"/>
    <s v="Nuevo León"/>
    <s v="19"/>
    <m/>
    <m/>
    <s v="19040"/>
    <s v="Parás"/>
    <x v="4"/>
    <s v="Labranza"/>
    <n v="6.7427958290091419E-2"/>
    <n v="1.4948778352913269E-2"/>
    <m/>
    <m/>
    <m/>
    <m/>
    <m/>
    <s v="Estatal"/>
  </r>
  <r>
    <x v="0"/>
    <s v="Nuevo León"/>
    <s v="19"/>
    <s v="19.01"/>
    <s v="Monterrey"/>
    <s v="19041"/>
    <s v="Pesquería"/>
    <x v="4"/>
    <s v="Labranza"/>
    <n v="131.90241285198911"/>
    <n v="29.242764929285993"/>
    <m/>
    <m/>
    <m/>
    <m/>
    <m/>
    <s v="Estatal"/>
  </r>
  <r>
    <x v="0"/>
    <s v="Nuevo León"/>
    <s v="19"/>
    <m/>
    <m/>
    <s v="19042"/>
    <s v="Los Ramones"/>
    <x v="4"/>
    <s v="Labranza"/>
    <n v="44.543070643143068"/>
    <n v="9.8751987615848158"/>
    <m/>
    <m/>
    <m/>
    <m/>
    <m/>
    <s v="Estatal"/>
  </r>
  <r>
    <x v="0"/>
    <s v="Nuevo León"/>
    <s v="19"/>
    <m/>
    <m/>
    <s v="19043"/>
    <s v="Rayones"/>
    <x v="4"/>
    <s v="Labranza"/>
    <n v="0"/>
    <n v="0"/>
    <m/>
    <m/>
    <m/>
    <m/>
    <m/>
    <s v="Estatal"/>
  </r>
  <r>
    <x v="0"/>
    <s v="Nuevo León"/>
    <s v="19"/>
    <m/>
    <m/>
    <s v="19044"/>
    <s v="Sabinas Hidalgo"/>
    <x v="4"/>
    <s v="Labranza"/>
    <n v="12.224723583118358"/>
    <n v="2.7102212183773404"/>
    <m/>
    <m/>
    <m/>
    <m/>
    <m/>
    <s v="Estatal"/>
  </r>
  <r>
    <x v="0"/>
    <s v="Nuevo León"/>
    <s v="19"/>
    <s v="19.01"/>
    <s v="Monterrey"/>
    <s v="19045"/>
    <s v="Salinas Victoria"/>
    <x v="4"/>
    <s v="Labranza"/>
    <n v="2.1924173738571784"/>
    <n v="0.48605893178413639"/>
    <m/>
    <m/>
    <m/>
    <m/>
    <m/>
    <s v="Estatal"/>
  </r>
  <r>
    <x v="0"/>
    <s v="Nuevo León"/>
    <s v="19"/>
    <s v="19.01"/>
    <s v="Monterrey"/>
    <s v="19046"/>
    <s v="San Nicolás de los Garza"/>
    <x v="4"/>
    <s v="Labranza"/>
    <n v="0"/>
    <n v="0"/>
    <m/>
    <m/>
    <m/>
    <m/>
    <m/>
    <s v="Estatal"/>
  </r>
  <r>
    <x v="0"/>
    <s v="Nuevo León"/>
    <s v="19"/>
    <s v="19.01"/>
    <s v="Monterrey"/>
    <s v="19047"/>
    <s v="Hidalgo"/>
    <x v="4"/>
    <s v="Labranza"/>
    <n v="0.38432591252779835"/>
    <n v="8.5205054807412903E-2"/>
    <m/>
    <m/>
    <m/>
    <m/>
    <m/>
    <s v="Estatal"/>
  </r>
  <r>
    <x v="0"/>
    <s v="Nuevo León"/>
    <s v="19"/>
    <s v="19.01"/>
    <s v="Monterrey"/>
    <s v="19048"/>
    <s v="Santa Catarina"/>
    <x v="4"/>
    <s v="Labranza"/>
    <n v="0.71767736456634534"/>
    <n v="0.15910907172435876"/>
    <m/>
    <m/>
    <m/>
    <m/>
    <m/>
    <s v="Estatal"/>
  </r>
  <r>
    <x v="0"/>
    <s v="Nuevo León"/>
    <s v="19"/>
    <s v="19.01"/>
    <s v="Monterrey"/>
    <s v="19049"/>
    <s v="Santiago"/>
    <x v="4"/>
    <s v="Labranza"/>
    <n v="1.0999185696071161"/>
    <n v="0.24385194688189768"/>
    <m/>
    <m/>
    <m/>
    <m/>
    <m/>
    <s v="Estatal"/>
  </r>
  <r>
    <x v="0"/>
    <s v="Nuevo León"/>
    <s v="19"/>
    <m/>
    <m/>
    <s v="19050"/>
    <s v="Vallecillo"/>
    <x v="4"/>
    <s v="Labranza"/>
    <n v="2.146654682085495"/>
    <n v="0.47591334301835436"/>
    <m/>
    <m/>
    <m/>
    <m/>
    <m/>
    <s v="Estatal"/>
  </r>
  <r>
    <x v="0"/>
    <s v="Nuevo León"/>
    <s v="19"/>
    <m/>
    <m/>
    <s v="19051"/>
    <s v="Villaldama"/>
    <x v="4"/>
    <s v="Labranza"/>
    <n v="13.953516582396839"/>
    <n v="3.093494626317379"/>
    <m/>
    <m/>
    <m/>
    <m/>
    <m/>
    <s v="Estatal"/>
  </r>
  <r>
    <x v="0"/>
    <s v="Nuevo León"/>
    <s v="19"/>
    <s v="19.01"/>
    <s v="Monterrey"/>
    <s v="19001"/>
    <s v="Abasolo"/>
    <x v="5"/>
    <s v="Aguas Residuales"/>
    <m/>
    <m/>
    <m/>
    <m/>
    <m/>
    <n v="0.85695864532782651"/>
    <m/>
    <s v="Estatal"/>
  </r>
  <r>
    <x v="0"/>
    <s v="Nuevo León"/>
    <s v="19"/>
    <m/>
    <m/>
    <s v="19002"/>
    <s v="Agualeguas"/>
    <x v="5"/>
    <s v="Aguas Residuales"/>
    <m/>
    <m/>
    <m/>
    <m/>
    <m/>
    <n v="1.2854379679917396"/>
    <m/>
    <s v="Estatal"/>
  </r>
  <r>
    <x v="0"/>
    <s v="Nuevo León"/>
    <s v="19"/>
    <m/>
    <m/>
    <s v="19003"/>
    <s v="Los Aldamas"/>
    <x v="5"/>
    <s v="Aguas Residuales"/>
    <m/>
    <m/>
    <m/>
    <m/>
    <m/>
    <n v="0"/>
    <m/>
    <s v="Estatal"/>
  </r>
  <r>
    <x v="0"/>
    <s v="Nuevo León"/>
    <s v="19"/>
    <m/>
    <m/>
    <s v="19004"/>
    <s v="Allende"/>
    <x v="5"/>
    <s v="Aguas Residuales"/>
    <m/>
    <m/>
    <m/>
    <m/>
    <m/>
    <n v="35.221000322973666"/>
    <m/>
    <s v="Estatal"/>
  </r>
  <r>
    <x v="0"/>
    <s v="Nuevo León"/>
    <s v="19"/>
    <m/>
    <m/>
    <s v="19005"/>
    <s v="Anáhuac"/>
    <x v="5"/>
    <s v="Aguas Residuales"/>
    <m/>
    <m/>
    <m/>
    <m/>
    <m/>
    <n v="17.139172906556528"/>
    <m/>
    <s v="Estatal"/>
  </r>
  <r>
    <x v="0"/>
    <s v="Nuevo León"/>
    <s v="19"/>
    <s v="19.01"/>
    <s v="Monterrey"/>
    <s v="19006"/>
    <s v="Apodaca"/>
    <x v="5"/>
    <s v="Aguas Residuales"/>
    <m/>
    <m/>
    <m/>
    <m/>
    <m/>
    <n v="629.0076456706247"/>
    <m/>
    <s v="Estatal"/>
  </r>
  <r>
    <x v="0"/>
    <s v="Nuevo León"/>
    <s v="19"/>
    <m/>
    <m/>
    <s v="19007"/>
    <s v="Aramberri"/>
    <x v="5"/>
    <s v="Aguas Residuales"/>
    <m/>
    <m/>
    <m/>
    <m/>
    <m/>
    <n v="1.713917290655653"/>
    <m/>
    <s v="Estatal"/>
  </r>
  <r>
    <x v="0"/>
    <s v="Nuevo León"/>
    <s v="19"/>
    <m/>
    <m/>
    <s v="19008"/>
    <s v="Bustamante"/>
    <x v="5"/>
    <s v="Aguas Residuales"/>
    <m/>
    <m/>
    <m/>
    <m/>
    <m/>
    <n v="2.9993552586473928"/>
    <m/>
    <s v="Estatal"/>
  </r>
  <r>
    <x v="0"/>
    <s v="Nuevo León"/>
    <s v="19"/>
    <s v="19.01"/>
    <s v="Monterrey"/>
    <s v="19009"/>
    <s v="Cadereyta Jiménez"/>
    <x v="5"/>
    <s v="Aguas Residuales"/>
    <m/>
    <m/>
    <m/>
    <m/>
    <m/>
    <n v="93.408492340733076"/>
    <m/>
    <s v="Estatal"/>
  </r>
  <r>
    <x v="0"/>
    <s v="Nuevo León"/>
    <s v="19"/>
    <s v="19.01"/>
    <s v="Monterrey"/>
    <s v="19010"/>
    <s v="El Carmen"/>
    <x v="5"/>
    <s v="Aguas Residuales"/>
    <m/>
    <m/>
    <m/>
    <m/>
    <m/>
    <n v="6.8556691626226121"/>
    <m/>
    <s v="Estatal"/>
  </r>
  <r>
    <x v="0"/>
    <s v="Nuevo León"/>
    <s v="19"/>
    <m/>
    <m/>
    <s v="19011"/>
    <s v="Cerralvo"/>
    <x v="5"/>
    <s v="Aguas Residuales"/>
    <m/>
    <m/>
    <m/>
    <m/>
    <m/>
    <n v="10.711983066597831"/>
    <m/>
    <s v="Estatal"/>
  </r>
  <r>
    <x v="0"/>
    <s v="Nuevo León"/>
    <s v="19"/>
    <s v="19.01"/>
    <s v="Monterrey"/>
    <s v="19012"/>
    <s v="Ciénega de Flores"/>
    <x v="5"/>
    <s v="Aguas Residuales"/>
    <m/>
    <m/>
    <m/>
    <m/>
    <m/>
    <n v="2.5708759359834792"/>
    <m/>
    <s v="Estatal"/>
  </r>
  <r>
    <x v="0"/>
    <s v="Nuevo León"/>
    <s v="19"/>
    <m/>
    <m/>
    <s v="19013"/>
    <s v="China"/>
    <x v="5"/>
    <s v="Aguas Residuales"/>
    <m/>
    <m/>
    <m/>
    <m/>
    <m/>
    <n v="3.427834581311306"/>
    <m/>
    <s v="Estatal"/>
  </r>
  <r>
    <x v="0"/>
    <s v="Nuevo León"/>
    <s v="19"/>
    <m/>
    <m/>
    <s v="19014"/>
    <s v="Doctor Arroyo"/>
    <x v="5"/>
    <s v="Aguas Residuales"/>
    <m/>
    <m/>
    <m/>
    <m/>
    <m/>
    <n v="5.1417518719669584"/>
    <m/>
    <s v="Estatal"/>
  </r>
  <r>
    <x v="0"/>
    <s v="Nuevo León"/>
    <s v="19"/>
    <m/>
    <m/>
    <s v="19015"/>
    <s v="Doctor Coss"/>
    <x v="5"/>
    <s v="Aguas Residuales"/>
    <m/>
    <m/>
    <m/>
    <m/>
    <m/>
    <n v="0"/>
    <m/>
    <s v="Estatal"/>
  </r>
  <r>
    <x v="0"/>
    <s v="Nuevo León"/>
    <s v="19"/>
    <m/>
    <m/>
    <s v="19016"/>
    <s v="Doctor González"/>
    <x v="5"/>
    <s v="Aguas Residuales"/>
    <m/>
    <m/>
    <m/>
    <m/>
    <m/>
    <n v="2.142396613319566"/>
    <m/>
    <s v="Estatal"/>
  </r>
  <r>
    <x v="0"/>
    <s v="Nuevo León"/>
    <s v="19"/>
    <m/>
    <m/>
    <s v="19017"/>
    <s v="Galeana"/>
    <x v="5"/>
    <s v="Aguas Residuales"/>
    <m/>
    <m/>
    <m/>
    <m/>
    <m/>
    <n v="5.1417518719669584"/>
    <m/>
    <s v="Estatal"/>
  </r>
  <r>
    <x v="0"/>
    <s v="Nuevo León"/>
    <s v="19"/>
    <s v="19.01"/>
    <s v="Monterrey"/>
    <s v="19018"/>
    <s v="García"/>
    <x v="5"/>
    <s v="Aguas Residuales"/>
    <m/>
    <m/>
    <m/>
    <m/>
    <m/>
    <n v="43.276411589055243"/>
    <m/>
    <s v="Estatal"/>
  </r>
  <r>
    <x v="0"/>
    <s v="Nuevo León"/>
    <s v="19"/>
    <s v="19.01"/>
    <s v="Monterrey"/>
    <s v="19019"/>
    <s v="San Pedro Garza García"/>
    <x v="5"/>
    <s v="Aguas Residuales"/>
    <m/>
    <m/>
    <m/>
    <m/>
    <m/>
    <n v="0"/>
    <m/>
    <s v="Estatal"/>
  </r>
  <r>
    <x v="0"/>
    <s v="Nuevo León"/>
    <s v="19"/>
    <m/>
    <m/>
    <s v="19020"/>
    <s v="General Bravo"/>
    <x v="5"/>
    <s v="Aguas Residuales"/>
    <m/>
    <m/>
    <m/>
    <m/>
    <m/>
    <n v="1.2854379679917396"/>
    <m/>
    <s v="Estatal"/>
  </r>
  <r>
    <x v="0"/>
    <s v="Nuevo León"/>
    <s v="19"/>
    <s v="19.01"/>
    <s v="Monterrey"/>
    <s v="19021"/>
    <s v="General Escobedo"/>
    <x v="5"/>
    <s v="Aguas Residuales"/>
    <m/>
    <m/>
    <m/>
    <m/>
    <m/>
    <n v="1102.4772972142487"/>
    <m/>
    <s v="Estatal"/>
  </r>
  <r>
    <x v="0"/>
    <s v="Nuevo León"/>
    <s v="19"/>
    <m/>
    <m/>
    <s v="19022"/>
    <s v="General Terán"/>
    <x v="5"/>
    <s v="Aguas Residuales"/>
    <m/>
    <m/>
    <m/>
    <m/>
    <m/>
    <n v="3.8563139039752192"/>
    <m/>
    <s v="Estatal"/>
  </r>
  <r>
    <x v="0"/>
    <s v="Nuevo León"/>
    <s v="19"/>
    <m/>
    <m/>
    <s v="19023"/>
    <s v="General Treviño"/>
    <x v="5"/>
    <s v="Aguas Residuales"/>
    <m/>
    <m/>
    <m/>
    <m/>
    <m/>
    <n v="0.42847932266391325"/>
    <m/>
    <s v="Estatal"/>
  </r>
  <r>
    <x v="0"/>
    <s v="Nuevo León"/>
    <s v="19"/>
    <m/>
    <m/>
    <s v="19024"/>
    <s v="General Zaragoza"/>
    <x v="5"/>
    <s v="Aguas Residuales"/>
    <m/>
    <m/>
    <m/>
    <m/>
    <m/>
    <n v="0.85695864532782651"/>
    <m/>
    <s v="Estatal"/>
  </r>
  <r>
    <x v="0"/>
    <s v="Nuevo León"/>
    <s v="19"/>
    <s v="19.01"/>
    <s v="Monterrey"/>
    <s v="19025"/>
    <s v="General Zuazua"/>
    <x v="5"/>
    <s v="Aguas Residuales"/>
    <m/>
    <m/>
    <m/>
    <m/>
    <m/>
    <n v="67.271253658234386"/>
    <m/>
    <s v="Estatal"/>
  </r>
  <r>
    <x v="0"/>
    <s v="Nuevo León"/>
    <s v="19"/>
    <s v="19.01"/>
    <s v="Monterrey"/>
    <s v="19026"/>
    <s v="Guadalupe"/>
    <x v="5"/>
    <s v="Aguas Residuales"/>
    <m/>
    <m/>
    <m/>
    <m/>
    <m/>
    <n v="0"/>
    <m/>
    <s v="Estatal"/>
  </r>
  <r>
    <x v="0"/>
    <s v="Nuevo León"/>
    <s v="19"/>
    <m/>
    <m/>
    <s v="19027"/>
    <s v="Los Herreras"/>
    <x v="5"/>
    <s v="Aguas Residuales"/>
    <m/>
    <m/>
    <m/>
    <m/>
    <m/>
    <n v="1.713917290655653"/>
    <m/>
    <s v="Estatal"/>
  </r>
  <r>
    <x v="0"/>
    <s v="Nuevo León"/>
    <s v="19"/>
    <m/>
    <m/>
    <s v="19028"/>
    <s v="Higueras"/>
    <x v="5"/>
    <s v="Aguas Residuales"/>
    <m/>
    <m/>
    <m/>
    <m/>
    <m/>
    <n v="0.85695864532782651"/>
    <m/>
    <s v="Estatal"/>
  </r>
  <r>
    <x v="0"/>
    <s v="Nuevo León"/>
    <s v="19"/>
    <m/>
    <m/>
    <s v="19029"/>
    <s v="Hualahuises"/>
    <x v="5"/>
    <s v="Aguas Residuales"/>
    <m/>
    <m/>
    <m/>
    <m/>
    <m/>
    <n v="4.284793226639132"/>
    <m/>
    <s v="Estatal"/>
  </r>
  <r>
    <x v="0"/>
    <s v="Nuevo León"/>
    <s v="19"/>
    <m/>
    <m/>
    <s v="19030"/>
    <s v="Iturbide"/>
    <x v="5"/>
    <s v="Aguas Residuales"/>
    <m/>
    <m/>
    <m/>
    <m/>
    <m/>
    <n v="1.2854379679917396"/>
    <m/>
    <s v="Estatal"/>
  </r>
  <r>
    <x v="0"/>
    <s v="Nuevo León"/>
    <s v="19"/>
    <s v="19.01"/>
    <s v="Monterrey"/>
    <s v="19031"/>
    <s v="Juárez"/>
    <x v="5"/>
    <s v="Aguas Residuales"/>
    <m/>
    <m/>
    <m/>
    <m/>
    <m/>
    <n v="0"/>
    <m/>
    <s v="Estatal"/>
  </r>
  <r>
    <x v="0"/>
    <s v="Nuevo León"/>
    <s v="19"/>
    <m/>
    <m/>
    <s v="19032"/>
    <s v="Lampazos de Naranjo"/>
    <x v="5"/>
    <s v="Aguas Residuales"/>
    <m/>
    <m/>
    <m/>
    <m/>
    <m/>
    <n v="1.2854379679917396"/>
    <m/>
    <s v="Estatal"/>
  </r>
  <r>
    <x v="0"/>
    <s v="Nuevo León"/>
    <s v="19"/>
    <m/>
    <m/>
    <s v="19033"/>
    <s v="Linares"/>
    <x v="5"/>
    <s v="Aguas Residuales"/>
    <m/>
    <m/>
    <m/>
    <m/>
    <m/>
    <n v="67.69973298089829"/>
    <m/>
    <s v="Estatal"/>
  </r>
  <r>
    <x v="0"/>
    <s v="Nuevo León"/>
    <s v="19"/>
    <m/>
    <m/>
    <s v="19034"/>
    <s v="Marín"/>
    <x v="5"/>
    <s v="Aguas Residuales"/>
    <m/>
    <m/>
    <m/>
    <m/>
    <m/>
    <n v="26.137238682498705"/>
    <m/>
    <s v="Estatal"/>
  </r>
  <r>
    <x v="0"/>
    <s v="Nuevo León"/>
    <s v="19"/>
    <m/>
    <m/>
    <s v="19035"/>
    <s v="Melchor Ocampo"/>
    <x v="5"/>
    <s v="Aguas Residuales"/>
    <m/>
    <m/>
    <m/>
    <m/>
    <m/>
    <n v="1.2854379679917396"/>
    <m/>
    <s v="Estatal"/>
  </r>
  <r>
    <x v="0"/>
    <s v="Nuevo León"/>
    <s v="19"/>
    <m/>
    <m/>
    <s v="19036"/>
    <s v="Mier y Noriega"/>
    <x v="5"/>
    <s v="Aguas Residuales"/>
    <m/>
    <m/>
    <m/>
    <m/>
    <m/>
    <n v="0.85695864532782651"/>
    <m/>
    <s v="Estatal"/>
  </r>
  <r>
    <x v="0"/>
    <s v="Nuevo León"/>
    <s v="19"/>
    <m/>
    <m/>
    <s v="19037"/>
    <s v="Mina"/>
    <x v="5"/>
    <s v="Aguas Residuales"/>
    <m/>
    <m/>
    <m/>
    <m/>
    <m/>
    <n v="2.142396613319566"/>
    <m/>
    <s v="Estatal"/>
  </r>
  <r>
    <x v="0"/>
    <s v="Nuevo León"/>
    <s v="19"/>
    <m/>
    <m/>
    <s v="19038"/>
    <s v="Montemorelos"/>
    <x v="5"/>
    <s v="Aguas Residuales"/>
    <m/>
    <m/>
    <m/>
    <m/>
    <m/>
    <n v="55.83085574310789"/>
    <m/>
    <s v="Estatal"/>
  </r>
  <r>
    <x v="0"/>
    <s v="Nuevo León"/>
    <s v="19"/>
    <s v="19.01"/>
    <s v="Monterrey"/>
    <s v="19039"/>
    <s v="Monterrey"/>
    <x v="5"/>
    <s v="Aguas Residuales"/>
    <m/>
    <m/>
    <m/>
    <m/>
    <m/>
    <n v="0"/>
    <m/>
    <s v="Estatal"/>
  </r>
  <r>
    <x v="0"/>
    <s v="Nuevo León"/>
    <s v="19"/>
    <m/>
    <m/>
    <s v="19040"/>
    <s v="Parás"/>
    <x v="5"/>
    <s v="Aguas Residuales"/>
    <m/>
    <m/>
    <m/>
    <m/>
    <m/>
    <n v="0.85695864532782651"/>
    <m/>
    <s v="Estatal"/>
  </r>
  <r>
    <x v="0"/>
    <s v="Nuevo León"/>
    <s v="19"/>
    <s v="19.01"/>
    <s v="Monterrey"/>
    <s v="19041"/>
    <s v="Pesquería"/>
    <x v="5"/>
    <s v="Aguas Residuales"/>
    <m/>
    <m/>
    <m/>
    <m/>
    <m/>
    <n v="3058.0569258523487"/>
    <m/>
    <s v="Estatal"/>
  </r>
  <r>
    <x v="0"/>
    <s v="Nuevo León"/>
    <s v="19"/>
    <m/>
    <m/>
    <s v="19042"/>
    <s v="Los Ramones"/>
    <x v="5"/>
    <s v="Aguas Residuales"/>
    <m/>
    <m/>
    <m/>
    <m/>
    <m/>
    <n v="1.2854379679917396"/>
    <m/>
    <s v="Estatal"/>
  </r>
  <r>
    <x v="0"/>
    <s v="Nuevo León"/>
    <s v="19"/>
    <m/>
    <m/>
    <s v="19043"/>
    <s v="Rayones"/>
    <x v="5"/>
    <s v="Aguas Residuales"/>
    <m/>
    <m/>
    <m/>
    <m/>
    <m/>
    <n v="0"/>
    <m/>
    <s v="Estatal"/>
  </r>
  <r>
    <x v="0"/>
    <s v="Nuevo León"/>
    <s v="19"/>
    <m/>
    <m/>
    <s v="19044"/>
    <s v="Sabinas Hidalgo"/>
    <x v="5"/>
    <s v="Aguas Residuales"/>
    <m/>
    <m/>
    <m/>
    <m/>
    <m/>
    <n v="33.849866490449145"/>
    <m/>
    <s v="Estatal"/>
  </r>
  <r>
    <x v="0"/>
    <s v="Nuevo León"/>
    <s v="19"/>
    <s v="19.01"/>
    <s v="Monterrey"/>
    <s v="19045"/>
    <s v="Salinas Victoria"/>
    <x v="5"/>
    <s v="Aguas Residuales"/>
    <m/>
    <m/>
    <m/>
    <m/>
    <m/>
    <n v="0"/>
    <m/>
    <s v="Estatal"/>
  </r>
  <r>
    <x v="0"/>
    <s v="Nuevo León"/>
    <s v="19"/>
    <s v="19.01"/>
    <s v="Monterrey"/>
    <s v="19046"/>
    <s v="San Nicolás de los Garza"/>
    <x v="5"/>
    <s v="Aguas Residuales"/>
    <m/>
    <m/>
    <m/>
    <m/>
    <m/>
    <n v="25.280280037170883"/>
    <m/>
    <s v="Estatal"/>
  </r>
  <r>
    <x v="0"/>
    <s v="Nuevo León"/>
    <s v="19"/>
    <s v="19.01"/>
    <s v="Monterrey"/>
    <s v="19047"/>
    <s v="Hidalgo"/>
    <x v="5"/>
    <s v="Aguas Residuales"/>
    <m/>
    <m/>
    <m/>
    <m/>
    <m/>
    <n v="7.2841484852865248"/>
    <m/>
    <s v="Estatal"/>
  </r>
  <r>
    <x v="0"/>
    <s v="Nuevo León"/>
    <s v="19"/>
    <s v="19.01"/>
    <s v="Monterrey"/>
    <s v="19048"/>
    <s v="Santa Catarina"/>
    <x v="5"/>
    <s v="Aguas Residuales"/>
    <m/>
    <m/>
    <m/>
    <m/>
    <m/>
    <n v="0"/>
    <m/>
    <s v="Estatal"/>
  </r>
  <r>
    <x v="0"/>
    <s v="Nuevo León"/>
    <s v="19"/>
    <s v="19.01"/>
    <s v="Monterrey"/>
    <s v="19049"/>
    <s v="Santiago"/>
    <x v="5"/>
    <s v="Aguas Residuales"/>
    <m/>
    <m/>
    <m/>
    <m/>
    <m/>
    <n v="65.985815690242632"/>
    <m/>
    <s v="Estatal"/>
  </r>
  <r>
    <x v="0"/>
    <s v="Nuevo León"/>
    <s v="19"/>
    <m/>
    <m/>
    <s v="19050"/>
    <s v="Vallecillo"/>
    <x v="5"/>
    <s v="Aguas Residuales"/>
    <m/>
    <m/>
    <m/>
    <m/>
    <m/>
    <n v="0.42847932266391325"/>
    <m/>
    <s v="Estatal"/>
  </r>
  <r>
    <x v="0"/>
    <s v="Nuevo León"/>
    <s v="19"/>
    <m/>
    <m/>
    <s v="19051"/>
    <s v="Villaldama"/>
    <x v="5"/>
    <s v="Aguas Residuales"/>
    <m/>
    <m/>
    <m/>
    <m/>
    <m/>
    <n v="1.2854379679917396"/>
    <m/>
    <s v="Estatal"/>
  </r>
  <r>
    <x v="0"/>
    <s v="Nuevo León"/>
    <s v="19"/>
    <s v="19.01"/>
    <s v="Monterrey"/>
    <s v="19001"/>
    <s v="Abasolo"/>
    <x v="5"/>
    <s v="Quema de Residuos"/>
    <n v="9.7843422323242127E-2"/>
    <n v="8.9603976232863841E-2"/>
    <n v="2.5748269032432138E-3"/>
    <n v="0.21886028677567321"/>
    <n v="1.5448961419459284E-2"/>
    <n v="2.2030218984148937E-2"/>
    <m/>
    <s v="Estatal"/>
  </r>
  <r>
    <x v="0"/>
    <s v="Nuevo León"/>
    <s v="19"/>
    <m/>
    <m/>
    <s v="19002"/>
    <s v="Agualeguas"/>
    <x v="5"/>
    <s v="Quema de Residuos"/>
    <n v="4.8266258425435062E-2"/>
    <n v="4.4201731400135266E-2"/>
    <n v="1.2701646954061858E-3"/>
    <n v="0.1079639991095258"/>
    <n v="7.6209881724371145E-3"/>
    <n v="1.0867529133895324E-2"/>
    <m/>
    <s v="Estatal"/>
  </r>
  <r>
    <x v="0"/>
    <s v="Nuevo León"/>
    <s v="19"/>
    <m/>
    <m/>
    <s v="19003"/>
    <s v="Los Aldamas"/>
    <x v="5"/>
    <s v="Quema de Residuos"/>
    <n v="5.9735404198917978E-2"/>
    <n v="5.4705054371640673E-2"/>
    <n v="1.5719843210241574E-3"/>
    <n v="0.13361866728705338"/>
    <n v="9.4319059261449446E-3"/>
    <n v="1.3449897850682688E-2"/>
    <m/>
    <s v="Estatal"/>
  </r>
  <r>
    <x v="0"/>
    <s v="Nuevo León"/>
    <s v="19"/>
    <m/>
    <m/>
    <s v="19004"/>
    <s v="Allende"/>
    <x v="5"/>
    <s v="Quema de Residuos"/>
    <n v="0.40387992899500835"/>
    <n v="0.36986898760595499"/>
    <n v="1.0628419184079167E-2"/>
    <n v="0.90341563064672925"/>
    <n v="6.3770515104474998E-2"/>
    <n v="9.093675453898134E-2"/>
    <m/>
    <s v="Estatal"/>
  </r>
  <r>
    <x v="0"/>
    <s v="Nuevo León"/>
    <s v="19"/>
    <m/>
    <m/>
    <s v="19005"/>
    <s v="Anáhuac"/>
    <x v="5"/>
    <s v="Quema de Residuos"/>
    <n v="0.97881109603839089"/>
    <n v="0.89638489847726333"/>
    <n v="2.5758186737852396E-2"/>
    <n v="2.1894458727174539"/>
    <n v="0.15454912042711436"/>
    <n v="0.22038704572906506"/>
    <m/>
    <s v="Estatal"/>
  </r>
  <r>
    <x v="0"/>
    <s v="Nuevo León"/>
    <s v="19"/>
    <s v="19.01"/>
    <s v="Monterrey"/>
    <s v="19006"/>
    <s v="Apodaca"/>
    <x v="5"/>
    <s v="Quema de Residuos"/>
    <n v="0.60897638326965786"/>
    <n v="0.557694161520634"/>
    <n v="1.6025694296569946E-2"/>
    <n v="1.3621840152084452"/>
    <n v="9.6154165779419654E-2"/>
    <n v="0.13711584040145244"/>
    <m/>
    <s v="Estatal"/>
  </r>
  <r>
    <x v="0"/>
    <s v="Nuevo León"/>
    <s v="19"/>
    <m/>
    <m/>
    <s v="19007"/>
    <s v="Aramberri"/>
    <x v="5"/>
    <s v="Quema de Residuos"/>
    <n v="9.0666395436816636"/>
    <n v="8.3031330557926832"/>
    <n v="0.23859577746530697"/>
    <n v="20.280641084551096"/>
    <n v="1.4315746647918417"/>
    <n v="2.0414254719931662"/>
    <m/>
    <s v="Estatal"/>
  </r>
  <r>
    <x v="0"/>
    <s v="Nuevo León"/>
    <s v="19"/>
    <m/>
    <m/>
    <s v="19008"/>
    <s v="Bustamante"/>
    <x v="5"/>
    <s v="Quema de Residuos"/>
    <n v="9.7184203465129571E-2"/>
    <n v="8.9000270541750234E-2"/>
    <n v="2.5574790385560417E-3"/>
    <n v="0.21738571827726355"/>
    <n v="1.5344874231336248E-2"/>
    <n v="2.1881790653885489E-2"/>
    <m/>
    <s v="Estatal"/>
  </r>
  <r>
    <x v="0"/>
    <s v="Nuevo León"/>
    <s v="19"/>
    <s v="19.01"/>
    <s v="Monterrey"/>
    <s v="19009"/>
    <s v="Cadereyta Jiménez"/>
    <x v="5"/>
    <s v="Quema de Residuos"/>
    <n v="4.1943602868952032"/>
    <n v="3.841150999577712"/>
    <n v="0.11037790228671586"/>
    <n v="9.3821216943708503"/>
    <n v="0.66226741372029518"/>
    <n v="0.94439333196514086"/>
    <m/>
    <s v="Estatal"/>
  </r>
  <r>
    <x v="0"/>
    <s v="Nuevo León"/>
    <s v="19"/>
    <s v="19.01"/>
    <s v="Monterrey"/>
    <s v="19010"/>
    <s v="El Carmen"/>
    <x v="5"/>
    <s v="Quema de Residuos"/>
    <n v="0.43070004909938447"/>
    <n v="0.39443057128048897"/>
    <n v="1.1334211818404855E-2"/>
    <n v="0.96340800456441278"/>
    <n v="6.8005270910429128E-2"/>
    <n v="9.6975516318271934E-2"/>
    <m/>
    <s v="Estatal"/>
  </r>
  <r>
    <x v="0"/>
    <s v="Nuevo León"/>
    <s v="19"/>
    <m/>
    <m/>
    <s v="19011"/>
    <s v="Cerralvo"/>
    <x v="5"/>
    <s v="Quema de Residuos"/>
    <n v="0.50061157758322739"/>
    <n v="0.45845481315516612"/>
    <n v="1.3173988883769141E-2"/>
    <n v="1.1197890551203771"/>
    <n v="7.9043933302614847E-2"/>
    <n v="0.11271664888952876"/>
    <m/>
    <s v="Estatal"/>
  </r>
  <r>
    <x v="0"/>
    <s v="Nuevo León"/>
    <s v="19"/>
    <s v="19.01"/>
    <s v="Monterrey"/>
    <s v="19012"/>
    <s v="Ciénega de Flores"/>
    <x v="5"/>
    <s v="Quema de Residuos"/>
    <n v="0.42206303186098998"/>
    <n v="0.3865208818095382"/>
    <n v="1.1106921891078682E-2"/>
    <n v="0.94408836074168812"/>
    <n v="6.6641531346472105E-2"/>
    <n v="9.5030823700069211E-2"/>
    <m/>
    <s v="Estatal"/>
  </r>
  <r>
    <x v="0"/>
    <s v="Nuevo León"/>
    <s v="19"/>
    <m/>
    <m/>
    <s v="19013"/>
    <s v="China"/>
    <x v="5"/>
    <s v="Quema de Residuos"/>
    <n v="1.6481425437919075"/>
    <n v="1.5093515927357466"/>
    <n v="4.33721722050502E-2"/>
    <n v="3.6866346374292664"/>
    <n v="0.26023303323030117"/>
    <n v="0.37109230538640942"/>
    <m/>
    <s v="Estatal"/>
  </r>
  <r>
    <x v="0"/>
    <s v="Nuevo León"/>
    <s v="19"/>
    <m/>
    <m/>
    <s v="19014"/>
    <s v="Doctor Arroyo"/>
    <x v="5"/>
    <s v="Quema de Residuos"/>
    <n v="22.593152534495257"/>
    <n v="20.690571268432496"/>
    <n v="0.59455664564461197"/>
    <n v="50.537314879792028"/>
    <n v="3.5673398738676725"/>
    <n v="5.0870266601353"/>
    <m/>
    <s v="Estatal"/>
  </r>
  <r>
    <x v="0"/>
    <s v="Nuevo León"/>
    <s v="19"/>
    <m/>
    <m/>
    <s v="19015"/>
    <s v="Doctor Coss"/>
    <x v="5"/>
    <s v="Quema de Residuos"/>
    <n v="0.31591609057914438"/>
    <n v="0.28931263031984805"/>
    <n v="8.313581331030117E-3"/>
    <n v="0.70665441313755994"/>
    <n v="4.9881487986180695E-2"/>
    <n v="7.1131001868293672E-2"/>
    <m/>
    <s v="Estatal"/>
  </r>
  <r>
    <x v="0"/>
    <s v="Nuevo León"/>
    <s v="19"/>
    <m/>
    <m/>
    <s v="19016"/>
    <s v="Doctor González"/>
    <x v="5"/>
    <s v="Quema de Residuos"/>
    <n v="0.3511644454375043"/>
    <n v="0.32159270266381973"/>
    <n v="9.2411696167764307E-3"/>
    <n v="0.7854994174259966"/>
    <n v="5.5447017700658574E-2"/>
    <n v="7.9067447241139122E-2"/>
    <m/>
    <s v="Estatal"/>
  </r>
  <r>
    <x v="0"/>
    <s v="Nuevo León"/>
    <s v="19"/>
    <m/>
    <m/>
    <s v="19017"/>
    <s v="Galeana"/>
    <x v="5"/>
    <s v="Quema de Residuos"/>
    <n v="23.597137854600977"/>
    <n v="21.61001045631879"/>
    <n v="0.62097731196318362"/>
    <n v="52.783071516870606"/>
    <n v="3.7258638717791013"/>
    <n v="5.3130818811569975"/>
    <m/>
    <s v="Estatal"/>
  </r>
  <r>
    <x v="0"/>
    <s v="Nuevo León"/>
    <s v="19"/>
    <s v="19.01"/>
    <s v="Monterrey"/>
    <s v="19018"/>
    <s v="García"/>
    <x v="5"/>
    <s v="Quema de Residuos"/>
    <n v="2.7735635400737566"/>
    <n v="2.5400002945938609"/>
    <n v="7.2988514212467284E-2"/>
    <n v="6.2040237080597187"/>
    <n v="0.43793108527480362"/>
    <n v="0.62448972760186994"/>
    <m/>
    <s v="Estatal"/>
  </r>
  <r>
    <x v="0"/>
    <s v="Nuevo León"/>
    <s v="19"/>
    <s v="19.01"/>
    <s v="Monterrey"/>
    <s v="19019"/>
    <s v="San Pedro Garza García"/>
    <x v="5"/>
    <s v="Quema de Residuos"/>
    <n v="3.734962953526829E-2"/>
    <n v="3.4204397574403599E-2"/>
    <n v="9.8288498777021832E-4"/>
    <n v="8.3545223960468568E-2"/>
    <n v="5.8973099266213099E-3"/>
    <n v="8.4095639553619875E-3"/>
    <m/>
    <s v="Estatal"/>
  </r>
  <r>
    <x v="0"/>
    <s v="Nuevo León"/>
    <s v="19"/>
    <m/>
    <m/>
    <s v="19020"/>
    <s v="General Bravo"/>
    <x v="5"/>
    <s v="Quema de Residuos"/>
    <n v="0.42625520908589409"/>
    <n v="0.39036003358392407"/>
    <n v="1.1217242344365634E-2"/>
    <n v="0.95346559927107899"/>
    <n v="6.7303454066193813E-2"/>
    <n v="9.5974725498392366E-2"/>
    <m/>
    <s v="Estatal"/>
  </r>
  <r>
    <x v="0"/>
    <s v="Nuevo León"/>
    <s v="19"/>
    <s v="19.01"/>
    <s v="Monterrey"/>
    <s v="19021"/>
    <s v="General Escobedo"/>
    <x v="5"/>
    <s v="Quema de Residuos"/>
    <n v="4.9168552438979454"/>
    <n v="4.5028042759907505"/>
    <n v="0.12939092747099859"/>
    <n v="10.99822883503488"/>
    <n v="0.77634556482599137"/>
    <n v="1.1070687754418636"/>
    <m/>
    <s v="Estatal"/>
  </r>
  <r>
    <x v="0"/>
    <s v="Nuevo León"/>
    <s v="19"/>
    <m/>
    <m/>
    <s v="19022"/>
    <s v="General Terán"/>
    <x v="5"/>
    <s v="Quema de Residuos"/>
    <n v="2.2270454823397046"/>
    <n v="2.0395048101426765"/>
    <n v="5.8606460061571171E-2"/>
    <n v="4.9815491052335501"/>
    <n v="0.35163876036942704"/>
    <n v="0.50143687228680289"/>
    <m/>
    <s v="Estatal"/>
  </r>
  <r>
    <x v="0"/>
    <s v="Nuevo León"/>
    <s v="19"/>
    <m/>
    <m/>
    <s v="19023"/>
    <s v="General Treviño"/>
    <x v="5"/>
    <s v="Quema de Residuos"/>
    <n v="4.2878496920704279E-2"/>
    <n v="3.9267676127381822E-2"/>
    <n v="1.1283814979132706E-3"/>
    <n v="9.5912427322628002E-2"/>
    <n v="6.7702889874796243E-3"/>
    <n v="9.6544320961459429E-3"/>
    <m/>
    <s v="Estatal"/>
  </r>
  <r>
    <x v="0"/>
    <s v="Nuevo León"/>
    <s v="19"/>
    <m/>
    <m/>
    <s v="19024"/>
    <s v="General Zaragoza"/>
    <x v="5"/>
    <s v="Quema de Residuos"/>
    <n v="2.2588552248396225"/>
    <n v="2.0686358374847074"/>
    <n v="5.944355854841113E-2"/>
    <n v="5.0527024766149458"/>
    <n v="0.35666135129046678"/>
    <n v="0.5085990869402055"/>
    <m/>
    <s v="Estatal"/>
  </r>
  <r>
    <x v="0"/>
    <s v="Nuevo León"/>
    <s v="19"/>
    <s v="19.01"/>
    <s v="Monterrey"/>
    <s v="19025"/>
    <s v="General Zuazua"/>
    <x v="5"/>
    <s v="Quema de Residuos"/>
    <n v="1.0978021993692118"/>
    <n v="1.0053556983696994"/>
    <n v="2.8889531562347685E-2"/>
    <n v="2.4556101827995533"/>
    <n v="0.1733371893740861"/>
    <n v="0.24717883204744676"/>
    <m/>
    <s v="Estatal"/>
  </r>
  <r>
    <x v="0"/>
    <s v="Nuevo León"/>
    <s v="19"/>
    <s v="19.01"/>
    <s v="Monterrey"/>
    <s v="19026"/>
    <s v="Guadalupe"/>
    <x v="5"/>
    <s v="Quema de Residuos"/>
    <n v="1.3669833480383529"/>
    <n v="1.2518689608351232"/>
    <n v="3.597324600100929E-2"/>
    <n v="3.0577259100857899"/>
    <n v="0.21583947600605574"/>
    <n v="0.30778709278463545"/>
    <m/>
    <s v="Estatal"/>
  </r>
  <r>
    <x v="0"/>
    <s v="Nuevo León"/>
    <s v="19"/>
    <m/>
    <m/>
    <s v="19027"/>
    <s v="Los Herreras"/>
    <x v="5"/>
    <s v="Quema de Residuos"/>
    <n v="5.6161147588487101E-2"/>
    <n v="5.1431787791561871E-2"/>
    <n v="1.4779249365391345E-3"/>
    <n v="0.12562361960582644"/>
    <n v="8.8675496192348064E-3"/>
    <n v="1.2645125757028832E-2"/>
    <m/>
    <s v="Estatal"/>
  </r>
  <r>
    <x v="0"/>
    <s v="Nuevo León"/>
    <s v="19"/>
    <m/>
    <m/>
    <s v="19028"/>
    <s v="Higueras"/>
    <x v="5"/>
    <s v="Quema de Residuos"/>
    <n v="7.9760372609113256E-2"/>
    <n v="7.3043709652556355E-2"/>
    <n v="2.0989571739240334E-3"/>
    <n v="0.17841135978354286"/>
    <n v="1.2593743043544199E-2"/>
    <n v="1.7958677580094028E-2"/>
    <m/>
    <s v="Estatal"/>
  </r>
  <r>
    <x v="0"/>
    <s v="Nuevo León"/>
    <s v="19"/>
    <m/>
    <m/>
    <s v="19029"/>
    <s v="Hualahuises"/>
    <x v="5"/>
    <s v="Quema de Residuos"/>
    <n v="0.56738147245668002"/>
    <n v="0.51960198003927549"/>
    <n v="1.4931091380438952E-2"/>
    <n v="1.269142767337311"/>
    <n v="8.9586548282633696E-2"/>
    <n v="0.12775041785103564"/>
    <m/>
    <s v="Estatal"/>
  </r>
  <r>
    <x v="0"/>
    <s v="Nuevo León"/>
    <s v="19"/>
    <m/>
    <m/>
    <s v="19030"/>
    <s v="Iturbide"/>
    <x v="5"/>
    <s v="Quema de Residuos"/>
    <n v="1.3961214918359699"/>
    <n v="1.2785533662076778"/>
    <n v="3.6740039258841312E-2"/>
    <n v="3.122903337001512"/>
    <n v="0.2204402355530479"/>
    <n v="0.31434777589864626"/>
    <m/>
    <s v="Estatal"/>
  </r>
  <r>
    <x v="0"/>
    <s v="Nuevo León"/>
    <s v="19"/>
    <s v="19.01"/>
    <s v="Monterrey"/>
    <s v="19031"/>
    <s v="Juárez"/>
    <x v="5"/>
    <s v="Quema de Residuos"/>
    <n v="3.4852654009447162"/>
    <n v="3.1917693671809508"/>
    <n v="9.1717510551176745E-2"/>
    <n v="7.7959883968500234"/>
    <n v="0.55030506330706042"/>
    <n v="0.78473502027586817"/>
    <m/>
    <s v="Estatal"/>
  </r>
  <r>
    <x v="0"/>
    <s v="Nuevo León"/>
    <s v="19"/>
    <m/>
    <m/>
    <s v="19032"/>
    <s v="Lampazos de Naranjo"/>
    <x v="5"/>
    <s v="Quema de Residuos"/>
    <n v="0.27983719213804442"/>
    <n v="0.25627195490536703"/>
    <n v="7.364136635211696E-3"/>
    <n v="0.62595161399299426"/>
    <n v="4.4184819811270176E-2"/>
    <n v="6.3007553050871259E-2"/>
    <m/>
    <s v="Estatal"/>
  </r>
  <r>
    <x v="0"/>
    <s v="Nuevo León"/>
    <s v="19"/>
    <m/>
    <m/>
    <s v="19033"/>
    <s v="Linares"/>
    <x v="5"/>
    <s v="Quema de Residuos"/>
    <n v="9.8357812960896673"/>
    <n v="9.007504976418959"/>
    <n v="0.25883634989709653"/>
    <n v="22.001089741253207"/>
    <n v="1.5530180993825791"/>
    <n v="2.2146038097195575"/>
    <m/>
    <s v="Estatal"/>
  </r>
  <r>
    <x v="0"/>
    <s v="Nuevo León"/>
    <s v="19"/>
    <m/>
    <m/>
    <s v="19034"/>
    <s v="Marín"/>
    <x v="5"/>
    <s v="Quema de Residuos"/>
    <n v="7.2426594821613274E-2"/>
    <n v="6.6327513152424786E-2"/>
    <n v="1.905963021621402E-3"/>
    <n v="0.16200685683781918"/>
    <n v="1.1435778129728413E-2"/>
    <n v="1.6307419612992712E-2"/>
    <m/>
    <s v="Estatal"/>
  </r>
  <r>
    <x v="0"/>
    <s v="Nuevo León"/>
    <s v="19"/>
    <m/>
    <m/>
    <s v="19035"/>
    <s v="Melchor Ocampo"/>
    <x v="5"/>
    <s v="Quema de Residuos"/>
    <n v="1.5451529039564539E-2"/>
    <n v="1.4150347646759105E-2"/>
    <n v="4.0661918525169841E-4"/>
    <n v="3.4562630746394367E-2"/>
    <n v="2.4397151115101907E-3"/>
    <n v="3.4790337490135316E-3"/>
    <m/>
    <s v="Estatal"/>
  </r>
  <r>
    <x v="0"/>
    <s v="Nuevo León"/>
    <s v="19"/>
    <m/>
    <m/>
    <s v="19036"/>
    <s v="Mier y Noriega"/>
    <x v="5"/>
    <s v="Quema de Residuos"/>
    <n v="5.313407717707471"/>
    <n v="4.8659628572689471"/>
    <n v="0.13982651888703873"/>
    <n v="11.885254105398291"/>
    <n v="0.83895911332223227"/>
    <n v="1.1963556955975032"/>
    <m/>
    <s v="Estatal"/>
  </r>
  <r>
    <x v="0"/>
    <s v="Nuevo León"/>
    <s v="19"/>
    <m/>
    <m/>
    <s v="19037"/>
    <s v="Mina"/>
    <x v="5"/>
    <s v="Quema de Residuos"/>
    <n v="0.72961185585018329"/>
    <n v="0.66817085746279936"/>
    <n v="1.9200311996057453E-2"/>
    <n v="1.6320265196648835"/>
    <n v="0.11520187197634472"/>
    <n v="0.16427786943826755"/>
    <m/>
    <s v="Estatal"/>
  </r>
  <r>
    <x v="0"/>
    <s v="Nuevo León"/>
    <s v="19"/>
    <m/>
    <m/>
    <s v="19038"/>
    <s v="Montemorelos"/>
    <x v="5"/>
    <s v="Quema de Residuos"/>
    <n v="6.1212853852490934"/>
    <n v="5.6058087212281169"/>
    <n v="0.16108645750655509"/>
    <n v="13.692348888057184"/>
    <n v="0.96651874503933066"/>
    <n v="1.3782557304260852"/>
    <m/>
    <s v="Estatal"/>
  </r>
  <r>
    <x v="0"/>
    <s v="Nuevo León"/>
    <s v="19"/>
    <s v="19.01"/>
    <s v="Monterrey"/>
    <s v="19039"/>
    <s v="Monterrey"/>
    <x v="5"/>
    <s v="Quema de Residuos"/>
    <n v="1.5934126524506473"/>
    <n v="1.4592305343495402"/>
    <n v="4.1931911906595988E-2"/>
    <n v="3.5642125120606587"/>
    <n v="0.25159147143957589"/>
    <n v="0.35876943827283519"/>
    <m/>
    <s v="Estatal"/>
  </r>
  <r>
    <x v="0"/>
    <s v="Nuevo León"/>
    <s v="19"/>
    <m/>
    <m/>
    <s v="19040"/>
    <s v="Parás"/>
    <x v="5"/>
    <s v="Quema de Residuos"/>
    <n v="6.2018730046876538E-2"/>
    <n v="5.6796100148192204E-2"/>
    <n v="1.6320718433388563E-3"/>
    <n v="0.13872610668380281"/>
    <n v="9.7924310600331389E-3"/>
    <n v="1.3964006691607255E-2"/>
    <m/>
    <s v="Estatal"/>
  </r>
  <r>
    <x v="0"/>
    <s v="Nuevo León"/>
    <s v="19"/>
    <s v="19.01"/>
    <s v="Monterrey"/>
    <s v="19041"/>
    <s v="Pesquería"/>
    <x v="5"/>
    <s v="Quema de Residuos"/>
    <n v="0.84791130531223846"/>
    <n v="0.77650824802278695"/>
    <n v="2.2313455402953646E-2"/>
    <n v="1.89664370925106"/>
    <n v="0.13388073241772186"/>
    <n v="0.19091392442767136"/>
    <m/>
    <s v="Estatal"/>
  </r>
  <r>
    <x v="0"/>
    <s v="Nuevo León"/>
    <s v="19"/>
    <m/>
    <m/>
    <s v="19042"/>
    <s v="Los Ramones"/>
    <x v="5"/>
    <s v="Quema de Residuos"/>
    <n v="0.71524983743502246"/>
    <n v="0.65501827217733621"/>
    <n v="1.8822364143026907E-2"/>
    <n v="1.5999009521572871"/>
    <n v="0.11293418485816142"/>
    <n v="0.16104414760773819"/>
    <m/>
    <s v="Estatal"/>
  </r>
  <r>
    <x v="0"/>
    <s v="Nuevo León"/>
    <s v="19"/>
    <m/>
    <m/>
    <s v="19043"/>
    <s v="Rayones"/>
    <x v="5"/>
    <s v="Quema de Residuos"/>
    <n v="0.60456347413924105"/>
    <n v="0.55365286579067341"/>
    <n v="1.5909565108927399E-2"/>
    <n v="1.3523130342588288"/>
    <n v="9.5457390653564372E-2"/>
    <n v="0.13612223907198279"/>
    <m/>
    <s v="Estatal"/>
  </r>
  <r>
    <x v="0"/>
    <s v="Nuevo León"/>
    <s v="19"/>
    <m/>
    <m/>
    <s v="19044"/>
    <s v="Sabinas Hidalgo"/>
    <x v="5"/>
    <s v="Quema de Residuos"/>
    <n v="0.39013667461656049"/>
    <n v="0.35728305991200804"/>
    <n v="1.0266754595172645E-2"/>
    <n v="0.87267414058967485"/>
    <n v="6.1600527571035867E-2"/>
    <n v="8.784235231629714E-2"/>
    <m/>
    <s v="Estatal"/>
  </r>
  <r>
    <x v="0"/>
    <s v="Nuevo León"/>
    <s v="19"/>
    <s v="19.01"/>
    <s v="Monterrey"/>
    <s v="19045"/>
    <s v="Salinas Victoria"/>
    <x v="5"/>
    <s v="Quema de Residuos"/>
    <n v="5.3179792666942625"/>
    <n v="4.8701494337094822"/>
    <n v="0.13994682280774373"/>
    <n v="11.895479938658218"/>
    <n v="0.8396809368464625"/>
    <n v="1.1973850159430552"/>
    <m/>
    <s v="Estatal"/>
  </r>
  <r>
    <x v="0"/>
    <s v="Nuevo León"/>
    <s v="19"/>
    <s v="19.01"/>
    <s v="Monterrey"/>
    <s v="19046"/>
    <s v="San Nicolás de los Garza"/>
    <x v="5"/>
    <s v="Quema de Residuos"/>
    <n v="0"/>
    <n v="0"/>
    <n v="0"/>
    <n v="0"/>
    <n v="0"/>
    <n v="0"/>
    <m/>
    <s v="Estatal"/>
  </r>
  <r>
    <x v="0"/>
    <s v="Nuevo León"/>
    <s v="19"/>
    <s v="19.01"/>
    <s v="Monterrey"/>
    <s v="19047"/>
    <s v="Hidalgo"/>
    <x v="5"/>
    <s v="Quema de Residuos"/>
    <n v="0.57647088528430712"/>
    <n v="0.5279259686287866"/>
    <n v="1.5170286454850189E-2"/>
    <n v="1.289474348662266"/>
    <n v="9.1021718729101128E-2"/>
    <n v="0.12979697090769818"/>
    <m/>
    <s v="Estatal"/>
  </r>
  <r>
    <x v="0"/>
    <s v="Nuevo León"/>
    <s v="19"/>
    <s v="19.01"/>
    <s v="Monterrey"/>
    <s v="19048"/>
    <s v="Santa Catarina"/>
    <x v="5"/>
    <s v="Quema de Residuos"/>
    <n v="4.8413069655380117"/>
    <n v="4.433617957913758"/>
    <n v="0.12740281488257926"/>
    <n v="10.829239265019238"/>
    <n v="0.76441688929547558"/>
    <n v="1.090058484135348"/>
    <m/>
    <s v="Estatal"/>
  </r>
  <r>
    <x v="0"/>
    <s v="Nuevo León"/>
    <s v="19"/>
    <s v="19.01"/>
    <s v="Monterrey"/>
    <s v="19049"/>
    <s v="Santiago"/>
    <x v="5"/>
    <s v="Quema de Residuos"/>
    <n v="1.3029995731347817"/>
    <n v="1.1932732932918528"/>
    <n v="3.4289462450915312E-2"/>
    <n v="2.9146043083278017"/>
    <n v="0.20573677470549187"/>
    <n v="0.29338064073003134"/>
    <m/>
    <s v="Estatal"/>
  </r>
  <r>
    <x v="0"/>
    <s v="Nuevo León"/>
    <s v="19"/>
    <m/>
    <m/>
    <s v="19050"/>
    <s v="Vallecillo"/>
    <x v="5"/>
    <s v="Quema de Residuos"/>
    <n v="0.24742074244419746"/>
    <n v="0.22658531150152819"/>
    <n v="6.5110721695841433E-3"/>
    <n v="0.55344113441465215"/>
    <n v="3.9066433017504863E-2"/>
    <n v="5.5708733482961924E-2"/>
    <m/>
    <s v="Estatal"/>
  </r>
  <r>
    <x v="0"/>
    <s v="Nuevo León"/>
    <s v="19"/>
    <m/>
    <m/>
    <s v="19051"/>
    <s v="Villaldama"/>
    <x v="5"/>
    <s v="Quema de Residuos"/>
    <n v="0.17145182434171538"/>
    <n v="0.15701377597609725"/>
    <n v="4.5118901142556693E-3"/>
    <n v="0.38351065971173187"/>
    <n v="2.7071340685534011E-2"/>
    <n v="3.8603731817571499E-2"/>
    <m/>
    <s v="Estatal"/>
  </r>
  <r>
    <x v="0"/>
    <s v="Nuevo León"/>
    <s v="19"/>
    <s v="19.01"/>
    <s v="Monterrey"/>
    <s v="19001"/>
    <s v="Abasolo"/>
    <x v="5"/>
    <s v="Rellenos Sanitarios"/>
    <n v="0"/>
    <n v="0"/>
    <n v="0"/>
    <n v="0"/>
    <m/>
    <n v="0"/>
    <m/>
    <s v="Estatal"/>
  </r>
  <r>
    <x v="0"/>
    <s v="Nuevo León"/>
    <s v="19"/>
    <m/>
    <m/>
    <s v="19002"/>
    <s v="Agualeguas"/>
    <x v="5"/>
    <s v="Rellenos Sanitarios"/>
    <n v="0"/>
    <n v="0"/>
    <n v="0"/>
    <n v="3.8204577110563407E-3"/>
    <m/>
    <n v="0.20257752758029526"/>
    <m/>
    <s v="Estatal"/>
  </r>
  <r>
    <x v="0"/>
    <s v="Nuevo León"/>
    <s v="19"/>
    <m/>
    <m/>
    <s v="19003"/>
    <s v="Los Aldamas"/>
    <x v="5"/>
    <s v="Rellenos Sanitarios"/>
    <n v="0"/>
    <n v="0"/>
    <n v="0"/>
    <n v="1.5476488410137478E-3"/>
    <m/>
    <n v="8.2063171349274766E-2"/>
    <m/>
    <s v="Estatal"/>
  </r>
  <r>
    <x v="0"/>
    <s v="Nuevo León"/>
    <s v="19"/>
    <m/>
    <m/>
    <s v="19004"/>
    <s v="Allende"/>
    <x v="5"/>
    <s v="Rellenos Sanitarios"/>
    <n v="0"/>
    <n v="0"/>
    <n v="0"/>
    <n v="0"/>
    <m/>
    <n v="0"/>
    <m/>
    <s v="Estatal"/>
  </r>
  <r>
    <x v="0"/>
    <s v="Nuevo León"/>
    <s v="19"/>
    <m/>
    <m/>
    <s v="19005"/>
    <s v="Anáhuac"/>
    <x v="5"/>
    <s v="Rellenos Sanitarios"/>
    <n v="0"/>
    <n v="0"/>
    <n v="0"/>
    <n v="0.14181031570492153"/>
    <m/>
    <n v="7.5194087498330298"/>
    <m/>
    <s v="Estatal"/>
  </r>
  <r>
    <x v="0"/>
    <s v="Nuevo León"/>
    <s v="19"/>
    <s v="19.01"/>
    <s v="Monterrey"/>
    <s v="19006"/>
    <s v="Apodaca"/>
    <x v="5"/>
    <s v="Rellenos Sanitarios"/>
    <n v="0"/>
    <n v="0"/>
    <n v="0"/>
    <n v="0"/>
    <m/>
    <n v="0"/>
    <m/>
    <s v="Estatal"/>
  </r>
  <r>
    <x v="0"/>
    <s v="Nuevo León"/>
    <s v="19"/>
    <m/>
    <m/>
    <s v="19007"/>
    <s v="Aramberri"/>
    <x v="5"/>
    <s v="Rellenos Sanitarios"/>
    <n v="0"/>
    <n v="0"/>
    <n v="0"/>
    <n v="1.303333784293379E-3"/>
    <m/>
    <n v="6.9108508875765168E-2"/>
    <m/>
    <s v="Estatal"/>
  </r>
  <r>
    <x v="0"/>
    <s v="Nuevo León"/>
    <s v="19"/>
    <m/>
    <m/>
    <s v="19008"/>
    <s v="Bustamante"/>
    <x v="5"/>
    <s v="Rellenos Sanitarios"/>
    <n v="0"/>
    <n v="0"/>
    <n v="0"/>
    <n v="2.7939087826748081E-2"/>
    <m/>
    <n v="1.4814537322090737"/>
    <m/>
    <s v="Estatal"/>
  </r>
  <r>
    <x v="0"/>
    <s v="Nuevo León"/>
    <s v="19"/>
    <s v="19.01"/>
    <s v="Monterrey"/>
    <s v="19009"/>
    <s v="Cadereyta Jiménez"/>
    <x v="5"/>
    <s v="Rellenos Sanitarios"/>
    <n v="0"/>
    <n v="0"/>
    <n v="0"/>
    <n v="1.8453032683837118"/>
    <m/>
    <n v="97.846122642109165"/>
    <m/>
    <s v="Estatal"/>
  </r>
  <r>
    <x v="0"/>
    <s v="Nuevo León"/>
    <s v="19"/>
    <s v="19.01"/>
    <s v="Monterrey"/>
    <s v="19010"/>
    <s v="El Carmen"/>
    <x v="5"/>
    <s v="Rellenos Sanitarios"/>
    <n v="0"/>
    <n v="0"/>
    <n v="0"/>
    <n v="0"/>
    <m/>
    <n v="0"/>
    <m/>
    <s v="Estatal"/>
  </r>
  <r>
    <x v="0"/>
    <s v="Nuevo León"/>
    <s v="19"/>
    <m/>
    <m/>
    <s v="19011"/>
    <s v="Cerralvo"/>
    <x v="5"/>
    <s v="Rellenos Sanitarios"/>
    <n v="0"/>
    <n v="0"/>
    <n v="0"/>
    <n v="4.2966070025712663E-2"/>
    <m/>
    <n v="2.2782506427074405"/>
    <m/>
    <s v="Estatal"/>
  </r>
  <r>
    <x v="0"/>
    <s v="Nuevo León"/>
    <s v="19"/>
    <s v="19.01"/>
    <s v="Monterrey"/>
    <s v="19012"/>
    <s v="Ciénega de Flores"/>
    <x v="5"/>
    <s v="Rellenos Sanitarios"/>
    <n v="0"/>
    <n v="0"/>
    <n v="0"/>
    <n v="0"/>
    <m/>
    <n v="0"/>
    <m/>
    <s v="Estatal"/>
  </r>
  <r>
    <x v="0"/>
    <s v="Nuevo León"/>
    <s v="19"/>
    <m/>
    <m/>
    <s v="19013"/>
    <s v="China"/>
    <x v="5"/>
    <s v="Rellenos Sanitarios"/>
    <n v="0"/>
    <n v="0"/>
    <n v="0"/>
    <n v="8.8200783649971484E-2"/>
    <m/>
    <n v="4.6767947805697512"/>
    <m/>
    <s v="Estatal"/>
  </r>
  <r>
    <x v="0"/>
    <s v="Nuevo León"/>
    <s v="19"/>
    <m/>
    <m/>
    <s v="19014"/>
    <s v="Doctor Arroyo"/>
    <x v="5"/>
    <s v="Rellenos Sanitarios"/>
    <n v="0"/>
    <n v="0"/>
    <n v="0"/>
    <n v="4.7313127432908386E-2"/>
    <m/>
    <n v="2.5087508100698042"/>
    <m/>
    <s v="Estatal"/>
  </r>
  <r>
    <x v="0"/>
    <s v="Nuevo León"/>
    <s v="19"/>
    <m/>
    <m/>
    <s v="19015"/>
    <s v="Doctor Coss"/>
    <x v="5"/>
    <s v="Rellenos Sanitarios"/>
    <n v="0"/>
    <n v="0"/>
    <n v="0"/>
    <n v="1.1291897211751162E-3"/>
    <m/>
    <n v="5.9874622148739884E-2"/>
    <m/>
    <s v="Estatal"/>
  </r>
  <r>
    <x v="0"/>
    <s v="Nuevo León"/>
    <s v="19"/>
    <m/>
    <m/>
    <s v="19016"/>
    <s v="Doctor González"/>
    <x v="5"/>
    <s v="Rellenos Sanitarios"/>
    <n v="0"/>
    <n v="0"/>
    <n v="0"/>
    <n v="1.7182884826975001E-2"/>
    <m/>
    <n v="0.91111238186775267"/>
    <m/>
    <s v="Estatal"/>
  </r>
  <r>
    <x v="0"/>
    <s v="Nuevo León"/>
    <s v="19"/>
    <m/>
    <m/>
    <s v="19017"/>
    <s v="Galeana"/>
    <x v="5"/>
    <s v="Rellenos Sanitarios"/>
    <n v="0"/>
    <n v="0"/>
    <n v="0"/>
    <n v="6.0673843305741847E-2"/>
    <m/>
    <n v="3.2171949266971405"/>
    <m/>
    <s v="Estatal"/>
  </r>
  <r>
    <x v="0"/>
    <s v="Nuevo León"/>
    <s v="19"/>
    <s v="19.01"/>
    <s v="Monterrey"/>
    <s v="19018"/>
    <s v="García"/>
    <x v="5"/>
    <s v="Rellenos Sanitarios"/>
    <n v="0"/>
    <n v="0"/>
    <n v="0"/>
    <n v="1.1438810390553376"/>
    <m/>
    <n v="60.653620655766545"/>
    <m/>
    <s v="Estatal"/>
  </r>
  <r>
    <x v="0"/>
    <s v="Nuevo León"/>
    <s v="19"/>
    <s v="19.01"/>
    <s v="Monterrey"/>
    <s v="19019"/>
    <s v="San Pedro Garza García"/>
    <x v="5"/>
    <s v="Rellenos Sanitarios"/>
    <n v="0"/>
    <n v="0"/>
    <n v="0"/>
    <n v="0"/>
    <m/>
    <n v="0"/>
    <m/>
    <s v="Estatal"/>
  </r>
  <r>
    <x v="0"/>
    <s v="Nuevo León"/>
    <s v="19"/>
    <m/>
    <m/>
    <s v="19020"/>
    <s v="General Bravo"/>
    <x v="5"/>
    <s v="Rellenos Sanitarios"/>
    <n v="0"/>
    <n v="0"/>
    <n v="0"/>
    <n v="0"/>
    <m/>
    <n v="0"/>
    <m/>
    <s v="Estatal"/>
  </r>
  <r>
    <x v="0"/>
    <s v="Nuevo León"/>
    <s v="19"/>
    <s v="19.01"/>
    <s v="Monterrey"/>
    <s v="19021"/>
    <s v="General Escobedo"/>
    <x v="5"/>
    <s v="Rellenos Sanitarios"/>
    <n v="0"/>
    <n v="0"/>
    <n v="0"/>
    <n v="0"/>
    <m/>
    <n v="0"/>
    <m/>
    <s v="Estatal"/>
  </r>
  <r>
    <x v="0"/>
    <s v="Nuevo León"/>
    <s v="19"/>
    <m/>
    <m/>
    <s v="19022"/>
    <s v="General Terán"/>
    <x v="5"/>
    <s v="Rellenos Sanitarios"/>
    <n v="0"/>
    <n v="0"/>
    <n v="0"/>
    <n v="9.4867683067999573E-2"/>
    <m/>
    <n v="5.0303032088458002"/>
    <m/>
    <s v="Estatal"/>
  </r>
  <r>
    <x v="0"/>
    <s v="Nuevo León"/>
    <s v="19"/>
    <m/>
    <m/>
    <s v="19023"/>
    <s v="General Treviño"/>
    <x v="5"/>
    <s v="Rellenos Sanitarios"/>
    <n v="0"/>
    <n v="0"/>
    <n v="0"/>
    <n v="2.1649260362652599E-2"/>
    <m/>
    <n v="1.1479393229550068"/>
    <m/>
    <s v="Estatal"/>
  </r>
  <r>
    <x v="0"/>
    <s v="Nuevo León"/>
    <s v="19"/>
    <m/>
    <m/>
    <s v="19024"/>
    <s v="General Zaragoza"/>
    <x v="5"/>
    <s v="Rellenos Sanitarios"/>
    <n v="0"/>
    <n v="0"/>
    <n v="0"/>
    <n v="3.7639657372503877E-3"/>
    <m/>
    <n v="0.19958207382913293"/>
    <m/>
    <s v="Estatal"/>
  </r>
  <r>
    <x v="0"/>
    <s v="Nuevo León"/>
    <s v="19"/>
    <s v="19.01"/>
    <s v="Monterrey"/>
    <s v="19025"/>
    <s v="General Zuazua"/>
    <x v="5"/>
    <s v="Rellenos Sanitarios"/>
    <n v="0"/>
    <n v="0"/>
    <n v="0"/>
    <n v="0.30625290333259203"/>
    <m/>
    <n v="16.238880433582882"/>
    <m/>
    <s v="Estatal"/>
  </r>
  <r>
    <x v="0"/>
    <s v="Nuevo León"/>
    <s v="19"/>
    <s v="19.01"/>
    <s v="Monterrey"/>
    <s v="19026"/>
    <s v="Guadalupe"/>
    <x v="5"/>
    <s v="Rellenos Sanitarios"/>
    <n v="0"/>
    <n v="0"/>
    <n v="0"/>
    <n v="0"/>
    <m/>
    <n v="0"/>
    <m/>
    <s v="Estatal"/>
  </r>
  <r>
    <x v="0"/>
    <s v="Nuevo León"/>
    <s v="19"/>
    <m/>
    <m/>
    <s v="19027"/>
    <s v="Los Herreras"/>
    <x v="5"/>
    <s v="Rellenos Sanitarios"/>
    <n v="0"/>
    <n v="0"/>
    <n v="0"/>
    <n v="1.3746307861579998E-2"/>
    <m/>
    <n v="0.72888990549420207"/>
    <m/>
    <s v="Estatal"/>
  </r>
  <r>
    <x v="0"/>
    <s v="Nuevo León"/>
    <s v="19"/>
    <m/>
    <m/>
    <s v="19028"/>
    <s v="Higueras"/>
    <x v="5"/>
    <s v="Rellenos Sanitarios"/>
    <n v="0"/>
    <n v="0"/>
    <n v="0"/>
    <n v="1.0000769499797118E-2"/>
    <m/>
    <n v="0.53028493243265462"/>
    <m/>
    <s v="Estatal"/>
  </r>
  <r>
    <x v="0"/>
    <s v="Nuevo León"/>
    <s v="19"/>
    <m/>
    <m/>
    <s v="19029"/>
    <s v="Hualahuises"/>
    <x v="5"/>
    <s v="Rellenos Sanitarios"/>
    <n v="0"/>
    <n v="0"/>
    <n v="0"/>
    <n v="0"/>
    <m/>
    <n v="0"/>
    <m/>
    <s v="Estatal"/>
  </r>
  <r>
    <x v="0"/>
    <s v="Nuevo León"/>
    <s v="19"/>
    <m/>
    <m/>
    <s v="19030"/>
    <s v="Iturbide"/>
    <x v="5"/>
    <s v="Rellenos Sanitarios"/>
    <n v="0"/>
    <n v="0"/>
    <n v="0"/>
    <n v="1.289684613656043E-2"/>
    <m/>
    <n v="0.68384769614568475"/>
    <m/>
    <s v="Estatal"/>
  </r>
  <r>
    <x v="0"/>
    <s v="Nuevo León"/>
    <s v="19"/>
    <s v="19.01"/>
    <s v="Monterrey"/>
    <s v="19031"/>
    <s v="Juárez"/>
    <x v="5"/>
    <s v="Rellenos Sanitarios"/>
    <n v="0"/>
    <n v="0"/>
    <n v="0"/>
    <n v="0"/>
    <m/>
    <n v="0"/>
    <m/>
    <s v="Estatal"/>
  </r>
  <r>
    <x v="0"/>
    <s v="Nuevo León"/>
    <s v="19"/>
    <m/>
    <m/>
    <s v="19032"/>
    <s v="Lampazos de Naranjo"/>
    <x v="5"/>
    <s v="Rellenos Sanitarios"/>
    <n v="0"/>
    <n v="0"/>
    <n v="0"/>
    <n v="3.52714964670824E-2"/>
    <m/>
    <n v="1.8702503963544854"/>
    <m/>
    <s v="Estatal"/>
  </r>
  <r>
    <x v="0"/>
    <s v="Nuevo León"/>
    <s v="19"/>
    <m/>
    <m/>
    <s v="19033"/>
    <s v="Linares"/>
    <x v="5"/>
    <s v="Rellenos Sanitarios"/>
    <n v="0"/>
    <n v="0"/>
    <n v="0"/>
    <n v="0.63354894027863284"/>
    <m/>
    <n v="33.593560675031092"/>
    <m/>
    <s v="Estatal"/>
  </r>
  <r>
    <x v="0"/>
    <s v="Nuevo León"/>
    <s v="19"/>
    <m/>
    <m/>
    <s v="19034"/>
    <s v="Marín"/>
    <x v="5"/>
    <s v="Rellenos Sanitarios"/>
    <n v="0"/>
    <n v="0"/>
    <n v="0"/>
    <n v="0"/>
    <m/>
    <n v="0"/>
    <m/>
    <s v="Estatal"/>
  </r>
  <r>
    <x v="0"/>
    <s v="Nuevo León"/>
    <s v="19"/>
    <m/>
    <m/>
    <s v="19035"/>
    <s v="Melchor Ocampo"/>
    <x v="5"/>
    <s v="Rellenos Sanitarios"/>
    <n v="0"/>
    <n v="0"/>
    <n v="0"/>
    <n v="0"/>
    <m/>
    <n v="0"/>
    <m/>
    <s v="Estatal"/>
  </r>
  <r>
    <x v="0"/>
    <s v="Nuevo León"/>
    <s v="19"/>
    <m/>
    <m/>
    <s v="19036"/>
    <s v="Mier y Noriega"/>
    <x v="5"/>
    <s v="Rellenos Sanitarios"/>
    <n v="0"/>
    <n v="0"/>
    <n v="0"/>
    <n v="3.0952976820274956E-3"/>
    <m/>
    <n v="0.16412634269854953"/>
    <m/>
    <s v="Estatal"/>
  </r>
  <r>
    <x v="0"/>
    <s v="Nuevo León"/>
    <s v="19"/>
    <m/>
    <m/>
    <s v="19037"/>
    <s v="Mina"/>
    <x v="5"/>
    <s v="Rellenos Sanitarios"/>
    <n v="0"/>
    <n v="0"/>
    <n v="0"/>
    <n v="1.7694723949374973E-2"/>
    <m/>
    <n v="0.93825235089151282"/>
    <m/>
    <s v="Estatal"/>
  </r>
  <r>
    <x v="0"/>
    <s v="Nuevo León"/>
    <s v="19"/>
    <m/>
    <m/>
    <s v="19038"/>
    <s v="Montemorelos"/>
    <x v="5"/>
    <s v="Rellenos Sanitarios"/>
    <n v="0"/>
    <n v="0"/>
    <n v="0"/>
    <n v="0.46900618765455326"/>
    <m/>
    <n v="24.86877780114192"/>
    <m/>
    <s v="Estatal"/>
  </r>
  <r>
    <x v="0"/>
    <s v="Nuevo León"/>
    <s v="19"/>
    <s v="19.01"/>
    <s v="Monterrey"/>
    <s v="19039"/>
    <s v="Monterrey"/>
    <x v="5"/>
    <s v="Rellenos Sanitarios"/>
    <n v="0"/>
    <n v="0"/>
    <n v="0"/>
    <n v="0"/>
    <m/>
    <n v="0"/>
    <m/>
    <s v="Estatal"/>
  </r>
  <r>
    <x v="0"/>
    <s v="Nuevo León"/>
    <s v="19"/>
    <m/>
    <m/>
    <s v="19040"/>
    <s v="Parás"/>
    <x v="5"/>
    <s v="Rellenos Sanitarios"/>
    <n v="0"/>
    <n v="0"/>
    <n v="0"/>
    <n v="7.6409154221126815E-3"/>
    <m/>
    <n v="0.40515505516059053"/>
    <m/>
    <s v="Estatal"/>
  </r>
  <r>
    <x v="0"/>
    <s v="Nuevo León"/>
    <s v="19"/>
    <s v="19.01"/>
    <s v="Monterrey"/>
    <s v="19041"/>
    <s v="Pesquería"/>
    <x v="5"/>
    <s v="Rellenos Sanitarios"/>
    <n v="0"/>
    <n v="0"/>
    <n v="0"/>
    <n v="0"/>
    <m/>
    <n v="0"/>
    <m/>
    <s v="Estatal"/>
  </r>
  <r>
    <x v="0"/>
    <s v="Nuevo León"/>
    <s v="19"/>
    <m/>
    <m/>
    <s v="19042"/>
    <s v="Los Ramones"/>
    <x v="5"/>
    <s v="Rellenos Sanitarios"/>
    <n v="0"/>
    <n v="0"/>
    <n v="0"/>
    <n v="1.1557277405793837E-2"/>
    <m/>
    <n v="0.61281785050251991"/>
    <m/>
    <s v="Estatal"/>
  </r>
  <r>
    <x v="0"/>
    <s v="Nuevo León"/>
    <s v="19"/>
    <m/>
    <m/>
    <s v="19043"/>
    <s v="Rayones"/>
    <x v="5"/>
    <s v="Rellenos Sanitarios"/>
    <n v="0"/>
    <n v="0"/>
    <n v="0"/>
    <n v="3.4365769653949994E-3"/>
    <m/>
    <n v="0.18222247637355052"/>
    <m/>
    <s v="Estatal"/>
  </r>
  <r>
    <x v="0"/>
    <s v="Nuevo León"/>
    <s v="19"/>
    <m/>
    <m/>
    <s v="19044"/>
    <s v="Sabinas Hidalgo"/>
    <x v="5"/>
    <s v="Rellenos Sanitarios"/>
    <n v="0"/>
    <n v="0"/>
    <n v="0"/>
    <n v="0.17119161102776947"/>
    <m/>
    <n v="9.0773346879697279"/>
    <m/>
    <s v="Estatal"/>
  </r>
  <r>
    <x v="0"/>
    <s v="Nuevo León"/>
    <s v="19"/>
    <s v="19.01"/>
    <s v="Monterrey"/>
    <s v="19045"/>
    <s v="Salinas Victoria"/>
    <x v="5"/>
    <s v="Rellenos Sanitarios"/>
    <n v="0"/>
    <n v="0"/>
    <n v="0"/>
    <n v="19.173565646540645"/>
    <m/>
    <n v="1016.6670638269527"/>
    <m/>
    <s v="Estatal"/>
  </r>
  <r>
    <x v="0"/>
    <s v="Nuevo León"/>
    <s v="19"/>
    <s v="19.01"/>
    <s v="Monterrey"/>
    <s v="19046"/>
    <s v="San Nicolás de los Garza"/>
    <x v="5"/>
    <s v="Rellenos Sanitarios"/>
    <n v="0"/>
    <n v="0"/>
    <n v="0"/>
    <n v="0"/>
    <m/>
    <n v="0"/>
    <m/>
    <s v="Estatal"/>
  </r>
  <r>
    <x v="0"/>
    <s v="Nuevo León"/>
    <s v="19"/>
    <s v="19.01"/>
    <s v="Monterrey"/>
    <s v="19047"/>
    <s v="Hidalgo"/>
    <x v="5"/>
    <s v="Rellenos Sanitarios"/>
    <n v="0"/>
    <n v="0"/>
    <n v="0"/>
    <n v="0"/>
    <m/>
    <n v="0"/>
    <m/>
    <s v="Estatal"/>
  </r>
  <r>
    <x v="0"/>
    <s v="Nuevo León"/>
    <s v="19"/>
    <s v="19.01"/>
    <s v="Monterrey"/>
    <s v="19048"/>
    <s v="Santa Catarina"/>
    <x v="5"/>
    <s v="Rellenos Sanitarios"/>
    <n v="0"/>
    <n v="0"/>
    <n v="0"/>
    <n v="0"/>
    <m/>
    <n v="0"/>
    <m/>
    <s v="Estatal"/>
  </r>
  <r>
    <x v="0"/>
    <s v="Nuevo León"/>
    <s v="19"/>
    <s v="19.01"/>
    <s v="Monterrey"/>
    <s v="19049"/>
    <s v="Santiago"/>
    <x v="5"/>
    <s v="Rellenos Sanitarios"/>
    <n v="0"/>
    <n v="0"/>
    <n v="0"/>
    <n v="0"/>
    <m/>
    <n v="0"/>
    <m/>
    <s v="Estatal"/>
  </r>
  <r>
    <x v="0"/>
    <s v="Nuevo León"/>
    <s v="19"/>
    <m/>
    <m/>
    <s v="19050"/>
    <s v="Vallecillo"/>
    <x v="5"/>
    <s v="Rellenos Sanitarios"/>
    <n v="0"/>
    <n v="0"/>
    <n v="0"/>
    <n v="2.8710842602402697E-3"/>
    <m/>
    <n v="0.1522375576180269"/>
    <m/>
    <s v="Estatal"/>
  </r>
  <r>
    <x v="0"/>
    <s v="Nuevo León"/>
    <s v="19"/>
    <m/>
    <m/>
    <s v="19051"/>
    <s v="Villaldama"/>
    <x v="5"/>
    <s v="Rellenos Sanitarios"/>
    <n v="0"/>
    <n v="0"/>
    <n v="0"/>
    <n v="5.0984944579584697E-2"/>
    <m/>
    <n v="2.7034467589735169"/>
    <m/>
    <s v="Estatal"/>
  </r>
  <r>
    <x v="0"/>
    <s v="Nuevo León"/>
    <s v="19"/>
    <s v="19.01"/>
    <s v="Monterrey"/>
    <s v="19001"/>
    <s v="Abasolo"/>
    <x v="6"/>
    <s v="Caminos pavimentados y sin pavimentar"/>
    <n v="0.22615779329987259"/>
    <n v="3.5066874757293427E-2"/>
    <m/>
    <m/>
    <m/>
    <m/>
    <m/>
    <s v="Estatal"/>
  </r>
  <r>
    <x v="0"/>
    <s v="Nuevo León"/>
    <s v="19"/>
    <m/>
    <m/>
    <s v="19002"/>
    <s v="Agualeguas"/>
    <x v="6"/>
    <s v="Caminos pavimentados y sin pavimentar"/>
    <n v="83.031761668026135"/>
    <n v="12.874481771359541"/>
    <m/>
    <m/>
    <m/>
    <m/>
    <m/>
    <s v="Estatal"/>
  </r>
  <r>
    <x v="0"/>
    <s v="Nuevo León"/>
    <s v="19"/>
    <m/>
    <m/>
    <s v="19003"/>
    <s v="Los Aldamas"/>
    <x v="6"/>
    <s v="Caminos pavimentados y sin pavimentar"/>
    <n v="7.6502228518068724"/>
    <n v="1.1862045640584469"/>
    <m/>
    <m/>
    <m/>
    <m/>
    <m/>
    <s v="Estatal"/>
  </r>
  <r>
    <x v="0"/>
    <s v="Nuevo León"/>
    <s v="19"/>
    <m/>
    <m/>
    <s v="19004"/>
    <s v="Allende"/>
    <x v="6"/>
    <s v="Caminos pavimentados y sin pavimentar"/>
    <n v="13.533283546243633"/>
    <n v="2.0984019707948423"/>
    <m/>
    <m/>
    <m/>
    <m/>
    <m/>
    <s v="Estatal"/>
  </r>
  <r>
    <x v="0"/>
    <s v="Nuevo León"/>
    <s v="19"/>
    <m/>
    <m/>
    <s v="19005"/>
    <s v="Anáhuac"/>
    <x v="6"/>
    <s v="Caminos pavimentados y sin pavimentar"/>
    <n v="120.0204272097242"/>
    <n v="18.60975572793857"/>
    <m/>
    <m/>
    <m/>
    <m/>
    <m/>
    <s v="Estatal"/>
  </r>
  <r>
    <x v="0"/>
    <s v="Nuevo León"/>
    <s v="19"/>
    <s v="19.01"/>
    <s v="Monterrey"/>
    <s v="19006"/>
    <s v="Apodaca"/>
    <x v="6"/>
    <s v="Caminos pavimentados y sin pavimentar"/>
    <n v="48.324001090810206"/>
    <n v="7.492873313350052"/>
    <m/>
    <m/>
    <m/>
    <m/>
    <m/>
    <s v="Estatal"/>
  </r>
  <r>
    <x v="0"/>
    <s v="Nuevo León"/>
    <s v="19"/>
    <m/>
    <m/>
    <s v="19007"/>
    <s v="Aramberri"/>
    <x v="6"/>
    <s v="Caminos pavimentados y sin pavimentar"/>
    <n v="427.37587566877147"/>
    <n v="66.117977869263186"/>
    <m/>
    <m/>
    <m/>
    <m/>
    <m/>
    <s v="Estatal"/>
  </r>
  <r>
    <x v="0"/>
    <s v="Nuevo León"/>
    <s v="19"/>
    <m/>
    <m/>
    <s v="19008"/>
    <s v="Bustamante"/>
    <x v="6"/>
    <s v="Caminos pavimentados y sin pavimentar"/>
    <n v="0.71785453613812145"/>
    <n v="0.11130686564195734"/>
    <m/>
    <m/>
    <m/>
    <m/>
    <m/>
    <s v="Estatal"/>
  </r>
  <r>
    <x v="0"/>
    <s v="Nuevo León"/>
    <s v="19"/>
    <s v="19.01"/>
    <s v="Monterrey"/>
    <s v="19009"/>
    <s v="Cadereyta Jiménez"/>
    <x v="6"/>
    <s v="Caminos pavimentados y sin pavimentar"/>
    <n v="252.67475721493125"/>
    <n v="39.178460031386003"/>
    <m/>
    <m/>
    <m/>
    <m/>
    <m/>
    <s v="Estatal"/>
  </r>
  <r>
    <x v="0"/>
    <s v="Nuevo León"/>
    <s v="19"/>
    <s v="19.01"/>
    <s v="Monterrey"/>
    <s v="19010"/>
    <s v="El Carmen"/>
    <x v="6"/>
    <s v="Caminos pavimentados y sin pavimentar"/>
    <n v="1.0171050103548673"/>
    <n v="0.15770711896643647"/>
    <m/>
    <m/>
    <m/>
    <m/>
    <m/>
    <s v="Estatal"/>
  </r>
  <r>
    <x v="0"/>
    <s v="Nuevo León"/>
    <s v="19"/>
    <m/>
    <m/>
    <s v="19011"/>
    <s v="Cerralvo"/>
    <x v="6"/>
    <s v="Caminos pavimentados y sin pavimentar"/>
    <n v="9.3702053083419319"/>
    <n v="1.4528962774325833"/>
    <m/>
    <m/>
    <m/>
    <m/>
    <m/>
    <s v="Estatal"/>
  </r>
  <r>
    <x v="0"/>
    <s v="Nuevo León"/>
    <s v="19"/>
    <s v="19.01"/>
    <s v="Monterrey"/>
    <s v="19012"/>
    <s v="Ciénega de Flores"/>
    <x v="6"/>
    <s v="Caminos pavimentados y sin pavimentar"/>
    <n v="1.1595927863885267"/>
    <n v="0.17980054729235048"/>
    <m/>
    <m/>
    <m/>
    <m/>
    <m/>
    <s v="Estatal"/>
  </r>
  <r>
    <x v="0"/>
    <s v="Nuevo León"/>
    <s v="19"/>
    <m/>
    <m/>
    <s v="19013"/>
    <s v="China"/>
    <x v="6"/>
    <s v="Caminos pavimentados y sin pavimentar"/>
    <n v="294.97513876792772"/>
    <n v="45.737341600140184"/>
    <m/>
    <m/>
    <m/>
    <m/>
    <m/>
    <s v="Estatal"/>
  </r>
  <r>
    <x v="0"/>
    <s v="Nuevo León"/>
    <s v="19"/>
    <m/>
    <m/>
    <s v="19014"/>
    <s v="Doctor Arroyo"/>
    <x v="6"/>
    <s v="Caminos pavimentados y sin pavimentar"/>
    <n v="1774.0400900517266"/>
    <n v="275.07361450849675"/>
    <m/>
    <m/>
    <m/>
    <m/>
    <m/>
    <s v="Estatal"/>
  </r>
  <r>
    <x v="0"/>
    <s v="Nuevo León"/>
    <s v="19"/>
    <m/>
    <m/>
    <s v="19015"/>
    <s v="Doctor Coss"/>
    <x v="6"/>
    <s v="Caminos pavimentados y sin pavimentar"/>
    <n v="10.792498493553616"/>
    <n v="1.6734298096458113"/>
    <m/>
    <m/>
    <m/>
    <m/>
    <m/>
    <s v="Estatal"/>
  </r>
  <r>
    <x v="0"/>
    <s v="Nuevo León"/>
    <s v="19"/>
    <m/>
    <m/>
    <s v="19016"/>
    <s v="Doctor González"/>
    <x v="6"/>
    <s v="Caminos pavimentados y sin pavimentar"/>
    <n v="22.980651422626384"/>
    <n v="3.5632626827488161"/>
    <m/>
    <m/>
    <m/>
    <m/>
    <m/>
    <s v="Estatal"/>
  </r>
  <r>
    <x v="0"/>
    <s v="Nuevo León"/>
    <s v="19"/>
    <m/>
    <m/>
    <s v="19017"/>
    <s v="Galeana"/>
    <x v="6"/>
    <s v="Caminos pavimentados y sin pavimentar"/>
    <n v="3102.873278546449"/>
    <n v="481.11571597387905"/>
    <m/>
    <m/>
    <m/>
    <m/>
    <m/>
    <s v="Estatal"/>
  </r>
  <r>
    <x v="0"/>
    <s v="Nuevo León"/>
    <s v="19"/>
    <s v="19.01"/>
    <s v="Monterrey"/>
    <s v="19018"/>
    <s v="García"/>
    <x v="6"/>
    <s v="Caminos pavimentados y sin pavimentar"/>
    <n v="119.03675288381579"/>
    <n v="18.457232200514252"/>
    <m/>
    <m/>
    <m/>
    <m/>
    <m/>
    <s v="Estatal"/>
  </r>
  <r>
    <x v="0"/>
    <s v="Nuevo León"/>
    <s v="19"/>
    <s v="19.01"/>
    <s v="Monterrey"/>
    <s v="19019"/>
    <s v="San Pedro Garza García"/>
    <x v="6"/>
    <s v="Caminos pavimentados y sin pavimentar"/>
    <n v="0"/>
    <n v="0"/>
    <m/>
    <m/>
    <m/>
    <m/>
    <m/>
    <s v="Estatal"/>
  </r>
  <r>
    <x v="0"/>
    <s v="Nuevo León"/>
    <s v="19"/>
    <m/>
    <m/>
    <s v="19020"/>
    <s v="General Bravo"/>
    <x v="6"/>
    <s v="Caminos pavimentados y sin pavimentar"/>
    <n v="20.545800370173346"/>
    <n v="3.1857270884046396"/>
    <m/>
    <m/>
    <m/>
    <m/>
    <m/>
    <s v="Estatal"/>
  </r>
  <r>
    <x v="0"/>
    <s v="Nuevo León"/>
    <s v="19"/>
    <s v="19.01"/>
    <s v="Monterrey"/>
    <s v="19021"/>
    <s v="General Escobedo"/>
    <x v="6"/>
    <s v="Caminos pavimentados y sin pavimentar"/>
    <n v="17.964893462521978"/>
    <n v="2.7855448175649156"/>
    <m/>
    <m/>
    <m/>
    <m/>
    <m/>
    <s v="Estatal"/>
  </r>
  <r>
    <x v="0"/>
    <s v="Nuevo León"/>
    <s v="19"/>
    <m/>
    <m/>
    <s v="19022"/>
    <s v="General Terán"/>
    <x v="6"/>
    <s v="Caminos pavimentados y sin pavimentar"/>
    <n v="225.30670615700663"/>
    <n v="34.934909522706739"/>
    <m/>
    <m/>
    <m/>
    <m/>
    <m/>
    <s v="Estatal"/>
  </r>
  <r>
    <x v="0"/>
    <s v="Nuevo León"/>
    <s v="19"/>
    <m/>
    <m/>
    <s v="19023"/>
    <s v="General Treviño"/>
    <x v="6"/>
    <s v="Caminos pavimentados y sin pavimentar"/>
    <n v="3.8650697222492538"/>
    <n v="0.59929801180279652"/>
    <m/>
    <m/>
    <m/>
    <m/>
    <m/>
    <s v="Estatal"/>
  </r>
  <r>
    <x v="0"/>
    <s v="Nuevo León"/>
    <s v="19"/>
    <m/>
    <m/>
    <s v="19024"/>
    <s v="General Zaragoza"/>
    <x v="6"/>
    <s v="Caminos pavimentados y sin pavimentar"/>
    <n v="90.983767280082574"/>
    <n v="14.107479232108265"/>
    <m/>
    <m/>
    <m/>
    <m/>
    <m/>
    <s v="Estatal"/>
  </r>
  <r>
    <x v="0"/>
    <s v="Nuevo León"/>
    <s v="19"/>
    <s v="19.01"/>
    <s v="Monterrey"/>
    <s v="19025"/>
    <s v="General Zuazua"/>
    <x v="6"/>
    <s v="Caminos pavimentados y sin pavimentar"/>
    <n v="2.5302243485832356"/>
    <n v="0.39232369154741237"/>
    <m/>
    <m/>
    <m/>
    <m/>
    <m/>
    <s v="Estatal"/>
  </r>
  <r>
    <x v="0"/>
    <s v="Nuevo León"/>
    <s v="19"/>
    <s v="19.01"/>
    <s v="Monterrey"/>
    <s v="19026"/>
    <s v="Guadalupe"/>
    <x v="6"/>
    <s v="Caminos pavimentados y sin pavimentar"/>
    <n v="1.3051656188574106"/>
    <n v="0.20237232874532105"/>
    <m/>
    <m/>
    <m/>
    <m/>
    <m/>
    <s v="Estatal"/>
  </r>
  <r>
    <x v="0"/>
    <s v="Nuevo León"/>
    <s v="19"/>
    <m/>
    <m/>
    <s v="19027"/>
    <s v="Los Herreras"/>
    <x v="6"/>
    <s v="Caminos pavimentados y sin pavimentar"/>
    <n v="7.7412058720999211"/>
    <n v="1.200311927466553"/>
    <m/>
    <m/>
    <m/>
    <m/>
    <m/>
    <s v="Estatal"/>
  </r>
  <r>
    <x v="0"/>
    <s v="Nuevo León"/>
    <s v="19"/>
    <m/>
    <m/>
    <s v="19028"/>
    <s v="Higueras"/>
    <x v="6"/>
    <s v="Caminos pavimentados y sin pavimentar"/>
    <n v="0.24202379782388281"/>
    <n v="3.7526976553583939E-2"/>
    <m/>
    <m/>
    <m/>
    <m/>
    <m/>
    <s v="Estatal"/>
  </r>
  <r>
    <x v="0"/>
    <s v="Nuevo León"/>
    <s v="19"/>
    <m/>
    <m/>
    <s v="19029"/>
    <s v="Hualahuises"/>
    <x v="6"/>
    <s v="Caminos pavimentados y sin pavimentar"/>
    <n v="13.173743748809709"/>
    <n v="2.0426535622924629"/>
    <m/>
    <m/>
    <m/>
    <m/>
    <m/>
    <s v="Estatal"/>
  </r>
  <r>
    <x v="0"/>
    <s v="Nuevo León"/>
    <s v="19"/>
    <m/>
    <m/>
    <s v="19030"/>
    <s v="Iturbide"/>
    <x v="6"/>
    <s v="Caminos pavimentados y sin pavimentar"/>
    <n v="10.864448284314093"/>
    <n v="1.6845859774903822"/>
    <m/>
    <m/>
    <m/>
    <m/>
    <m/>
    <s v="Estatal"/>
  </r>
  <r>
    <x v="0"/>
    <s v="Nuevo León"/>
    <s v="19"/>
    <s v="19.01"/>
    <s v="Monterrey"/>
    <s v="19031"/>
    <s v="Juárez"/>
    <x v="6"/>
    <s v="Caminos pavimentados y sin pavimentar"/>
    <n v="13.45296750074356"/>
    <n v="2.0859485741311348"/>
    <m/>
    <m/>
    <m/>
    <m/>
    <m/>
    <s v="Estatal"/>
  </r>
  <r>
    <x v="0"/>
    <s v="Nuevo León"/>
    <s v="19"/>
    <m/>
    <m/>
    <s v="19032"/>
    <s v="Lampazos de Naranjo"/>
    <x v="6"/>
    <s v="Caminos pavimentados y sin pavimentar"/>
    <n v="73.181572373481401"/>
    <n v="11.347161623389088"/>
    <m/>
    <m/>
    <m/>
    <m/>
    <m/>
    <s v="Estatal"/>
  </r>
  <r>
    <x v="0"/>
    <s v="Nuevo León"/>
    <s v="19"/>
    <m/>
    <m/>
    <s v="19033"/>
    <s v="Linares"/>
    <x v="6"/>
    <s v="Caminos pavimentados y sin pavimentar"/>
    <n v="689.2840451177492"/>
    <n v="106.8768709212477"/>
    <m/>
    <m/>
    <m/>
    <m/>
    <m/>
    <s v="Estatal"/>
  </r>
  <r>
    <x v="0"/>
    <s v="Nuevo León"/>
    <s v="19"/>
    <m/>
    <m/>
    <s v="19034"/>
    <s v="Marín"/>
    <x v="6"/>
    <s v="Caminos pavimentados y sin pavimentar"/>
    <n v="4.1188517771825541"/>
    <n v="0.63864816377476286"/>
    <m/>
    <m/>
    <m/>
    <m/>
    <m/>
    <s v="Estatal"/>
  </r>
  <r>
    <x v="0"/>
    <s v="Nuevo León"/>
    <s v="19"/>
    <m/>
    <m/>
    <s v="19035"/>
    <s v="Melchor Ocampo"/>
    <x v="6"/>
    <s v="Caminos pavimentados y sin pavimentar"/>
    <n v="2.6534174496237144"/>
    <n v="0.41142538590919353"/>
    <m/>
    <m/>
    <m/>
    <m/>
    <m/>
    <s v="Estatal"/>
  </r>
  <r>
    <x v="0"/>
    <s v="Nuevo León"/>
    <s v="19"/>
    <m/>
    <m/>
    <s v="19036"/>
    <s v="Mier y Noriega"/>
    <x v="6"/>
    <s v="Caminos pavimentados y sin pavimentar"/>
    <n v="41.182171848087648"/>
    <n v="6.3854976711564779"/>
    <m/>
    <m/>
    <m/>
    <m/>
    <m/>
    <s v="Estatal"/>
  </r>
  <r>
    <x v="0"/>
    <s v="Nuevo León"/>
    <s v="19"/>
    <m/>
    <m/>
    <s v="19037"/>
    <s v="Mina"/>
    <x v="6"/>
    <s v="Caminos pavimentados y sin pavimentar"/>
    <n v="183.15623660943953"/>
    <n v="28.399272545449069"/>
    <m/>
    <m/>
    <m/>
    <m/>
    <m/>
    <s v="Estatal"/>
  </r>
  <r>
    <x v="0"/>
    <s v="Nuevo León"/>
    <s v="19"/>
    <m/>
    <m/>
    <s v="19038"/>
    <s v="Montemorelos"/>
    <x v="6"/>
    <s v="Caminos pavimentados y sin pavimentar"/>
    <n v="266.17980174605071"/>
    <n v="41.138239074414649"/>
    <m/>
    <m/>
    <m/>
    <m/>
    <m/>
    <s v="Estatal"/>
  </r>
  <r>
    <x v="0"/>
    <s v="Nuevo León"/>
    <s v="19"/>
    <s v="19.01"/>
    <s v="Monterrey"/>
    <s v="19039"/>
    <s v="Monterrey"/>
    <x v="6"/>
    <s v="Caminos pavimentados y sin pavimentar"/>
    <n v="0.12624080812418578"/>
    <n v="1.9574256288752118E-2"/>
    <m/>
    <m/>
    <m/>
    <m/>
    <m/>
    <s v="Estatal"/>
  </r>
  <r>
    <x v="0"/>
    <s v="Nuevo León"/>
    <s v="19"/>
    <m/>
    <m/>
    <s v="19040"/>
    <s v="Parás"/>
    <x v="6"/>
    <s v="Caminos pavimentados y sin pavimentar"/>
    <n v="13.49309564401238"/>
    <n v="2.0921706395029198"/>
    <m/>
    <m/>
    <m/>
    <m/>
    <m/>
    <s v="Estatal"/>
  </r>
  <r>
    <x v="0"/>
    <s v="Nuevo León"/>
    <s v="19"/>
    <s v="19.01"/>
    <s v="Monterrey"/>
    <s v="19041"/>
    <s v="Pesquería"/>
    <x v="6"/>
    <s v="Caminos pavimentados y sin pavimentar"/>
    <n v="26.326851798641982"/>
    <n v="4.0821074582766688"/>
    <m/>
    <m/>
    <m/>
    <m/>
    <m/>
    <s v="Estatal"/>
  </r>
  <r>
    <x v="0"/>
    <s v="Nuevo León"/>
    <s v="19"/>
    <m/>
    <m/>
    <s v="19042"/>
    <s v="Los Ramones"/>
    <x v="6"/>
    <s v="Caminos pavimentados y sin pavimentar"/>
    <n v="92.236272730552415"/>
    <n v="14.301686343539599"/>
    <m/>
    <m/>
    <m/>
    <m/>
    <m/>
    <s v="Estatal"/>
  </r>
  <r>
    <x v="0"/>
    <s v="Nuevo León"/>
    <s v="19"/>
    <m/>
    <m/>
    <s v="19043"/>
    <s v="Rayones"/>
    <x v="6"/>
    <s v="Caminos pavimentados y sin pavimentar"/>
    <n v="22.511918253291487"/>
    <n v="3.4905833065317804"/>
    <m/>
    <m/>
    <m/>
    <m/>
    <m/>
    <s v="Estatal"/>
  </r>
  <r>
    <x v="0"/>
    <s v="Nuevo León"/>
    <s v="19"/>
    <m/>
    <m/>
    <s v="19044"/>
    <s v="Sabinas Hidalgo"/>
    <x v="6"/>
    <s v="Caminos pavimentados y sin pavimentar"/>
    <n v="35.865517356134426"/>
    <n v="5.5611243233412289"/>
    <m/>
    <m/>
    <m/>
    <m/>
    <m/>
    <s v="Estatal"/>
  </r>
  <r>
    <x v="0"/>
    <s v="Nuevo León"/>
    <s v="19"/>
    <s v="19.01"/>
    <s v="Monterrey"/>
    <s v="19045"/>
    <s v="Salinas Victoria"/>
    <x v="6"/>
    <s v="Caminos pavimentados y sin pavimentar"/>
    <n v="95.416209041117881"/>
    <n v="14.794751060486641"/>
    <m/>
    <m/>
    <m/>
    <m/>
    <m/>
    <s v="Estatal"/>
  </r>
  <r>
    <x v="0"/>
    <s v="Nuevo León"/>
    <s v="19"/>
    <s v="19.01"/>
    <s v="Monterrey"/>
    <s v="19046"/>
    <s v="San Nicolás de los Garza"/>
    <x v="6"/>
    <s v="Caminos pavimentados y sin pavimentar"/>
    <n v="1.4640945794284262E-3"/>
    <n v="2.2701504334884107E-4"/>
    <m/>
    <m/>
    <m/>
    <m/>
    <m/>
    <s v="Estatal"/>
  </r>
  <r>
    <x v="0"/>
    <s v="Nuevo León"/>
    <s v="19"/>
    <s v="19.01"/>
    <s v="Monterrey"/>
    <s v="19047"/>
    <s v="Hidalgo"/>
    <x v="6"/>
    <s v="Caminos pavimentados y sin pavimentar"/>
    <n v="0.14640945794284269"/>
    <n v="2.2701504334884114E-2"/>
    <m/>
    <m/>
    <m/>
    <m/>
    <m/>
    <s v="Estatal"/>
  </r>
  <r>
    <x v="0"/>
    <s v="Nuevo León"/>
    <s v="19"/>
    <s v="19.01"/>
    <s v="Monterrey"/>
    <s v="19048"/>
    <s v="Santa Catarina"/>
    <x v="6"/>
    <s v="Caminos pavimentados y sin pavimentar"/>
    <n v="2.8640128139287002"/>
    <n v="0.44407922974449104"/>
    <m/>
    <m/>
    <m/>
    <m/>
    <m/>
    <s v="Estatal"/>
  </r>
  <r>
    <x v="0"/>
    <s v="Nuevo León"/>
    <s v="19"/>
    <s v="19.01"/>
    <s v="Monterrey"/>
    <s v="19049"/>
    <s v="Santiago"/>
    <x v="6"/>
    <s v="Caminos pavimentados y sin pavimentar"/>
    <n v="46.612020571488273"/>
    <n v="7.2274223395762345"/>
    <m/>
    <m/>
    <m/>
    <m/>
    <m/>
    <s v="Estatal"/>
  </r>
  <r>
    <x v="0"/>
    <s v="Nuevo León"/>
    <s v="19"/>
    <m/>
    <m/>
    <s v="19050"/>
    <s v="Vallecillo"/>
    <x v="6"/>
    <s v="Caminos pavimentados y sin pavimentar"/>
    <n v="49.876742327245154"/>
    <n v="7.7336334555236697"/>
    <m/>
    <m/>
    <m/>
    <m/>
    <m/>
    <s v="Estatal"/>
  </r>
  <r>
    <x v="0"/>
    <s v="Nuevo León"/>
    <s v="19"/>
    <m/>
    <m/>
    <s v="19051"/>
    <s v="Villaldama"/>
    <x v="6"/>
    <s v="Caminos pavimentados y sin pavimentar"/>
    <n v="13.452967500743556"/>
    <n v="2.0859485741311339"/>
    <m/>
    <m/>
    <m/>
    <m/>
    <m/>
    <s v="Estatal"/>
  </r>
  <r>
    <x v="0"/>
    <s v="Nuevo León"/>
    <s v="19"/>
    <s v="19.01"/>
    <s v="Monterrey"/>
    <s v="19001"/>
    <s v="Abasolo"/>
    <x v="6"/>
    <s v="Emisiones domésticas de amoniaco"/>
    <m/>
    <m/>
    <m/>
    <m/>
    <m/>
    <m/>
    <n v="3.9514339213871388"/>
    <s v="Estatal"/>
  </r>
  <r>
    <x v="0"/>
    <s v="Nuevo León"/>
    <s v="19"/>
    <m/>
    <m/>
    <s v="19002"/>
    <s v="Agualeguas"/>
    <x v="6"/>
    <s v="Emisiones domésticas de amoniaco"/>
    <m/>
    <m/>
    <m/>
    <m/>
    <m/>
    <m/>
    <n v="4.6180710027314893"/>
    <s v="Estatal"/>
  </r>
  <r>
    <x v="0"/>
    <s v="Nuevo León"/>
    <s v="19"/>
    <m/>
    <m/>
    <s v="19003"/>
    <s v="Los Aldamas"/>
    <x v="6"/>
    <s v="Emisiones domésticas de amoniaco"/>
    <m/>
    <m/>
    <m/>
    <m/>
    <m/>
    <m/>
    <n v="1.9863071358269955"/>
    <s v="Estatal"/>
  </r>
  <r>
    <x v="0"/>
    <s v="Nuevo León"/>
    <s v="19"/>
    <m/>
    <m/>
    <s v="19004"/>
    <s v="Allende"/>
    <x v="6"/>
    <s v="Emisiones domésticas de amoniaco"/>
    <m/>
    <m/>
    <m/>
    <m/>
    <m/>
    <m/>
    <n v="44.840145431600554"/>
    <s v="Estatal"/>
  </r>
  <r>
    <x v="0"/>
    <s v="Nuevo León"/>
    <s v="19"/>
    <m/>
    <m/>
    <s v="19005"/>
    <s v="Anáhuac"/>
    <x v="6"/>
    <s v="Emisiones domésticas de amoniaco"/>
    <m/>
    <m/>
    <m/>
    <m/>
    <m/>
    <m/>
    <n v="25.004429268842184"/>
    <s v="Estatal"/>
  </r>
  <r>
    <x v="0"/>
    <s v="Nuevo León"/>
    <s v="19"/>
    <s v="19.01"/>
    <s v="Monterrey"/>
    <s v="19006"/>
    <s v="Apodaca"/>
    <x v="6"/>
    <s v="Emisiones domésticas de amoniaco"/>
    <m/>
    <m/>
    <m/>
    <m/>
    <m/>
    <m/>
    <n v="632.81235817903939"/>
    <s v="Estatal"/>
  </r>
  <r>
    <x v="0"/>
    <s v="Nuevo León"/>
    <s v="19"/>
    <m/>
    <m/>
    <s v="19007"/>
    <s v="Aramberri"/>
    <x v="6"/>
    <s v="Emisiones domésticas de amoniaco"/>
    <m/>
    <m/>
    <m/>
    <m/>
    <m/>
    <m/>
    <n v="44.547974471519595"/>
    <s v="Estatal"/>
  </r>
  <r>
    <x v="0"/>
    <s v="Nuevo León"/>
    <s v="19"/>
    <m/>
    <m/>
    <s v="19008"/>
    <s v="Bustamante"/>
    <x v="6"/>
    <s v="Emisiones domésticas de amoniaco"/>
    <m/>
    <m/>
    <m/>
    <m/>
    <m/>
    <m/>
    <n v="5.1254532839464959"/>
    <s v="Estatal"/>
  </r>
  <r>
    <x v="0"/>
    <s v="Nuevo León"/>
    <s v="19"/>
    <s v="19.01"/>
    <s v="Monterrey"/>
    <s v="19009"/>
    <s v="Cadereyta Jiménez"/>
    <x v="6"/>
    <s v="Emisiones domésticas de amoniaco"/>
    <m/>
    <m/>
    <m/>
    <m/>
    <m/>
    <m/>
    <n v="150.65446169570066"/>
    <s v="Estatal"/>
  </r>
  <r>
    <x v="0"/>
    <s v="Nuevo León"/>
    <s v="19"/>
    <s v="19.01"/>
    <s v="Monterrey"/>
    <s v="19010"/>
    <s v="El Carmen"/>
    <x v="6"/>
    <s v="Emisiones domésticas de amoniaco"/>
    <m/>
    <m/>
    <m/>
    <m/>
    <m/>
    <m/>
    <n v="52.448347895061517"/>
    <s v="Estatal"/>
  </r>
  <r>
    <x v="0"/>
    <s v="Nuevo León"/>
    <s v="19"/>
    <m/>
    <m/>
    <s v="19011"/>
    <s v="Cerralvo"/>
    <x v="6"/>
    <s v="Emisiones domésticas de amoniaco"/>
    <m/>
    <m/>
    <m/>
    <m/>
    <m/>
    <m/>
    <n v="10.037019095003057"/>
    <s v="Estatal"/>
  </r>
  <r>
    <x v="0"/>
    <s v="Nuevo León"/>
    <s v="19"/>
    <s v="19.01"/>
    <s v="Monterrey"/>
    <s v="19012"/>
    <s v="Ciénega de Flores"/>
    <x v="6"/>
    <s v="Emisiones domésticas de amoniaco"/>
    <m/>
    <m/>
    <m/>
    <m/>
    <m/>
    <m/>
    <n v="54.924383850230711"/>
    <s v="Estatal"/>
  </r>
  <r>
    <x v="0"/>
    <s v="Nuevo León"/>
    <s v="19"/>
    <m/>
    <m/>
    <s v="19013"/>
    <s v="China"/>
    <x v="6"/>
    <s v="Emisiones domésticas de amoniaco"/>
    <m/>
    <m/>
    <m/>
    <m/>
    <m/>
    <m/>
    <n v="18.796834003140404"/>
    <s v="Estatal"/>
  </r>
  <r>
    <x v="0"/>
    <s v="Nuevo León"/>
    <s v="19"/>
    <m/>
    <m/>
    <s v="19014"/>
    <s v="Doctor Arroyo"/>
    <x v="6"/>
    <s v="Emisiones domésticas de amoniaco"/>
    <m/>
    <m/>
    <m/>
    <m/>
    <m/>
    <m/>
    <n v="146.13975545146457"/>
    <s v="Estatal"/>
  </r>
  <r>
    <x v="0"/>
    <s v="Nuevo León"/>
    <s v="19"/>
    <m/>
    <m/>
    <s v="19015"/>
    <s v="Doctor Coss"/>
    <x v="6"/>
    <s v="Emisiones domésticas de amoniaco"/>
    <m/>
    <m/>
    <m/>
    <m/>
    <m/>
    <m/>
    <n v="2.9317785635415761"/>
    <s v="Estatal"/>
  </r>
  <r>
    <x v="0"/>
    <s v="Nuevo León"/>
    <s v="19"/>
    <m/>
    <m/>
    <s v="19016"/>
    <s v="Doctor González"/>
    <x v="6"/>
    <s v="Emisiones domésticas de amoniaco"/>
    <m/>
    <m/>
    <m/>
    <m/>
    <m/>
    <m/>
    <n v="3.8706777632148692"/>
    <s v="Estatal"/>
  </r>
  <r>
    <x v="0"/>
    <s v="Nuevo León"/>
    <s v="19"/>
    <m/>
    <m/>
    <s v="19017"/>
    <s v="Galeana"/>
    <x v="6"/>
    <s v="Emisiones domésticas de amoniaco"/>
    <m/>
    <m/>
    <m/>
    <m/>
    <m/>
    <m/>
    <n v="86.365434113283328"/>
    <s v="Estatal"/>
  </r>
  <r>
    <x v="0"/>
    <s v="Nuevo León"/>
    <s v="19"/>
    <s v="19.01"/>
    <s v="Monterrey"/>
    <s v="19018"/>
    <s v="García"/>
    <x v="6"/>
    <s v="Emisiones domésticas de amoniaco"/>
    <m/>
    <m/>
    <m/>
    <m/>
    <m/>
    <m/>
    <n v="290.07180635256753"/>
    <s v="Estatal"/>
  </r>
  <r>
    <x v="0"/>
    <s v="Nuevo León"/>
    <s v="19"/>
    <s v="19.01"/>
    <s v="Monterrey"/>
    <s v="19019"/>
    <s v="San Pedro Garza García"/>
    <x v="6"/>
    <s v="Emisiones domésticas de amoniaco"/>
    <m/>
    <m/>
    <m/>
    <m/>
    <m/>
    <m/>
    <n v="152.85767772929961"/>
    <s v="Estatal"/>
  </r>
  <r>
    <x v="0"/>
    <s v="Nuevo León"/>
    <s v="19"/>
    <m/>
    <m/>
    <s v="19020"/>
    <s v="General Bravo"/>
    <x v="6"/>
    <s v="Emisiones domésticas de amoniaco"/>
    <m/>
    <m/>
    <m/>
    <m/>
    <m/>
    <m/>
    <n v="8.548981218716996"/>
    <s v="Estatal"/>
  </r>
  <r>
    <x v="0"/>
    <s v="Nuevo León"/>
    <s v="19"/>
    <s v="19.01"/>
    <s v="Monterrey"/>
    <s v="19021"/>
    <s v="General Escobedo"/>
    <x v="6"/>
    <s v="Emisiones domésticas de amoniaco"/>
    <m/>
    <m/>
    <m/>
    <m/>
    <m/>
    <m/>
    <n v="444.97796391104504"/>
    <s v="Estatal"/>
  </r>
  <r>
    <x v="0"/>
    <s v="Nuevo León"/>
    <s v="19"/>
    <m/>
    <m/>
    <s v="19022"/>
    <s v="General Terán"/>
    <x v="6"/>
    <s v="Emisiones domésticas de amoniaco"/>
    <m/>
    <m/>
    <m/>
    <m/>
    <m/>
    <m/>
    <n v="30.027696432397764"/>
    <s v="Estatal"/>
  </r>
  <r>
    <x v="0"/>
    <s v="Nuevo León"/>
    <s v="19"/>
    <m/>
    <m/>
    <s v="19023"/>
    <s v="General Treviño"/>
    <x v="6"/>
    <s v="Emisiones domésticas de amoniaco"/>
    <m/>
    <m/>
    <m/>
    <m/>
    <m/>
    <m/>
    <n v="1.8211414078304111"/>
    <s v="Estatal"/>
  </r>
  <r>
    <x v="0"/>
    <s v="Nuevo León"/>
    <s v="19"/>
    <m/>
    <m/>
    <s v="19024"/>
    <s v="General Zaragoza"/>
    <x v="6"/>
    <s v="Emisiones domésticas de amoniaco"/>
    <m/>
    <m/>
    <m/>
    <m/>
    <m/>
    <m/>
    <n v="13.803147464299885"/>
    <s v="Estatal"/>
  </r>
  <r>
    <x v="0"/>
    <s v="Nuevo León"/>
    <s v="19"/>
    <s v="19.01"/>
    <s v="Monterrey"/>
    <s v="19025"/>
    <s v="General Zuazua"/>
    <x v="6"/>
    <s v="Emisiones domésticas de amoniaco"/>
    <m/>
    <m/>
    <m/>
    <m/>
    <m/>
    <m/>
    <n v="103.44050886950058"/>
    <s v="Estatal"/>
  </r>
  <r>
    <x v="0"/>
    <s v="Nuevo León"/>
    <s v="19"/>
    <s v="19.01"/>
    <s v="Monterrey"/>
    <s v="19026"/>
    <s v="Guadalupe"/>
    <x v="6"/>
    <s v="Emisiones domésticas de amoniaco"/>
    <m/>
    <m/>
    <m/>
    <m/>
    <m/>
    <m/>
    <n v="671.97755558731524"/>
    <s v="Estatal"/>
  </r>
  <r>
    <x v="0"/>
    <s v="Nuevo León"/>
    <s v="19"/>
    <m/>
    <m/>
    <s v="19027"/>
    <s v="Los Herreras"/>
    <x v="6"/>
    <s v="Emisiones domésticas de amoniaco"/>
    <m/>
    <m/>
    <m/>
    <m/>
    <m/>
    <m/>
    <n v="2.8743756270833249"/>
    <s v="Estatal"/>
  </r>
  <r>
    <x v="0"/>
    <s v="Nuevo León"/>
    <s v="19"/>
    <m/>
    <m/>
    <s v="19028"/>
    <s v="Higueras"/>
    <x v="6"/>
    <s v="Emisiones domésticas de amoniaco"/>
    <m/>
    <m/>
    <m/>
    <m/>
    <m/>
    <m/>
    <n v="2.4973974487831372"/>
    <s v="Estatal"/>
  </r>
  <r>
    <x v="0"/>
    <s v="Nuevo León"/>
    <s v="19"/>
    <m/>
    <m/>
    <s v="19029"/>
    <s v="Hualahuises"/>
    <x v="6"/>
    <s v="Emisiones domésticas de amoniaco"/>
    <m/>
    <m/>
    <m/>
    <m/>
    <m/>
    <m/>
    <n v="11.180474808064838"/>
    <s v="Estatal"/>
  </r>
  <r>
    <x v="0"/>
    <s v="Nuevo León"/>
    <s v="19"/>
    <m/>
    <m/>
    <s v="19030"/>
    <s v="Iturbide"/>
    <x v="6"/>
    <s v="Emisiones domésticas de amoniaco"/>
    <m/>
    <m/>
    <m/>
    <m/>
    <m/>
    <m/>
    <n v="5.653281227856997"/>
    <s v="Estatal"/>
  </r>
  <r>
    <x v="0"/>
    <s v="Nuevo León"/>
    <s v="19"/>
    <s v="19.01"/>
    <s v="Monterrey"/>
    <s v="19031"/>
    <s v="Juárez"/>
    <x v="6"/>
    <s v="Emisiones domésticas de amoniaco"/>
    <m/>
    <m/>
    <m/>
    <m/>
    <m/>
    <m/>
    <n v="381.6606039147639"/>
    <s v="Estatal"/>
  </r>
  <r>
    <x v="0"/>
    <s v="Nuevo León"/>
    <s v="19"/>
    <m/>
    <m/>
    <s v="19032"/>
    <s v="Lampazos de Naranjo"/>
    <x v="6"/>
    <s v="Emisiones domésticas de amoniaco"/>
    <m/>
    <m/>
    <m/>
    <m/>
    <m/>
    <m/>
    <n v="7.6103674822657412"/>
    <s v="Estatal"/>
  </r>
  <r>
    <x v="0"/>
    <s v="Nuevo León"/>
    <s v="19"/>
    <m/>
    <m/>
    <s v="19033"/>
    <s v="Linares"/>
    <x v="6"/>
    <s v="Emisiones domésticas de amoniaco"/>
    <m/>
    <m/>
    <m/>
    <m/>
    <m/>
    <m/>
    <n v="132.3683577338669"/>
    <s v="Estatal"/>
  </r>
  <r>
    <x v="0"/>
    <s v="Nuevo León"/>
    <s v="19"/>
    <m/>
    <m/>
    <s v="19034"/>
    <s v="Marín"/>
    <x v="6"/>
    <s v="Emisiones domésticas de amoniaco"/>
    <m/>
    <m/>
    <m/>
    <m/>
    <m/>
    <m/>
    <n v="6.8512731724739471"/>
    <s v="Estatal"/>
  </r>
  <r>
    <x v="0"/>
    <s v="Nuevo León"/>
    <s v="19"/>
    <m/>
    <m/>
    <s v="19035"/>
    <s v="Melchor Ocampo"/>
    <x v="6"/>
    <s v="Emisiones domésticas de amoniaco"/>
    <m/>
    <m/>
    <m/>
    <m/>
    <m/>
    <m/>
    <n v="1.3616268192253504"/>
    <s v="Estatal"/>
  </r>
  <r>
    <x v="0"/>
    <s v="Nuevo León"/>
    <s v="19"/>
    <m/>
    <m/>
    <s v="19036"/>
    <s v="Mier y Noriega"/>
    <x v="6"/>
    <s v="Emisiones domésticas de amoniaco"/>
    <m/>
    <m/>
    <m/>
    <m/>
    <m/>
    <m/>
    <n v="33.481165146764326"/>
    <s v="Estatal"/>
  </r>
  <r>
    <x v="0"/>
    <s v="Nuevo León"/>
    <s v="19"/>
    <m/>
    <m/>
    <s v="19037"/>
    <s v="Mina"/>
    <x v="6"/>
    <s v="Emisiones domésticas de amoniaco"/>
    <m/>
    <m/>
    <m/>
    <m/>
    <m/>
    <m/>
    <n v="8.8472475428815454"/>
    <s v="Estatal"/>
  </r>
  <r>
    <x v="0"/>
    <s v="Nuevo León"/>
    <s v="19"/>
    <m/>
    <m/>
    <s v="19038"/>
    <s v="Montemorelos"/>
    <x v="6"/>
    <s v="Emisiones domésticas de amoniaco"/>
    <m/>
    <m/>
    <m/>
    <m/>
    <m/>
    <m/>
    <n v="99.131497713258483"/>
    <s v="Estatal"/>
  </r>
  <r>
    <x v="0"/>
    <s v="Nuevo León"/>
    <s v="19"/>
    <s v="19.01"/>
    <s v="Monterrey"/>
    <s v="19039"/>
    <s v="Monterrey"/>
    <x v="6"/>
    <s v="Emisiones domésticas de amoniaco"/>
    <m/>
    <m/>
    <m/>
    <m/>
    <m/>
    <m/>
    <n v="924.98786571128437"/>
    <s v="Estatal"/>
  </r>
  <r>
    <x v="0"/>
    <s v="Nuevo León"/>
    <s v="19"/>
    <m/>
    <m/>
    <s v="19040"/>
    <s v="Parás"/>
    <x v="6"/>
    <s v="Emisiones domésticas de amoniaco"/>
    <m/>
    <m/>
    <m/>
    <m/>
    <m/>
    <m/>
    <n v="1.6936710015393326"/>
    <s v="Estatal"/>
  </r>
  <r>
    <x v="0"/>
    <s v="Nuevo León"/>
    <s v="19"/>
    <s v="19.01"/>
    <s v="Monterrey"/>
    <s v="19041"/>
    <s v="Pesquería"/>
    <x v="6"/>
    <s v="Emisiones domésticas de amoniaco"/>
    <m/>
    <m/>
    <m/>
    <m/>
    <m/>
    <m/>
    <n v="125.85033250552777"/>
    <s v="Estatal"/>
  </r>
  <r>
    <x v="0"/>
    <s v="Nuevo León"/>
    <s v="19"/>
    <m/>
    <m/>
    <s v="19042"/>
    <s v="Los Ramones"/>
    <x v="6"/>
    <s v="Emisiones domésticas de amoniaco"/>
    <m/>
    <m/>
    <m/>
    <m/>
    <m/>
    <m/>
    <n v="9.0245070773667386"/>
    <s v="Estatal"/>
  </r>
  <r>
    <x v="0"/>
    <s v="Nuevo León"/>
    <s v="19"/>
    <m/>
    <m/>
    <s v="19043"/>
    <s v="Rayones"/>
    <x v="6"/>
    <s v="Emisiones domésticas de amoniaco"/>
    <m/>
    <m/>
    <m/>
    <m/>
    <m/>
    <m/>
    <n v="5.315503125517516"/>
    <s v="Estatal"/>
  </r>
  <r>
    <x v="0"/>
    <s v="Nuevo León"/>
    <s v="19"/>
    <m/>
    <m/>
    <s v="19044"/>
    <s v="Sabinas Hidalgo"/>
    <x v="6"/>
    <s v="Emisiones domésticas de amoniaco"/>
    <m/>
    <m/>
    <m/>
    <m/>
    <m/>
    <m/>
    <n v="43.741479795838636"/>
    <s v="Estatal"/>
  </r>
  <r>
    <x v="0"/>
    <s v="Nuevo León"/>
    <s v="19"/>
    <s v="19.01"/>
    <s v="Monterrey"/>
    <s v="19045"/>
    <s v="Salinas Victoria"/>
    <x v="6"/>
    <s v="Emisiones domésticas de amoniaco"/>
    <m/>
    <m/>
    <m/>
    <m/>
    <m/>
    <m/>
    <n v="84.61430870321783"/>
    <s v="Estatal"/>
  </r>
  <r>
    <x v="0"/>
    <s v="Nuevo León"/>
    <s v="19"/>
    <s v="19.01"/>
    <s v="Monterrey"/>
    <s v="19046"/>
    <s v="San Nicolás de los Garza"/>
    <x v="6"/>
    <s v="Emisiones domésticas de amoniaco"/>
    <m/>
    <m/>
    <m/>
    <m/>
    <m/>
    <m/>
    <n v="440.40775959738176"/>
    <s v="Estatal"/>
  </r>
  <r>
    <x v="0"/>
    <s v="Nuevo León"/>
    <s v="19"/>
    <s v="19.01"/>
    <s v="Monterrey"/>
    <s v="19047"/>
    <s v="Hidalgo"/>
    <x v="6"/>
    <s v="Emisiones domésticas de amoniaco"/>
    <m/>
    <m/>
    <m/>
    <m/>
    <m/>
    <m/>
    <n v="23.319511506657093"/>
    <s v="Estatal"/>
  </r>
  <r>
    <x v="0"/>
    <s v="Nuevo León"/>
    <s v="19"/>
    <s v="19.01"/>
    <s v="Monterrey"/>
    <s v="19048"/>
    <s v="Santa Catarina"/>
    <x v="6"/>
    <s v="Emisiones domésticas de amoniaco"/>
    <m/>
    <m/>
    <m/>
    <m/>
    <m/>
    <m/>
    <n v="323.63859914967816"/>
    <s v="Estatal"/>
  </r>
  <r>
    <x v="0"/>
    <s v="Nuevo León"/>
    <s v="19"/>
    <s v="19.01"/>
    <s v="Monterrey"/>
    <s v="19049"/>
    <s v="Santiago"/>
    <x v="6"/>
    <s v="Emisiones domésticas de amoniaco"/>
    <m/>
    <m/>
    <m/>
    <m/>
    <m/>
    <m/>
    <n v="51.736472331461101"/>
    <s v="Estatal"/>
  </r>
  <r>
    <x v="0"/>
    <s v="Nuevo León"/>
    <s v="19"/>
    <m/>
    <m/>
    <s v="19050"/>
    <s v="Vallecillo"/>
    <x v="6"/>
    <s v="Emisiones domésticas de amoniaco"/>
    <m/>
    <m/>
    <m/>
    <m/>
    <m/>
    <m/>
    <n v="3.9635024625844109"/>
    <s v="Estatal"/>
  </r>
  <r>
    <x v="0"/>
    <s v="Nuevo León"/>
    <s v="19"/>
    <m/>
    <m/>
    <s v="19051"/>
    <s v="Villaldama"/>
    <x v="6"/>
    <s v="Emisiones domésticas de amoniaco"/>
    <m/>
    <m/>
    <m/>
    <m/>
    <m/>
    <m/>
    <n v="6.501518789336024"/>
    <s v="Estatal"/>
  </r>
  <r>
    <x v="0"/>
    <s v="Nuevo León"/>
    <s v="19"/>
    <s v="19.01"/>
    <s v="Monterrey"/>
    <s v="19001"/>
    <s v="Abasolo"/>
    <x v="6"/>
    <s v="Incendios Forestales"/>
    <n v="0"/>
    <n v="0"/>
    <n v="0"/>
    <n v="0"/>
    <n v="0"/>
    <n v="0"/>
    <n v="0"/>
    <s v="Federal"/>
  </r>
  <r>
    <x v="0"/>
    <s v="Nuevo León"/>
    <s v="19"/>
    <m/>
    <m/>
    <s v="19002"/>
    <s v="Agualegua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03"/>
    <s v="Los Aldama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04"/>
    <s v="Allende"/>
    <x v="6"/>
    <s v="Incendios Forestales"/>
    <n v="0"/>
    <n v="0"/>
    <n v="0"/>
    <n v="0"/>
    <n v="0"/>
    <n v="0"/>
    <n v="0"/>
    <s v="Federal"/>
  </r>
  <r>
    <x v="0"/>
    <s v="Nuevo León"/>
    <s v="19"/>
    <m/>
    <m/>
    <s v="19005"/>
    <s v="Anáhuac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06"/>
    <s v="Apodaca"/>
    <x v="6"/>
    <s v="Incendios Forestales"/>
    <n v="0"/>
    <n v="0"/>
    <n v="0"/>
    <n v="0"/>
    <n v="0"/>
    <n v="0"/>
    <n v="0"/>
    <s v="Federal"/>
  </r>
  <r>
    <x v="0"/>
    <s v="Nuevo León"/>
    <s v="19"/>
    <m/>
    <m/>
    <s v="19007"/>
    <s v="Aramberri"/>
    <x v="6"/>
    <s v="Incendios Forestales"/>
    <n v="83.145862948428089"/>
    <n v="70.547669315435996"/>
    <n v="7.9616754159390375"/>
    <n v="817.40342997938762"/>
    <n v="25.62113526006706"/>
    <n v="57.088511524298546"/>
    <n v="8.1728783609505289"/>
    <s v="Federal"/>
  </r>
  <r>
    <x v="0"/>
    <s v="Nuevo León"/>
    <s v="19"/>
    <m/>
    <m/>
    <s v="19008"/>
    <s v="Bustamante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09"/>
    <s v="Cadereyta Jiménez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10"/>
    <s v="El Carmen"/>
    <x v="6"/>
    <s v="Incendios Forestales"/>
    <n v="0"/>
    <n v="0"/>
    <n v="0"/>
    <n v="0"/>
    <n v="0"/>
    <n v="0"/>
    <n v="0"/>
    <s v="Federal"/>
  </r>
  <r>
    <x v="0"/>
    <s v="Nuevo León"/>
    <s v="19"/>
    <m/>
    <m/>
    <s v="19011"/>
    <s v="Cerralvo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12"/>
    <s v="Ciénega de Flore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13"/>
    <s v="China"/>
    <x v="6"/>
    <s v="Incendios Forestales"/>
    <n v="0"/>
    <n v="0"/>
    <n v="0"/>
    <n v="0"/>
    <n v="0"/>
    <n v="0"/>
    <n v="0"/>
    <s v="Federal"/>
  </r>
  <r>
    <x v="0"/>
    <s v="Nuevo León"/>
    <s v="19"/>
    <m/>
    <m/>
    <s v="19014"/>
    <s v="Doctor Arroyo"/>
    <x v="6"/>
    <s v="Incendios Forestales"/>
    <n v="28.050793804497111"/>
    <n v="23.804060081107107"/>
    <n v="2.570391464157106"/>
    <n v="278.49632733389166"/>
    <n v="8.2699551455489502"/>
    <n v="19.445570207101582"/>
    <n v="2.7939037653881593"/>
    <s v="Federal"/>
  </r>
  <r>
    <x v="0"/>
    <s v="Nuevo León"/>
    <s v="19"/>
    <m/>
    <m/>
    <s v="19015"/>
    <s v="Doctor Cos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16"/>
    <s v="Doctor González"/>
    <x v="6"/>
    <s v="Incendios Forestales"/>
    <n v="0"/>
    <n v="0"/>
    <n v="0"/>
    <n v="0"/>
    <n v="0"/>
    <n v="0"/>
    <n v="0"/>
    <s v="Federal"/>
  </r>
  <r>
    <x v="0"/>
    <s v="Nuevo León"/>
    <s v="19"/>
    <m/>
    <m/>
    <s v="19017"/>
    <s v="Galeana"/>
    <x v="6"/>
    <s v="Incendios Forestales"/>
    <n v="7.8064035816849175"/>
    <n v="6.6245584017958592"/>
    <n v="0.71548926384945644"/>
    <n v="77.500301566331004"/>
    <n v="2.3020242712274896"/>
    <n v="5.4113413099790906"/>
    <n v="0.77748847058520054"/>
    <s v="Federal"/>
  </r>
  <r>
    <x v="0"/>
    <s v="Nuevo León"/>
    <s v="19"/>
    <s v="19.01"/>
    <s v="Monterrey"/>
    <s v="19018"/>
    <s v="García"/>
    <x v="6"/>
    <s v="Incendios Forestales"/>
    <n v="1.1974359127224221"/>
    <n v="1.016150794461657"/>
    <n v="0.10972520315783152"/>
    <n v="11.888487229100702"/>
    <n v="0.35302891450780577"/>
    <n v="0.83009501519402951"/>
    <n v="0.11926652517155602"/>
    <s v="Federal"/>
  </r>
  <r>
    <x v="0"/>
    <s v="Nuevo León"/>
    <s v="19"/>
    <s v="19.01"/>
    <s v="Monterrey"/>
    <s v="19019"/>
    <s v="San Pedro Garza García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0"/>
    <s v="General Bravo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21"/>
    <s v="General Escobedo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2"/>
    <s v="General Terán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3"/>
    <s v="General Treviño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4"/>
    <s v="General Zaragoza"/>
    <x v="6"/>
    <s v="Incendios Forestales"/>
    <n v="3.9672879728928714"/>
    <n v="3.3666627020963409"/>
    <n v="0.3635363481136894"/>
    <n v="39.388373021709299"/>
    <n v="1.1696386852353484"/>
    <n v="2.7502315031209537"/>
    <n v="0.39514820447140159"/>
    <s v="Federal"/>
  </r>
  <r>
    <x v="0"/>
    <s v="Nuevo León"/>
    <s v="19"/>
    <s v="19.01"/>
    <s v="Monterrey"/>
    <s v="19025"/>
    <s v="General Zuazua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26"/>
    <s v="Guadalupe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7"/>
    <s v="Los Herrera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8"/>
    <s v="Higuera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29"/>
    <s v="Hualahuise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0"/>
    <s v="Iturbide"/>
    <x v="6"/>
    <s v="Incendios Forestales"/>
    <n v="206.8255648586844"/>
    <n v="175.44304263905289"/>
    <n v="18.733829585692206"/>
    <n v="2057.8007418469106"/>
    <n v="60.489002572185989"/>
    <n v="143.70660090809329"/>
    <n v="20.646184775367633"/>
    <s v="Federal"/>
  </r>
  <r>
    <x v="0"/>
    <s v="Nuevo León"/>
    <s v="19"/>
    <s v="19.01"/>
    <s v="Monterrey"/>
    <s v="19031"/>
    <s v="Juárez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2"/>
    <s v="Lampazos de Naranjo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3"/>
    <s v="Linare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4"/>
    <s v="Marín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5"/>
    <s v="Melchor Ocampo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6"/>
    <s v="Mier y Noriega"/>
    <x v="6"/>
    <s v="Incendios Forestales"/>
    <n v="0"/>
    <n v="0"/>
    <n v="0"/>
    <n v="0"/>
    <n v="0"/>
    <n v="0"/>
    <n v="0"/>
    <s v="Federal"/>
  </r>
  <r>
    <x v="0"/>
    <s v="Nuevo León"/>
    <s v="19"/>
    <m/>
    <m/>
    <s v="19037"/>
    <s v="Mina"/>
    <x v="6"/>
    <s v="Incendios Forestales"/>
    <n v="8.7986219338615843"/>
    <n v="7.4665596490538553"/>
    <n v="0.80624822501520499"/>
    <n v="87.355242466864809"/>
    <n v="2.5940160283097899"/>
    <n v="6.0994430935932886"/>
    <n v="0.87635676632087522"/>
    <s v="Federal"/>
  </r>
  <r>
    <x v="0"/>
    <s v="Nuevo León"/>
    <s v="19"/>
    <m/>
    <m/>
    <s v="19038"/>
    <s v="Montemorelos"/>
    <x v="6"/>
    <s v="Incendios Forestales"/>
    <n v="0.11046936196785159"/>
    <n v="9.3744916729690791E-2"/>
    <n v="1.01226905388868E-2"/>
    <n v="1.0967715140393872"/>
    <n v="3.2568656516418402E-2"/>
    <n v="7.658035451157838E-2"/>
    <n v="1.1002924498790001E-2"/>
    <s v="Federal"/>
  </r>
  <r>
    <x v="0"/>
    <s v="Nuevo León"/>
    <s v="19"/>
    <s v="19.01"/>
    <s v="Monterrey"/>
    <s v="19039"/>
    <s v="Monterrey"/>
    <x v="6"/>
    <s v="Incendios Forestales"/>
    <n v="0"/>
    <n v="0"/>
    <n v="0"/>
    <n v="0"/>
    <n v="0"/>
    <n v="0"/>
    <n v="0"/>
    <s v="Federal"/>
  </r>
  <r>
    <x v="0"/>
    <s v="Nuevo León"/>
    <s v="19"/>
    <m/>
    <m/>
    <s v="19040"/>
    <s v="Parás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41"/>
    <s v="Pesquería"/>
    <x v="6"/>
    <s v="Incendios Forestales"/>
    <n v="0"/>
    <n v="0"/>
    <n v="0"/>
    <n v="0"/>
    <n v="0"/>
    <n v="0"/>
    <n v="0"/>
    <s v="Federal"/>
  </r>
  <r>
    <x v="0"/>
    <s v="Nuevo León"/>
    <s v="19"/>
    <m/>
    <m/>
    <s v="19042"/>
    <s v="Los Ramones"/>
    <x v="6"/>
    <s v="Incendios Forestales"/>
    <n v="0"/>
    <n v="0"/>
    <n v="0"/>
    <n v="0"/>
    <n v="0"/>
    <n v="0"/>
    <n v="0"/>
    <s v="Federal"/>
  </r>
  <r>
    <x v="0"/>
    <s v="Nuevo León"/>
    <s v="19"/>
    <m/>
    <m/>
    <s v="19043"/>
    <s v="Rayones"/>
    <x v="6"/>
    <s v="Incendios Forestales"/>
    <n v="2.4445762300006733"/>
    <n v="2.074481023865113"/>
    <n v="0.22400499318731268"/>
    <n v="24.270454044468835"/>
    <n v="0.72071171721135374"/>
    <n v="1.6946464701996697"/>
    <n v="0.24348368824707906"/>
    <s v="Federal"/>
  </r>
  <r>
    <x v="0"/>
    <s v="Nuevo León"/>
    <s v="19"/>
    <m/>
    <m/>
    <s v="19044"/>
    <s v="Sabinas Hidalgo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45"/>
    <s v="Salinas Victoria"/>
    <x v="6"/>
    <s v="Incendios Forestales"/>
    <n v="4.6614811860308576"/>
    <n v="3.9557589347592539"/>
    <n v="0.42714767840123402"/>
    <n v="46.280522372864134"/>
    <n v="1.3743012261604921"/>
    <n v="3.2314650452962916"/>
    <n v="0.4642909547839501"/>
    <s v="Federal"/>
  </r>
  <r>
    <x v="0"/>
    <s v="Nuevo León"/>
    <s v="19"/>
    <s v="19.01"/>
    <s v="Monterrey"/>
    <s v="19046"/>
    <s v="San Nicolás de los Garza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47"/>
    <s v="Hidalgo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48"/>
    <s v="Santa Catarina"/>
    <x v="6"/>
    <s v="Incendios Forestales"/>
    <n v="4.7449276270617206E-3"/>
    <n v="4.0265720500563601E-3"/>
    <n v="4.3479416502956002E-4"/>
    <n v="4.7109002576246242E-2"/>
    <n v="1.3989029657472802E-3"/>
    <n v="3.2893123789192796E-3"/>
    <n v="4.7260235329300013E-4"/>
    <s v="Federal"/>
  </r>
  <r>
    <x v="0"/>
    <s v="Nuevo León"/>
    <s v="19"/>
    <s v="19.01"/>
    <s v="Monterrey"/>
    <s v="19049"/>
    <s v="Santiago"/>
    <x v="6"/>
    <s v="Incendios Forestales"/>
    <n v="1.1979410725702322"/>
    <n v="1.0165794759261333"/>
    <n v="0.10977149270563882"/>
    <n v="11.89350260097617"/>
    <n v="0.35317784609640318"/>
    <n v="0.830445205686137"/>
    <n v="0.11931683989743352"/>
    <s v="Federal"/>
  </r>
  <r>
    <x v="0"/>
    <s v="Nuevo León"/>
    <s v="19"/>
    <m/>
    <m/>
    <s v="19050"/>
    <s v="Vallecillo"/>
    <x v="6"/>
    <s v="Incendios Forestales"/>
    <n v="0"/>
    <n v="0"/>
    <n v="0"/>
    <n v="0"/>
    <n v="0"/>
    <n v="0"/>
    <n v="0"/>
    <s v="Federal"/>
  </r>
  <r>
    <x v="0"/>
    <s v="Nuevo León"/>
    <s v="19"/>
    <m/>
    <m/>
    <s v="19051"/>
    <s v="Villaldama"/>
    <x v="6"/>
    <s v="Incendios Forestales"/>
    <n v="0"/>
    <n v="0"/>
    <n v="0"/>
    <n v="0"/>
    <n v="0"/>
    <n v="0"/>
    <n v="0"/>
    <s v="Federal"/>
  </r>
  <r>
    <x v="0"/>
    <s v="Nuevo León"/>
    <s v="19"/>
    <s v="19.01"/>
    <s v="Monterrey"/>
    <s v="19001"/>
    <s v="Abasolo"/>
    <x v="6"/>
    <s v="Esterilizacción de material hospitalario"/>
    <m/>
    <m/>
    <m/>
    <m/>
    <m/>
    <n v="0"/>
    <m/>
    <s v="Estatal"/>
  </r>
  <r>
    <x v="0"/>
    <s v="Nuevo León"/>
    <s v="19"/>
    <m/>
    <m/>
    <s v="19002"/>
    <s v="Agualeguas"/>
    <x v="6"/>
    <s v="Esterilizacción de material hospitalario"/>
    <m/>
    <m/>
    <m/>
    <m/>
    <m/>
    <n v="1.64E-3"/>
    <m/>
    <s v="Estatal"/>
  </r>
  <r>
    <x v="0"/>
    <s v="Nuevo León"/>
    <s v="19"/>
    <m/>
    <m/>
    <s v="19003"/>
    <s v="Los Aldamas"/>
    <x v="6"/>
    <s v="Esterilizacción de material hospitalario"/>
    <m/>
    <m/>
    <m/>
    <m/>
    <m/>
    <n v="0"/>
    <m/>
    <s v="Estatal"/>
  </r>
  <r>
    <x v="0"/>
    <s v="Nuevo León"/>
    <s v="19"/>
    <m/>
    <m/>
    <s v="19004"/>
    <s v="Allende"/>
    <x v="6"/>
    <s v="Esterilizacción de material hospitalario"/>
    <m/>
    <m/>
    <m/>
    <m/>
    <m/>
    <n v="2.4599999999999999E-3"/>
    <m/>
    <s v="Estatal"/>
  </r>
  <r>
    <x v="0"/>
    <s v="Nuevo León"/>
    <s v="19"/>
    <m/>
    <m/>
    <s v="19005"/>
    <s v="Anáhuac"/>
    <x v="6"/>
    <s v="Esterilizacción de material hospitalario"/>
    <m/>
    <m/>
    <m/>
    <m/>
    <m/>
    <n v="4.0999999999999995E-3"/>
    <m/>
    <s v="Estatal"/>
  </r>
  <r>
    <x v="0"/>
    <s v="Nuevo León"/>
    <s v="19"/>
    <s v="19.01"/>
    <s v="Monterrey"/>
    <s v="19006"/>
    <s v="Apodaca"/>
    <x v="6"/>
    <s v="Esterilizacción de material hospitalario"/>
    <m/>
    <m/>
    <m/>
    <m/>
    <m/>
    <n v="0.15858"/>
    <m/>
    <s v="Estatal"/>
  </r>
  <r>
    <x v="0"/>
    <s v="Nuevo León"/>
    <s v="19"/>
    <m/>
    <m/>
    <s v="19007"/>
    <s v="Aramberri"/>
    <x v="6"/>
    <s v="Esterilizacción de material hospitalario"/>
    <m/>
    <m/>
    <m/>
    <m/>
    <m/>
    <n v="3.2799999999999999E-3"/>
    <m/>
    <s v="Estatal"/>
  </r>
  <r>
    <x v="0"/>
    <s v="Nuevo León"/>
    <s v="19"/>
    <m/>
    <m/>
    <s v="19008"/>
    <s v="Bustamante"/>
    <x v="6"/>
    <s v="Esterilizacción de material hospitalario"/>
    <m/>
    <m/>
    <m/>
    <m/>
    <m/>
    <n v="0"/>
    <m/>
    <s v="Estatal"/>
  </r>
  <r>
    <x v="0"/>
    <s v="Nuevo León"/>
    <s v="19"/>
    <s v="19.01"/>
    <s v="Monterrey"/>
    <s v="19009"/>
    <s v="Cadereyta Jiménez"/>
    <x v="6"/>
    <s v="Esterilizacción de material hospitalario"/>
    <m/>
    <m/>
    <m/>
    <m/>
    <m/>
    <n v="3.7720000000000004E-2"/>
    <m/>
    <s v="Estatal"/>
  </r>
  <r>
    <x v="0"/>
    <s v="Nuevo León"/>
    <s v="19"/>
    <s v="19.01"/>
    <s v="Monterrey"/>
    <s v="19010"/>
    <s v="El Carmen"/>
    <x v="6"/>
    <s v="Esterilizacción de material hospitalario"/>
    <m/>
    <m/>
    <m/>
    <m/>
    <m/>
    <n v="1.64E-3"/>
    <m/>
    <s v="Estatal"/>
  </r>
  <r>
    <x v="0"/>
    <s v="Nuevo León"/>
    <s v="19"/>
    <m/>
    <m/>
    <s v="19011"/>
    <s v="Cerralvo"/>
    <x v="6"/>
    <s v="Esterilizacción de material hospitalario"/>
    <m/>
    <m/>
    <m/>
    <m/>
    <m/>
    <n v="4.018E-2"/>
    <m/>
    <s v="Estatal"/>
  </r>
  <r>
    <x v="0"/>
    <s v="Nuevo León"/>
    <s v="19"/>
    <s v="19.01"/>
    <s v="Monterrey"/>
    <s v="19012"/>
    <s v="Ciénega de Flores"/>
    <x v="6"/>
    <s v="Esterilizacción de material hospitalario"/>
    <m/>
    <m/>
    <m/>
    <m/>
    <m/>
    <n v="1.64E-3"/>
    <m/>
    <s v="Estatal"/>
  </r>
  <r>
    <x v="0"/>
    <s v="Nuevo León"/>
    <s v="19"/>
    <m/>
    <m/>
    <s v="19013"/>
    <s v="China"/>
    <x v="6"/>
    <s v="Esterilizacción de material hospitalario"/>
    <m/>
    <m/>
    <m/>
    <m/>
    <m/>
    <n v="3.2799999999999999E-3"/>
    <m/>
    <s v="Estatal"/>
  </r>
  <r>
    <x v="0"/>
    <s v="Nuevo León"/>
    <s v="19"/>
    <m/>
    <m/>
    <s v="19014"/>
    <s v="Doctor Arroyo"/>
    <x v="6"/>
    <s v="Esterilizacción de material hospitalario"/>
    <m/>
    <m/>
    <m/>
    <m/>
    <m/>
    <n v="5.0839999999999996E-2"/>
    <m/>
    <s v="Estatal"/>
  </r>
  <r>
    <x v="0"/>
    <s v="Nuevo León"/>
    <s v="19"/>
    <m/>
    <m/>
    <s v="19015"/>
    <s v="Doctor Coss"/>
    <x v="6"/>
    <s v="Esterilizacción de material hospitalario"/>
    <m/>
    <m/>
    <m/>
    <m/>
    <m/>
    <n v="0"/>
    <m/>
    <s v="Estatal"/>
  </r>
  <r>
    <x v="0"/>
    <s v="Nuevo León"/>
    <s v="19"/>
    <m/>
    <m/>
    <s v="19016"/>
    <s v="Doctor González"/>
    <x v="6"/>
    <s v="Esterilizacción de material hospitalario"/>
    <m/>
    <m/>
    <m/>
    <m/>
    <m/>
    <n v="0"/>
    <m/>
    <s v="Estatal"/>
  </r>
  <r>
    <x v="0"/>
    <s v="Nuevo León"/>
    <s v="19"/>
    <m/>
    <m/>
    <s v="19017"/>
    <s v="Galeana"/>
    <x v="6"/>
    <s v="Esterilizacción de material hospitalario"/>
    <m/>
    <m/>
    <m/>
    <m/>
    <m/>
    <n v="3.526E-2"/>
    <m/>
    <s v="Estatal"/>
  </r>
  <r>
    <x v="0"/>
    <s v="Nuevo León"/>
    <s v="19"/>
    <s v="19.01"/>
    <s v="Monterrey"/>
    <s v="19018"/>
    <s v="García"/>
    <x v="6"/>
    <s v="Esterilizacción de material hospitalario"/>
    <m/>
    <m/>
    <m/>
    <m/>
    <m/>
    <n v="1.64E-3"/>
    <m/>
    <s v="Estatal"/>
  </r>
  <r>
    <x v="0"/>
    <s v="Nuevo León"/>
    <s v="19"/>
    <s v="19.01"/>
    <s v="Monterrey"/>
    <s v="19019"/>
    <s v="San Pedro Garza García"/>
    <x v="6"/>
    <s v="Esterilizacción de material hospitalario"/>
    <m/>
    <m/>
    <m/>
    <m/>
    <m/>
    <n v="1.968E-2"/>
    <m/>
    <s v="Estatal"/>
  </r>
  <r>
    <x v="0"/>
    <s v="Nuevo León"/>
    <s v="19"/>
    <m/>
    <m/>
    <s v="19020"/>
    <s v="General Bravo"/>
    <x v="6"/>
    <s v="Esterilizacción de material hospitalario"/>
    <m/>
    <m/>
    <m/>
    <m/>
    <m/>
    <n v="0"/>
    <m/>
    <s v="Estatal"/>
  </r>
  <r>
    <x v="0"/>
    <s v="Nuevo León"/>
    <s v="19"/>
    <s v="19.01"/>
    <s v="Monterrey"/>
    <s v="19021"/>
    <s v="General Escobedo"/>
    <x v="6"/>
    <s v="Esterilizacción de material hospitalario"/>
    <m/>
    <m/>
    <m/>
    <m/>
    <m/>
    <n v="0"/>
    <m/>
    <s v="Estatal"/>
  </r>
  <r>
    <x v="0"/>
    <s v="Nuevo León"/>
    <s v="19"/>
    <m/>
    <m/>
    <s v="19022"/>
    <s v="General Terán"/>
    <x v="6"/>
    <s v="Esterilizacción de material hospitalario"/>
    <m/>
    <m/>
    <m/>
    <m/>
    <m/>
    <n v="4.0999999999999995E-3"/>
    <m/>
    <s v="Estatal"/>
  </r>
  <r>
    <x v="0"/>
    <s v="Nuevo León"/>
    <s v="19"/>
    <m/>
    <m/>
    <s v="19023"/>
    <s v="General Treviño"/>
    <x v="6"/>
    <s v="Esterilizacción de material hospitalario"/>
    <m/>
    <m/>
    <m/>
    <m/>
    <m/>
    <n v="0"/>
    <m/>
    <s v="Estatal"/>
  </r>
  <r>
    <x v="0"/>
    <s v="Nuevo León"/>
    <s v="19"/>
    <m/>
    <m/>
    <s v="19024"/>
    <s v="General Zaragoza"/>
    <x v="6"/>
    <s v="Esterilizacción de material hospitalario"/>
    <m/>
    <m/>
    <m/>
    <m/>
    <m/>
    <n v="0"/>
    <m/>
    <s v="Estatal"/>
  </r>
  <r>
    <x v="0"/>
    <s v="Nuevo León"/>
    <s v="19"/>
    <s v="19.01"/>
    <s v="Monterrey"/>
    <s v="19025"/>
    <s v="General Zuazua"/>
    <x v="6"/>
    <s v="Esterilizacción de material hospitalario"/>
    <m/>
    <m/>
    <m/>
    <m/>
    <m/>
    <n v="0"/>
    <m/>
    <s v="Estatal"/>
  </r>
  <r>
    <x v="0"/>
    <s v="Nuevo León"/>
    <s v="19"/>
    <s v="19.01"/>
    <s v="Monterrey"/>
    <s v="19026"/>
    <s v="Guadalupe"/>
    <x v="6"/>
    <s v="Esterilizacción de material hospitalario"/>
    <m/>
    <m/>
    <m/>
    <m/>
    <m/>
    <n v="0.36989"/>
    <m/>
    <s v="Estatal"/>
  </r>
  <r>
    <x v="0"/>
    <s v="Nuevo León"/>
    <s v="19"/>
    <m/>
    <m/>
    <s v="19027"/>
    <s v="Los Herreras"/>
    <x v="6"/>
    <s v="Esterilizacción de material hospitalario"/>
    <m/>
    <m/>
    <m/>
    <m/>
    <m/>
    <n v="0"/>
    <m/>
    <s v="Estatal"/>
  </r>
  <r>
    <x v="0"/>
    <s v="Nuevo León"/>
    <s v="19"/>
    <m/>
    <m/>
    <s v="19028"/>
    <s v="Higueras"/>
    <x v="6"/>
    <s v="Esterilizacción de material hospitalario"/>
    <m/>
    <m/>
    <m/>
    <m/>
    <m/>
    <n v="0"/>
    <m/>
    <s v="Estatal"/>
  </r>
  <r>
    <x v="0"/>
    <s v="Nuevo León"/>
    <s v="19"/>
    <m/>
    <m/>
    <s v="19029"/>
    <s v="Hualahuises"/>
    <x v="6"/>
    <s v="Esterilizacción de material hospitalario"/>
    <m/>
    <m/>
    <m/>
    <m/>
    <m/>
    <n v="1.64E-3"/>
    <m/>
    <s v="Estatal"/>
  </r>
  <r>
    <x v="0"/>
    <s v="Nuevo León"/>
    <s v="19"/>
    <m/>
    <m/>
    <s v="19030"/>
    <s v="Iturbide"/>
    <x v="6"/>
    <s v="Esterilizacción de material hospitalario"/>
    <m/>
    <m/>
    <m/>
    <m/>
    <m/>
    <n v="0"/>
    <m/>
    <s v="Estatal"/>
  </r>
  <r>
    <x v="0"/>
    <s v="Nuevo León"/>
    <s v="19"/>
    <s v="19.01"/>
    <s v="Monterrey"/>
    <s v="19031"/>
    <s v="Juárez"/>
    <x v="6"/>
    <s v="Esterilizacción de material hospitalario"/>
    <m/>
    <m/>
    <m/>
    <m/>
    <m/>
    <n v="1.64E-3"/>
    <m/>
    <s v="Estatal"/>
  </r>
  <r>
    <x v="0"/>
    <s v="Nuevo León"/>
    <s v="19"/>
    <m/>
    <m/>
    <s v="19032"/>
    <s v="Lampazos de Naranjo"/>
    <x v="6"/>
    <s v="Esterilizacción de material hospitalario"/>
    <m/>
    <m/>
    <m/>
    <m/>
    <m/>
    <n v="8.1999999999999998E-4"/>
    <m/>
    <s v="Estatal"/>
  </r>
  <r>
    <x v="0"/>
    <s v="Nuevo León"/>
    <s v="19"/>
    <m/>
    <m/>
    <s v="19033"/>
    <s v="Linares"/>
    <x v="6"/>
    <s v="Esterilizacción de material hospitalario"/>
    <m/>
    <m/>
    <m/>
    <m/>
    <m/>
    <n v="6.7239999999999994E-2"/>
    <m/>
    <s v="Estatal"/>
  </r>
  <r>
    <x v="0"/>
    <s v="Nuevo León"/>
    <s v="19"/>
    <m/>
    <m/>
    <s v="19034"/>
    <s v="Marín"/>
    <x v="6"/>
    <s v="Esterilizacción de material hospitalario"/>
    <m/>
    <m/>
    <m/>
    <m/>
    <m/>
    <n v="0"/>
    <m/>
    <s v="Estatal"/>
  </r>
  <r>
    <x v="0"/>
    <s v="Nuevo León"/>
    <s v="19"/>
    <m/>
    <m/>
    <s v="19035"/>
    <s v="Melchor Ocampo"/>
    <x v="6"/>
    <s v="Esterilizacción de material hospitalario"/>
    <m/>
    <m/>
    <m/>
    <m/>
    <m/>
    <n v="0"/>
    <m/>
    <s v="Estatal"/>
  </r>
  <r>
    <x v="0"/>
    <s v="Nuevo León"/>
    <s v="19"/>
    <m/>
    <m/>
    <s v="19036"/>
    <s v="Mier y Noriega"/>
    <x v="6"/>
    <s v="Esterilizacción de material hospitalario"/>
    <m/>
    <m/>
    <m/>
    <m/>
    <m/>
    <n v="0"/>
    <m/>
    <s v="Estatal"/>
  </r>
  <r>
    <x v="0"/>
    <s v="Nuevo León"/>
    <s v="19"/>
    <m/>
    <m/>
    <s v="19037"/>
    <s v="Mina"/>
    <x v="6"/>
    <s v="Esterilizacción de material hospitalario"/>
    <m/>
    <m/>
    <m/>
    <m/>
    <m/>
    <n v="0"/>
    <m/>
    <s v="Estatal"/>
  </r>
  <r>
    <x v="0"/>
    <s v="Nuevo León"/>
    <s v="19"/>
    <m/>
    <m/>
    <s v="19038"/>
    <s v="Montemorelos"/>
    <x v="6"/>
    <s v="Esterilizacción de material hospitalario"/>
    <m/>
    <m/>
    <m/>
    <m/>
    <m/>
    <n v="7.3800000000000004E-2"/>
    <m/>
    <s v="Estatal"/>
  </r>
  <r>
    <x v="0"/>
    <s v="Nuevo León"/>
    <s v="19"/>
    <s v="19.01"/>
    <s v="Monterrey"/>
    <s v="19039"/>
    <s v="Monterrey"/>
    <x v="6"/>
    <s v="Esterilizacción de material hospitalario"/>
    <m/>
    <m/>
    <m/>
    <m/>
    <m/>
    <n v="2.7523000000000013"/>
    <m/>
    <s v="Estatal"/>
  </r>
  <r>
    <x v="0"/>
    <s v="Nuevo León"/>
    <s v="19"/>
    <m/>
    <m/>
    <s v="19040"/>
    <s v="Parás"/>
    <x v="6"/>
    <s v="Esterilizacción de material hospitalario"/>
    <m/>
    <m/>
    <m/>
    <m/>
    <m/>
    <n v="0"/>
    <m/>
    <s v="Estatal"/>
  </r>
  <r>
    <x v="0"/>
    <s v="Nuevo León"/>
    <s v="19"/>
    <s v="19.01"/>
    <s v="Monterrey"/>
    <s v="19041"/>
    <s v="Pesquería"/>
    <x v="6"/>
    <s v="Esterilizacción de material hospitalario"/>
    <m/>
    <m/>
    <m/>
    <m/>
    <m/>
    <n v="0"/>
    <m/>
    <s v="Estatal"/>
  </r>
  <r>
    <x v="0"/>
    <s v="Nuevo León"/>
    <s v="19"/>
    <m/>
    <m/>
    <s v="19042"/>
    <s v="Los Ramones"/>
    <x v="6"/>
    <s v="Esterilizacción de material hospitalario"/>
    <m/>
    <m/>
    <m/>
    <m/>
    <m/>
    <n v="0"/>
    <m/>
    <s v="Estatal"/>
  </r>
  <r>
    <x v="0"/>
    <s v="Nuevo León"/>
    <s v="19"/>
    <m/>
    <m/>
    <s v="19043"/>
    <s v="Rayones"/>
    <x v="6"/>
    <s v="Esterilizacción de material hospitalario"/>
    <m/>
    <m/>
    <m/>
    <m/>
    <m/>
    <n v="0"/>
    <m/>
    <s v="Estatal"/>
  </r>
  <r>
    <x v="0"/>
    <s v="Nuevo León"/>
    <s v="19"/>
    <m/>
    <m/>
    <s v="19044"/>
    <s v="Sabinas Hidalgo"/>
    <x v="6"/>
    <s v="Esterilizacción de material hospitalario"/>
    <m/>
    <m/>
    <m/>
    <m/>
    <m/>
    <n v="5.1659999999999998E-2"/>
    <m/>
    <s v="Estatal"/>
  </r>
  <r>
    <x v="0"/>
    <s v="Nuevo León"/>
    <s v="19"/>
    <s v="19.01"/>
    <s v="Monterrey"/>
    <s v="19045"/>
    <s v="Salinas Victoria"/>
    <x v="6"/>
    <s v="Esterilizacción de material hospitalario"/>
    <m/>
    <m/>
    <m/>
    <m/>
    <m/>
    <n v="1.64E-3"/>
    <m/>
    <s v="Estatal"/>
  </r>
  <r>
    <x v="0"/>
    <s v="Nuevo León"/>
    <s v="19"/>
    <s v="19.01"/>
    <s v="Monterrey"/>
    <s v="19046"/>
    <s v="San Nicolás de los Garza"/>
    <x v="6"/>
    <s v="Esterilizacción de material hospitalario"/>
    <m/>
    <m/>
    <m/>
    <m/>
    <m/>
    <n v="0.41059000000000001"/>
    <m/>
    <s v="Estatal"/>
  </r>
  <r>
    <x v="0"/>
    <s v="Nuevo León"/>
    <s v="19"/>
    <s v="19.01"/>
    <s v="Monterrey"/>
    <s v="19047"/>
    <s v="Hidalgo"/>
    <x v="6"/>
    <s v="Esterilizacción de material hospitalario"/>
    <m/>
    <m/>
    <m/>
    <m/>
    <m/>
    <n v="2.4599999999999999E-3"/>
    <m/>
    <s v="Estatal"/>
  </r>
  <r>
    <x v="0"/>
    <s v="Nuevo León"/>
    <s v="19"/>
    <s v="19.01"/>
    <s v="Monterrey"/>
    <s v="19048"/>
    <s v="Santa Catarina"/>
    <x v="6"/>
    <s v="Esterilizacción de material hospitalario"/>
    <m/>
    <m/>
    <m/>
    <m/>
    <m/>
    <n v="1.64E-3"/>
    <m/>
    <s v="Estatal"/>
  </r>
  <r>
    <x v="0"/>
    <s v="Nuevo León"/>
    <s v="19"/>
    <s v="19.01"/>
    <s v="Monterrey"/>
    <s v="19049"/>
    <s v="Santiago"/>
    <x v="6"/>
    <s v="Esterilizacción de material hospitalario"/>
    <m/>
    <m/>
    <m/>
    <m/>
    <m/>
    <n v="4.0999999999999995E-3"/>
    <m/>
    <s v="Estatal"/>
  </r>
  <r>
    <x v="0"/>
    <s v="Nuevo León"/>
    <s v="19"/>
    <m/>
    <m/>
    <s v="19050"/>
    <s v="Vallecillo"/>
    <x v="6"/>
    <s v="Esterilizacción de material hospitalario"/>
    <m/>
    <m/>
    <m/>
    <m/>
    <m/>
    <n v="0"/>
    <m/>
    <s v="Estatal"/>
  </r>
  <r>
    <x v="0"/>
    <s v="Nuevo León"/>
    <s v="19"/>
    <m/>
    <m/>
    <s v="19051"/>
    <s v="Villaldama"/>
    <x v="6"/>
    <s v="Esterilizacción de material hospitalario"/>
    <m/>
    <m/>
    <m/>
    <m/>
    <m/>
    <n v="8.1999999999999998E-4"/>
    <m/>
    <s v="Estatal"/>
  </r>
  <r>
    <x v="0"/>
    <s v="Nuevo León"/>
    <s v="19"/>
    <s v="19.01"/>
    <s v="Monterrey"/>
    <s v="19001"/>
    <s v="Abasolo"/>
    <x v="6"/>
    <s v="Incendios en construcciones"/>
    <n v="2.1653954800976496E-3"/>
    <n v="2.0221273481441193E-3"/>
    <n v="0"/>
    <n v="3.4384351668847367E-2"/>
    <n v="8.1867503973446121E-4"/>
    <n v="2.1326484785082708E-3"/>
    <n v="0"/>
    <s v="Estatal"/>
  </r>
  <r>
    <x v="0"/>
    <s v="Nuevo León"/>
    <s v="19"/>
    <m/>
    <m/>
    <s v="19002"/>
    <s v="Agualeguas"/>
    <x v="6"/>
    <s v="Incendios en construcciones"/>
    <n v="2.4892503067946614E-3"/>
    <n v="2.3245551069122176E-3"/>
    <n v="0"/>
    <n v="3.9526847971786683E-2"/>
    <n v="9.4111542789968288E-4"/>
    <n v="2.4516056896786735E-3"/>
    <n v="0"/>
    <s v="Estatal"/>
  </r>
  <r>
    <x v="0"/>
    <s v="Nuevo León"/>
    <s v="19"/>
    <m/>
    <m/>
    <s v="19003"/>
    <s v="Los Aldamas"/>
    <x v="6"/>
    <s v="Incendios en construcciones"/>
    <n v="1.530019403550009E-3"/>
    <n v="1.4287893863018989E-3"/>
    <n v="0"/>
    <n v="2.4295204139546448E-2"/>
    <n v="5.784572414177727E-4"/>
    <n v="1.5068811138932979E-3"/>
    <n v="0"/>
    <s v="Estatal"/>
  </r>
  <r>
    <x v="0"/>
    <s v="Nuevo León"/>
    <s v="19"/>
    <m/>
    <m/>
    <s v="19004"/>
    <s v="Allende"/>
    <x v="6"/>
    <s v="Incendios en construcciones"/>
    <n v="3.0405649673680368E-2"/>
    <n v="2.8393933721735546E-2"/>
    <n v="0"/>
    <n v="0.4828118284667583"/>
    <n v="1.1495519725399007E-2"/>
    <n v="2.9945828884664412E-2"/>
    <n v="0"/>
    <s v="Estatal"/>
  </r>
  <r>
    <x v="0"/>
    <s v="Nuevo León"/>
    <s v="19"/>
    <m/>
    <m/>
    <s v="19005"/>
    <s v="Anáhuac"/>
    <x v="6"/>
    <s v="Incendios en construcciones"/>
    <n v="1.5813233344421126E-2"/>
    <n v="1.4766989172294966E-2"/>
    <n v="0"/>
    <n v="0.25109860131027884"/>
    <n v="5.9785381264352089E-3"/>
    <n v="1.5574091819363719E-2"/>
    <n v="0"/>
    <s v="Estatal"/>
  </r>
  <r>
    <x v="0"/>
    <s v="Nuevo León"/>
    <s v="19"/>
    <s v="19.01"/>
    <s v="Monterrey"/>
    <s v="19006"/>
    <s v="Apodaca"/>
    <x v="6"/>
    <s v="Incendios en construcciones"/>
    <n v="0.50892952841295036"/>
    <n v="0.47525744241209367"/>
    <n v="0"/>
    <n v="8.0813006402056402"/>
    <n v="0.19241192000489618"/>
    <n v="0.50123305161275455"/>
    <n v="0"/>
    <s v="Estatal"/>
  </r>
  <r>
    <x v="0"/>
    <s v="Nuevo León"/>
    <s v="19"/>
    <m/>
    <m/>
    <s v="19007"/>
    <s v="Aramberri"/>
    <x v="6"/>
    <s v="Incendios en construcciones"/>
    <n v="4.8906099569812934E-3"/>
    <n v="4.5670346290146678E-3"/>
    <n v="0"/>
    <n v="7.7658078711990319E-2"/>
    <n v="1.8490018740950072E-3"/>
    <n v="4.816649882017493E-3"/>
    <n v="0"/>
    <s v="Estatal"/>
  </r>
  <r>
    <x v="0"/>
    <s v="Nuevo León"/>
    <s v="19"/>
    <m/>
    <m/>
    <s v="19008"/>
    <s v="Bustamante"/>
    <x v="6"/>
    <s v="Incendios en construcciones"/>
    <n v="3.3183968081265235E-3"/>
    <n v="3.0988431440727841E-3"/>
    <n v="0"/>
    <n v="5.269287937289753E-2"/>
    <n v="1.2545923660213698E-3"/>
    <n v="3.2682131134856682E-3"/>
    <n v="0"/>
    <s v="Estatal"/>
  </r>
  <r>
    <x v="0"/>
    <s v="Nuevo León"/>
    <s v="19"/>
    <s v="19.01"/>
    <s v="Monterrey"/>
    <s v="19009"/>
    <s v="Cadereyta Jiménez"/>
    <x v="6"/>
    <s v="Incendios en construcciones"/>
    <n v="8.7396962438416007E-2"/>
    <n v="8.1614554715647464E-2"/>
    <n v="0"/>
    <n v="1.3877778534644507"/>
    <n v="3.3042329844391691E-2"/>
    <n v="8.6075269244640346E-2"/>
    <n v="0"/>
    <s v="Estatal"/>
  </r>
  <r>
    <x v="0"/>
    <s v="Nuevo León"/>
    <s v="19"/>
    <s v="19.01"/>
    <s v="Monterrey"/>
    <s v="19010"/>
    <s v="El Carmen"/>
    <x v="6"/>
    <s v="Incendios en construcciones"/>
    <n v="3.3615399112620847E-2"/>
    <n v="3.1391317885887907E-2"/>
    <n v="0"/>
    <n v="0.53377949441590777"/>
    <n v="1.2709035581331138E-2"/>
    <n v="3.310703768936761E-2"/>
    <n v="0"/>
    <s v="Estatal"/>
  </r>
  <r>
    <x v="0"/>
    <s v="Nuevo León"/>
    <s v="19"/>
    <m/>
    <m/>
    <s v="19011"/>
    <s v="Cerralvo"/>
    <x v="6"/>
    <s v="Incendios en construcciones"/>
    <n v="7.6339915503442499E-3"/>
    <n v="7.1289070432326278E-3"/>
    <n v="0"/>
    <n v="0.12122028170678963"/>
    <n v="2.8861971834949914E-3"/>
    <n v="7.5185436630044507E-3"/>
    <n v="0"/>
    <s v="Estatal"/>
  </r>
  <r>
    <x v="0"/>
    <s v="Nuevo León"/>
    <s v="19"/>
    <s v="19.01"/>
    <s v="Monterrey"/>
    <s v="19012"/>
    <s v="Ciénega de Flores"/>
    <x v="6"/>
    <s v="Incendios en construcciones"/>
    <n v="3.8069467841716748E-2"/>
    <n v="3.5550693976952895E-2"/>
    <n v="0"/>
    <n v="0.60450572754332854"/>
    <n v="1.4392993512936393E-2"/>
    <n v="3.7493748101199299E-2"/>
    <n v="0"/>
    <s v="Estatal"/>
  </r>
  <r>
    <x v="0"/>
    <s v="Nuevo León"/>
    <s v="19"/>
    <m/>
    <m/>
    <s v="19013"/>
    <s v="China"/>
    <x v="6"/>
    <s v="Incendios en construcciones"/>
    <n v="1.0635240299966859E-2"/>
    <n v="9.9315854597044027E-3"/>
    <n v="0"/>
    <n v="0.16887716166298983"/>
    <n v="4.0208848014997578E-3"/>
    <n v="1.0474404907906867E-2"/>
    <n v="0"/>
    <s v="Estatal"/>
  </r>
  <r>
    <x v="0"/>
    <s v="Nuevo León"/>
    <s v="19"/>
    <m/>
    <m/>
    <s v="19014"/>
    <s v="Doctor Arroyo"/>
    <x v="6"/>
    <s v="Incendios en construcciones"/>
    <n v="1.0191621840459582E-2"/>
    <n v="9.5173179379717098E-3"/>
    <n v="0"/>
    <n v="0.16183293659708978"/>
    <n v="3.8531651570735668E-3"/>
    <n v="1.003749523417664E-2"/>
    <n v="0"/>
    <s v="Estatal"/>
  </r>
  <r>
    <x v="0"/>
    <s v="Nuevo León"/>
    <s v="19"/>
    <m/>
    <m/>
    <s v="19015"/>
    <s v="Doctor Coss"/>
    <x v="6"/>
    <s v="Incendios en construcciones"/>
    <n v="1.7083284700770368E-3"/>
    <n v="1.5953010665747756E-3"/>
    <n v="0"/>
    <n v="2.7126576840542739E-2"/>
    <n v="6.4587087715577954E-4"/>
    <n v="1.6824936349908056E-3"/>
    <n v="0"/>
    <s v="Estatal"/>
  </r>
  <r>
    <x v="0"/>
    <s v="Nuevo León"/>
    <s v="19"/>
    <m/>
    <m/>
    <s v="19016"/>
    <s v="Doctor González"/>
    <x v="6"/>
    <s v="Incendios en construcciones"/>
    <n v="2.6125769191260801E-3"/>
    <n v="2.4397221135128238E-3"/>
    <n v="0"/>
    <n v="4.1485153347181614E-2"/>
    <n v="9.8774174636146687E-4"/>
    <n v="2.5730672492716221E-3"/>
    <n v="0"/>
    <s v="Estatal"/>
  </r>
  <r>
    <x v="0"/>
    <s v="Nuevo León"/>
    <s v="19"/>
    <m/>
    <m/>
    <s v="19017"/>
    <s v="Galeana"/>
    <x v="6"/>
    <s v="Incendios en construcciones"/>
    <n v="1.1721661760528574E-2"/>
    <n v="1.0946126483366949E-2"/>
    <n v="0"/>
    <n v="0.18612846651879023"/>
    <n v="4.4316301552092922E-3"/>
    <n v="1.1544396554320201E-2"/>
    <n v="0"/>
    <s v="Estatal"/>
  </r>
  <r>
    <x v="0"/>
    <s v="Nuevo León"/>
    <s v="19"/>
    <s v="19.01"/>
    <s v="Monterrey"/>
    <s v="19018"/>
    <s v="García"/>
    <x v="6"/>
    <s v="Incendios en construcciones"/>
    <n v="0.21440008540966837"/>
    <n v="0.20021482456025749"/>
    <n v="0"/>
    <n v="3.404462603858629"/>
    <n v="8.1058633425205445E-2"/>
    <n v="0.21115774007266017"/>
    <n v="0"/>
    <s v="Estatal"/>
  </r>
  <r>
    <x v="0"/>
    <s v="Nuevo León"/>
    <s v="19"/>
    <s v="19.01"/>
    <s v="Monterrey"/>
    <s v="19019"/>
    <s v="San Pedro Garza García"/>
    <x v="6"/>
    <s v="Incendios en construcciones"/>
    <n v="0.11074461902981758"/>
    <n v="0.10341747032274083"/>
    <n v="0"/>
    <n v="1.7585156896984264"/>
    <n v="4.1869421183295875E-2"/>
    <n v="0.10906984218248575"/>
    <n v="0"/>
    <s v="Estatal"/>
  </r>
  <r>
    <x v="0"/>
    <s v="Nuevo León"/>
    <s v="19"/>
    <m/>
    <m/>
    <s v="19020"/>
    <s v="General Bravo"/>
    <x v="6"/>
    <s v="Incendios en construcciones"/>
    <n v="5.4199719202444171E-3"/>
    <n v="5.061372643857736E-3"/>
    <n v="0"/>
    <n v="8.60638263328036E-2"/>
    <n v="2.0491387222096101E-3"/>
    <n v="5.3380063713560329E-3"/>
    <n v="0"/>
    <s v="Estatal"/>
  </r>
  <r>
    <x v="0"/>
    <s v="Nuevo León"/>
    <s v="19"/>
    <s v="19.01"/>
    <s v="Monterrey"/>
    <s v="19021"/>
    <s v="General Escobedo"/>
    <x v="6"/>
    <s v="Incendios en construcciones"/>
    <n v="0.35145681893998532"/>
    <n v="0.32820353224263282"/>
    <n v="0"/>
    <n v="5.5807888073646064"/>
    <n v="0.13287592398487155"/>
    <n v="0.34614178198059053"/>
    <n v="0"/>
    <s v="Estatal"/>
  </r>
  <r>
    <x v="0"/>
    <s v="Nuevo León"/>
    <s v="19"/>
    <m/>
    <m/>
    <s v="19022"/>
    <s v="General Terán"/>
    <x v="6"/>
    <s v="Incendios en construcciones"/>
    <n v="1.3118795670591588E-2"/>
    <n v="1.2250822422064739E-2"/>
    <n v="0"/>
    <n v="0.2083135796464449"/>
    <n v="4.9598471344391637E-3"/>
    <n v="1.2920401785214022E-2"/>
    <n v="0"/>
    <s v="Estatal"/>
  </r>
  <r>
    <x v="0"/>
    <s v="Nuevo León"/>
    <s v="19"/>
    <m/>
    <m/>
    <s v="19023"/>
    <s v="General Treviño"/>
    <x v="6"/>
    <s v="Incendios en construcciones"/>
    <n v="1.1799460400532095E-3"/>
    <n v="1.1018777765336213E-3"/>
    <n v="0"/>
    <n v="1.8736383244701248E-2"/>
    <n v="4.4610436296907728E-4"/>
    <n v="1.1621018655344464E-3"/>
    <n v="0"/>
    <s v="Estatal"/>
  </r>
  <r>
    <x v="0"/>
    <s v="Nuevo León"/>
    <s v="19"/>
    <m/>
    <m/>
    <s v="19024"/>
    <s v="General Zaragoza"/>
    <x v="6"/>
    <s v="Incendios en construcciones"/>
    <n v="2.4538987701106575E-3"/>
    <n v="2.291542518780085E-3"/>
    <n v="0"/>
    <n v="3.8965500319337473E-2"/>
    <n v="9.2775000760327323E-4"/>
    <n v="2.4167887698065258E-3"/>
    <n v="0"/>
    <s v="Estatal"/>
  </r>
  <r>
    <x v="0"/>
    <s v="Nuevo León"/>
    <s v="19"/>
    <s v="19.01"/>
    <s v="Monterrey"/>
    <s v="19025"/>
    <s v="General Zuazua"/>
    <x v="6"/>
    <s v="Incendios en construcciones"/>
    <n v="5.6539412620385143E-2"/>
    <n v="5.2798619724896523E-2"/>
    <n v="0"/>
    <n v="0.89779029491726869"/>
    <n v="2.1375959402792116E-2"/>
    <n v="5.5684374244273457E-2"/>
    <n v="0"/>
    <s v="Estatal"/>
  </r>
  <r>
    <x v="0"/>
    <s v="Nuevo León"/>
    <s v="19"/>
    <s v="19.01"/>
    <s v="Monterrey"/>
    <s v="19026"/>
    <s v="Guadalupe"/>
    <x v="6"/>
    <s v="Incendios en construcciones"/>
    <n v="0.5925637091954794"/>
    <n v="0.55335817077989946"/>
    <n v="0"/>
    <n v="9.4093292197391811"/>
    <n v="0.22403164808902812"/>
    <n v="0.58360244327191824"/>
    <n v="0"/>
    <s v="Estatal"/>
  </r>
  <r>
    <x v="0"/>
    <s v="Nuevo León"/>
    <s v="19"/>
    <m/>
    <m/>
    <s v="19027"/>
    <s v="Los Herreras"/>
    <x v="6"/>
    <s v="Incendios en construcciones"/>
    <n v="1.9968317600900479E-3"/>
    <n v="1.8647162372107445E-3"/>
    <n v="0"/>
    <n v="3.1707725491032901E-2"/>
    <n v="7.5494584502459276E-4"/>
    <n v="1.9666339262890643E-3"/>
    <n v="0"/>
    <s v="Estatal"/>
  </r>
  <r>
    <x v="0"/>
    <s v="Nuevo León"/>
    <s v="19"/>
    <m/>
    <m/>
    <s v="19028"/>
    <s v="Higueras"/>
    <x v="6"/>
    <s v="Incendios en construcciones"/>
    <n v="1.4198251800640275E-3"/>
    <n v="1.3258858959388088E-3"/>
    <n v="0"/>
    <n v="2.2545428190052615E-2"/>
    <n v="5.3679590928696697E-4"/>
    <n v="1.3983533436925488E-3"/>
    <n v="0"/>
    <s v="Estatal"/>
  </r>
  <r>
    <x v="0"/>
    <s v="Nuevo León"/>
    <s v="19"/>
    <m/>
    <m/>
    <s v="19029"/>
    <s v="Hualahuises"/>
    <x v="6"/>
    <s v="Incendios en construcciones"/>
    <n v="5.9483543502682409E-3"/>
    <n v="5.5547959338988874E-3"/>
    <n v="0"/>
    <n v="9.445401992864505E-2"/>
    <n v="2.2489052363963108E-3"/>
    <n v="5.8583981408123903E-3"/>
    <n v="0"/>
    <s v="Estatal"/>
  </r>
  <r>
    <x v="0"/>
    <s v="Nuevo León"/>
    <s v="19"/>
    <m/>
    <m/>
    <s v="19030"/>
    <s v="Iturbide"/>
    <x v="6"/>
    <s v="Incendios en construcciones"/>
    <n v="2.2788518301027644E-3"/>
    <n v="2.1280771343492734E-3"/>
    <n v="0"/>
    <n v="3.6185926980837849E-2"/>
    <n v="8.6156969001994869E-4"/>
    <n v="2.2443890425019662E-3"/>
    <n v="0"/>
    <s v="Estatal"/>
  </r>
  <r>
    <x v="0"/>
    <s v="Nuevo León"/>
    <s v="19"/>
    <s v="19.01"/>
    <s v="Monterrey"/>
    <s v="19031"/>
    <s v="Juárez"/>
    <x v="6"/>
    <s v="Incendios en construcciones"/>
    <n v="0.28096574349680514"/>
    <n v="0.26237632757546647"/>
    <n v="0"/>
    <n v="4.4614598211212915"/>
    <n v="0.10622523383622122"/>
    <n v="0.27671673414335629"/>
    <n v="0"/>
    <s v="Estatal"/>
  </r>
  <r>
    <x v="0"/>
    <s v="Nuevo León"/>
    <s v="19"/>
    <m/>
    <m/>
    <s v="19032"/>
    <s v="Lampazos de Naranjo"/>
    <x v="6"/>
    <s v="Incendios en construcciones"/>
    <n v="4.2659587601923754E-3"/>
    <n v="3.9837119613138627E-3"/>
    <n v="0"/>
    <n v="6.7739231730843022E-2"/>
    <n v="1.6128388507343574E-3"/>
    <n v="4.2014452061630006E-3"/>
    <n v="0"/>
    <s v="Estatal"/>
  </r>
  <r>
    <x v="0"/>
    <s v="Nuevo León"/>
    <s v="19"/>
    <m/>
    <m/>
    <s v="19033"/>
    <s v="Linares"/>
    <x v="6"/>
    <s v="Incendios en construcciones"/>
    <n v="6.8002494583066606E-2"/>
    <n v="6.3503274714621749E-2"/>
    <n v="0"/>
    <n v="1.0798127684267664"/>
    <n v="2.5709827819684918E-2"/>
    <n v="6.6974101470279213E-2"/>
    <n v="0"/>
    <s v="Estatal"/>
  </r>
  <r>
    <x v="0"/>
    <s v="Nuevo León"/>
    <s v="19"/>
    <m/>
    <m/>
    <s v="19034"/>
    <s v="Marín"/>
    <x v="6"/>
    <s v="Incendios en construcciones"/>
    <n v="4.7133009402125468E-3"/>
    <n v="4.4014568326370485E-3"/>
    <n v="0"/>
    <n v="7.4842585818119853E-2"/>
    <n v="1.7819663290028537E-3"/>
    <n v="4.642022287052433E-3"/>
    <n v="0"/>
    <s v="Estatal"/>
  </r>
  <r>
    <x v="0"/>
    <s v="Nuevo León"/>
    <s v="19"/>
    <m/>
    <m/>
    <s v="19035"/>
    <s v="Melchor Ocampo"/>
    <x v="6"/>
    <s v="Incendios en construcciones"/>
    <n v="1.0113823200456082E-3"/>
    <n v="9.4446666560024672E-4"/>
    <n v="0"/>
    <n v="1.6059757066886785E-2"/>
    <n v="3.823751682592092E-4"/>
    <n v="9.9608731331523996E-4"/>
    <n v="0"/>
    <s v="Estatal"/>
  </r>
  <r>
    <x v="0"/>
    <s v="Nuevo León"/>
    <s v="19"/>
    <m/>
    <m/>
    <s v="19036"/>
    <s v="Mier y Noriega"/>
    <x v="6"/>
    <s v="Incendios en construcciones"/>
    <n v="2.7650933301246929E-3"/>
    <n v="2.5821476466570854E-3"/>
    <n v="0"/>
    <n v="4.390696403222575E-2"/>
    <n v="1.0454039055291845E-3"/>
    <n v="2.7232771739035253E-3"/>
    <n v="0"/>
    <s v="Estatal"/>
  </r>
  <r>
    <x v="0"/>
    <s v="Nuevo León"/>
    <s v="19"/>
    <m/>
    <m/>
    <s v="19037"/>
    <s v="Mina"/>
    <x v="6"/>
    <s v="Incendios en construcciones"/>
    <n v="4.1687104601879901E-3"/>
    <n v="3.8928978588523002E-3"/>
    <n v="0"/>
    <n v="6.619502432056544E-2"/>
    <n v="1.5760720076325101E-3"/>
    <n v="4.1056675798826891E-3"/>
    <n v="0"/>
    <s v="Estatal"/>
  </r>
  <r>
    <x v="0"/>
    <s v="Nuevo León"/>
    <s v="19"/>
    <m/>
    <m/>
    <s v="19038"/>
    <s v="Montemorelos"/>
    <x v="6"/>
    <s v="Incendios en construcciones"/>
    <n v="5.4658773493187457E-2"/>
    <n v="5.1042408517267684E-2"/>
    <n v="0"/>
    <n v="0.86792759422074595"/>
    <n v="2.0664942719541567E-2"/>
    <n v="5.3832175784405779E-2"/>
    <n v="0"/>
    <s v="Estatal"/>
  </r>
  <r>
    <x v="0"/>
    <s v="Nuevo León"/>
    <s v="19"/>
    <s v="19.01"/>
    <s v="Monterrey"/>
    <s v="19039"/>
    <s v="Monterrey"/>
    <x v="6"/>
    <s v="Incendios en construcciones"/>
    <n v="0.96594077743383455"/>
    <n v="0.90203165227280591"/>
    <n v="0"/>
    <n v="15.338190038646902"/>
    <n v="0.36519500092016433"/>
    <n v="0.95133297739702805"/>
    <n v="0"/>
    <s v="Estatal"/>
  </r>
  <r>
    <x v="0"/>
    <s v="Nuevo León"/>
    <s v="19"/>
    <m/>
    <m/>
    <s v="19040"/>
    <s v="Parás"/>
    <x v="6"/>
    <s v="Incendios en construcciones"/>
    <n v="9.9517427004487788E-4"/>
    <n v="9.2933098185665351E-4"/>
    <n v="0"/>
    <n v="1.5802389165173864E-2"/>
    <n v="3.7624736107556817E-4"/>
    <n v="9.8012437560185514E-4"/>
    <n v="0"/>
    <s v="Estatal"/>
  </r>
  <r>
    <x v="0"/>
    <s v="Nuevo León"/>
    <s v="19"/>
    <s v="19.01"/>
    <s v="Monterrey"/>
    <s v="19041"/>
    <s v="Pesquería"/>
    <x v="6"/>
    <s v="Incendios en construcciones"/>
    <n v="7.6478772975734216E-2"/>
    <n v="7.1418740737264091E-2"/>
    <n v="0"/>
    <n v="1.2144077372328304"/>
    <n v="2.8914469934115013E-2"/>
    <n v="7.5322194178369606E-2"/>
    <n v="0"/>
    <s v="Estatal"/>
  </r>
  <r>
    <x v="0"/>
    <s v="Nuevo León"/>
    <s v="19"/>
    <m/>
    <m/>
    <s v="19042"/>
    <s v="Los Ramones"/>
    <x v="6"/>
    <s v="Incendios en construcciones"/>
    <n v="4.4799050202020225E-3"/>
    <n v="4.1835029867293002E-3"/>
    <n v="0"/>
    <n v="7.1136488033453668E-2"/>
    <n v="1.6937259055584207E-3"/>
    <n v="4.4121559839796851E-3"/>
    <n v="0"/>
    <s v="Estatal"/>
  </r>
  <r>
    <x v="0"/>
    <s v="Nuevo León"/>
    <s v="19"/>
    <m/>
    <m/>
    <s v="19043"/>
    <s v="Rayones"/>
    <x v="6"/>
    <s v="Incendios en construcciones"/>
    <n v="8.1688572003683695E-4"/>
    <n v="7.6283846067712194E-4"/>
    <n v="0"/>
    <n v="1.2971342246331624E-2"/>
    <n v="3.0884148205551488E-4"/>
    <n v="8.0453206075461624E-4"/>
    <n v="0"/>
    <s v="Estatal"/>
  </r>
  <r>
    <x v="0"/>
    <s v="Nuevo León"/>
    <s v="19"/>
    <m/>
    <m/>
    <s v="19044"/>
    <s v="Sabinas Hidalgo"/>
    <x v="6"/>
    <s v="Incendios en construcciones"/>
    <n v="3.4594125684438037E-2"/>
    <n v="3.2305289391516806E-2"/>
    <n v="0"/>
    <n v="0.54932071030109553"/>
    <n v="1.3079064530978466E-2"/>
    <n v="3.4070963103198897E-2"/>
    <n v="0"/>
    <s v="Estatal"/>
  </r>
  <r>
    <x v="0"/>
    <s v="Nuevo León"/>
    <s v="19"/>
    <s v="19.01"/>
    <s v="Monterrey"/>
    <s v="19045"/>
    <s v="Salinas Victoria"/>
    <x v="6"/>
    <s v="Incendios en construcciones"/>
    <n v="4.5483029912051047E-2"/>
    <n v="4.2473755721272627E-2"/>
    <n v="0"/>
    <n v="0.72222580578682183"/>
    <n v="1.7195852518733856E-2"/>
    <n v="4.4795195811301688E-2"/>
    <n v="0"/>
    <s v="Estatal"/>
  </r>
  <r>
    <x v="0"/>
    <s v="Nuevo León"/>
    <s v="19"/>
    <s v="19.01"/>
    <s v="Monterrey"/>
    <s v="19046"/>
    <s v="San Nicolás de los Garza"/>
    <x v="6"/>
    <s v="Incendios en construcciones"/>
    <n v="0.38775490499748605"/>
    <n v="0.36210004360823844"/>
    <n v="0"/>
    <n v="6.1571667334194382"/>
    <n v="0.14659920793855805"/>
    <n v="0.38189093667994373"/>
    <n v="0"/>
    <s v="Estatal"/>
  </r>
  <r>
    <x v="0"/>
    <s v="Nuevo León"/>
    <s v="19"/>
    <s v="19.01"/>
    <s v="Monterrey"/>
    <s v="19047"/>
    <s v="Hidalgo"/>
    <x v="6"/>
    <s v="Incendios en construcciones"/>
    <n v="1.2211144870550668E-2"/>
    <n v="1.1403224132423499E-2"/>
    <n v="0"/>
    <n v="0.19390097715052101"/>
    <n v="4.616689932155262E-3"/>
    <n v="1.2026477273264459E-2"/>
    <n v="0"/>
    <s v="Estatal"/>
  </r>
  <r>
    <x v="0"/>
    <s v="Nuevo León"/>
    <s v="19"/>
    <s v="19.01"/>
    <s v="Monterrey"/>
    <s v="19048"/>
    <s v="Santa Catarina"/>
    <x v="6"/>
    <s v="Incendios en construcciones"/>
    <n v="0.24490687712104417"/>
    <n v="0.22870320850244957"/>
    <n v="0"/>
    <n v="3.888880468462705"/>
    <n v="9.2592392106254875E-2"/>
    <n v="0.24120318143679401"/>
    <n v="0"/>
    <s v="Estatal"/>
  </r>
  <r>
    <x v="0"/>
    <s v="Nuevo León"/>
    <s v="19"/>
    <s v="19.01"/>
    <s v="Monterrey"/>
    <s v="19049"/>
    <s v="Santiago"/>
    <x v="6"/>
    <s v="Incendios en construcciones"/>
    <n v="3.6757008956587872E-2"/>
    <n v="3.4325070745849548E-2"/>
    <n v="0"/>
    <n v="0.5836651705771988"/>
    <n v="1.3896789775647589E-2"/>
    <n v="3.6201137365561978E-2"/>
    <n v="0"/>
    <s v="Estatal"/>
  </r>
  <r>
    <x v="0"/>
    <s v="Nuevo León"/>
    <s v="19"/>
    <m/>
    <m/>
    <s v="19050"/>
    <s v="Vallecillo"/>
    <x v="6"/>
    <s v="Incendios en construcciones"/>
    <n v="1.7601942300793756E-3"/>
    <n v="1.6437352545542756E-3"/>
    <n v="0"/>
    <n v="2.7950154126024116E-2"/>
    <n v="6.6547986014343127E-4"/>
    <n v="1.7335750356736383E-3"/>
    <n v="0"/>
    <s v="Estatal"/>
  </r>
  <r>
    <x v="0"/>
    <s v="Nuevo León"/>
    <s v="19"/>
    <m/>
    <m/>
    <s v="19051"/>
    <s v="Villaldama"/>
    <x v="6"/>
    <s v="Incendios en construcciones"/>
    <n v="3.750542770169132E-3"/>
    <n v="3.5023972182675832E-3"/>
    <n v="0"/>
    <n v="5.9554932456371862E-2"/>
    <n v="1.417974582294568E-3"/>
    <n v="3.6938237868773495E-3"/>
    <n v="0"/>
    <s v="Estatal"/>
  </r>
  <r>
    <x v="0"/>
    <s v="Nuevo León"/>
    <s v="19"/>
    <s v="19.01"/>
    <s v="Monterrey"/>
    <s v="19001"/>
    <s v="Abasolo"/>
    <x v="6"/>
    <s v="Ladrilleras"/>
    <n v="0"/>
    <n v="0"/>
    <n v="0"/>
    <n v="0"/>
    <n v="0"/>
    <n v="0"/>
    <n v="0"/>
    <s v="Estatal"/>
  </r>
  <r>
    <x v="0"/>
    <s v="Nuevo León"/>
    <s v="19"/>
    <m/>
    <m/>
    <s v="19002"/>
    <s v="Agualeguas"/>
    <x v="6"/>
    <s v="Ladrilleras"/>
    <n v="0"/>
    <n v="0"/>
    <n v="0"/>
    <n v="0"/>
    <n v="0"/>
    <n v="0"/>
    <n v="0"/>
    <s v="Estatal"/>
  </r>
  <r>
    <x v="0"/>
    <s v="Nuevo León"/>
    <s v="19"/>
    <m/>
    <m/>
    <s v="19003"/>
    <s v="Los Aldamas"/>
    <x v="6"/>
    <s v="Ladrilleras"/>
    <n v="0"/>
    <n v="0"/>
    <n v="0"/>
    <n v="0"/>
    <n v="0"/>
    <n v="0"/>
    <n v="0"/>
    <s v="Estatal"/>
  </r>
  <r>
    <x v="0"/>
    <s v="Nuevo León"/>
    <s v="19"/>
    <m/>
    <m/>
    <s v="19004"/>
    <s v="Allende"/>
    <x v="6"/>
    <s v="Ladrilleras"/>
    <n v="0"/>
    <n v="0"/>
    <n v="0"/>
    <n v="0"/>
    <n v="0"/>
    <n v="0"/>
    <n v="0"/>
    <s v="Estatal"/>
  </r>
  <r>
    <x v="0"/>
    <s v="Nuevo León"/>
    <s v="19"/>
    <m/>
    <m/>
    <s v="19005"/>
    <s v="Anáhuac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06"/>
    <s v="Apodaca"/>
    <x v="6"/>
    <s v="Ladrilleras"/>
    <n v="0"/>
    <n v="0"/>
    <n v="0"/>
    <n v="0"/>
    <n v="0"/>
    <n v="0"/>
    <n v="0"/>
    <s v="Estatal"/>
  </r>
  <r>
    <x v="0"/>
    <s v="Nuevo León"/>
    <s v="19"/>
    <m/>
    <m/>
    <s v="19007"/>
    <s v="Aramberri"/>
    <x v="6"/>
    <s v="Ladrilleras"/>
    <n v="0"/>
    <n v="0"/>
    <n v="0"/>
    <n v="0"/>
    <n v="0"/>
    <n v="0"/>
    <n v="0"/>
    <s v="Estatal"/>
  </r>
  <r>
    <x v="0"/>
    <s v="Nuevo León"/>
    <s v="19"/>
    <m/>
    <m/>
    <s v="19008"/>
    <s v="Bustamante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09"/>
    <s v="Cadereyta Jiménez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10"/>
    <s v="El Carmen"/>
    <x v="6"/>
    <s v="Ladrilleras"/>
    <n v="0"/>
    <n v="0"/>
    <n v="0"/>
    <n v="0"/>
    <n v="0"/>
    <n v="0"/>
    <n v="0"/>
    <s v="Estatal"/>
  </r>
  <r>
    <x v="0"/>
    <s v="Nuevo León"/>
    <s v="19"/>
    <m/>
    <m/>
    <s v="19011"/>
    <s v="Cerralvo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12"/>
    <s v="Ciénega de Flores"/>
    <x v="6"/>
    <s v="Ladrilleras"/>
    <n v="0"/>
    <n v="0"/>
    <n v="0"/>
    <n v="0"/>
    <n v="0"/>
    <n v="0"/>
    <n v="0"/>
    <s v="Estatal"/>
  </r>
  <r>
    <x v="0"/>
    <s v="Nuevo León"/>
    <s v="19"/>
    <m/>
    <m/>
    <s v="19013"/>
    <s v="China"/>
    <x v="6"/>
    <s v="Ladrilleras"/>
    <n v="0"/>
    <n v="0"/>
    <n v="0"/>
    <n v="0"/>
    <n v="0"/>
    <n v="0"/>
    <n v="0"/>
    <s v="Estatal"/>
  </r>
  <r>
    <x v="0"/>
    <s v="Nuevo León"/>
    <s v="19"/>
    <m/>
    <m/>
    <s v="19014"/>
    <s v="Doctor Arroyo"/>
    <x v="6"/>
    <s v="Ladrilleras"/>
    <n v="0"/>
    <n v="0"/>
    <n v="0"/>
    <n v="0"/>
    <n v="0"/>
    <n v="0"/>
    <n v="0"/>
    <s v="Estatal"/>
  </r>
  <r>
    <x v="0"/>
    <s v="Nuevo León"/>
    <s v="19"/>
    <m/>
    <m/>
    <s v="19015"/>
    <s v="Doctor Coss"/>
    <x v="6"/>
    <s v="Ladrilleras"/>
    <n v="0"/>
    <n v="0"/>
    <n v="0"/>
    <n v="0"/>
    <n v="0"/>
    <n v="0"/>
    <n v="0"/>
    <s v="Estatal"/>
  </r>
  <r>
    <x v="0"/>
    <s v="Nuevo León"/>
    <s v="19"/>
    <m/>
    <m/>
    <s v="19016"/>
    <s v="Doctor González"/>
    <x v="6"/>
    <s v="Ladrilleras"/>
    <n v="0"/>
    <n v="0"/>
    <n v="0"/>
    <n v="0"/>
    <n v="0"/>
    <n v="0"/>
    <n v="0"/>
    <s v="Estatal"/>
  </r>
  <r>
    <x v="0"/>
    <s v="Nuevo León"/>
    <s v="19"/>
    <m/>
    <m/>
    <s v="19017"/>
    <s v="Galean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18"/>
    <s v="Garcí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19"/>
    <s v="San Pedro Garza García"/>
    <x v="6"/>
    <s v="Ladrilleras"/>
    <n v="0"/>
    <n v="0"/>
    <n v="0"/>
    <n v="0"/>
    <n v="0"/>
    <n v="0"/>
    <n v="0"/>
    <s v="Estatal"/>
  </r>
  <r>
    <x v="0"/>
    <s v="Nuevo León"/>
    <s v="19"/>
    <m/>
    <m/>
    <s v="19020"/>
    <s v="General Bravo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21"/>
    <s v="General Escobedo"/>
    <x v="6"/>
    <s v="Ladrilleras"/>
    <n v="0"/>
    <n v="0"/>
    <n v="0"/>
    <n v="0"/>
    <n v="0"/>
    <n v="0"/>
    <n v="0"/>
    <s v="Estatal"/>
  </r>
  <r>
    <x v="0"/>
    <s v="Nuevo León"/>
    <s v="19"/>
    <m/>
    <m/>
    <s v="19022"/>
    <s v="General Terán"/>
    <x v="6"/>
    <s v="Ladrilleras"/>
    <n v="0"/>
    <n v="0"/>
    <n v="0"/>
    <n v="0"/>
    <n v="0"/>
    <n v="0"/>
    <n v="0"/>
    <s v="Estatal"/>
  </r>
  <r>
    <x v="0"/>
    <s v="Nuevo León"/>
    <s v="19"/>
    <m/>
    <m/>
    <s v="19023"/>
    <s v="General Treviño"/>
    <x v="6"/>
    <s v="Ladrilleras"/>
    <n v="0"/>
    <n v="0"/>
    <n v="0"/>
    <n v="0"/>
    <n v="0"/>
    <n v="0"/>
    <n v="0"/>
    <s v="Estatal"/>
  </r>
  <r>
    <x v="0"/>
    <s v="Nuevo León"/>
    <s v="19"/>
    <m/>
    <m/>
    <s v="19024"/>
    <s v="General Zaragoz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25"/>
    <s v="General Zuazu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26"/>
    <s v="Guadalupe"/>
    <x v="6"/>
    <s v="Ladrilleras"/>
    <n v="0"/>
    <n v="0"/>
    <n v="0"/>
    <n v="0"/>
    <n v="0"/>
    <n v="0"/>
    <n v="0"/>
    <s v="Estatal"/>
  </r>
  <r>
    <x v="0"/>
    <s v="Nuevo León"/>
    <s v="19"/>
    <m/>
    <m/>
    <s v="19027"/>
    <s v="Los Herreras"/>
    <x v="6"/>
    <s v="Ladrilleras"/>
    <n v="0"/>
    <n v="0"/>
    <n v="0"/>
    <n v="0"/>
    <n v="0"/>
    <n v="0"/>
    <n v="0"/>
    <s v="Estatal"/>
  </r>
  <r>
    <x v="0"/>
    <s v="Nuevo León"/>
    <s v="19"/>
    <m/>
    <m/>
    <s v="19028"/>
    <s v="Higueras"/>
    <x v="6"/>
    <s v="Ladrilleras"/>
    <n v="0"/>
    <n v="0"/>
    <n v="0"/>
    <n v="0"/>
    <n v="0"/>
    <n v="0"/>
    <n v="0"/>
    <s v="Estatal"/>
  </r>
  <r>
    <x v="0"/>
    <s v="Nuevo León"/>
    <s v="19"/>
    <m/>
    <m/>
    <s v="19029"/>
    <s v="Hualahuises"/>
    <x v="6"/>
    <s v="Ladrilleras"/>
    <n v="0"/>
    <n v="0"/>
    <n v="0"/>
    <n v="0"/>
    <n v="0"/>
    <n v="0"/>
    <n v="0"/>
    <s v="Estatal"/>
  </r>
  <r>
    <x v="0"/>
    <s v="Nuevo León"/>
    <s v="19"/>
    <m/>
    <m/>
    <s v="19030"/>
    <s v="Iturbide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31"/>
    <s v="Juárez"/>
    <x v="6"/>
    <s v="Ladrilleras"/>
    <n v="0"/>
    <n v="0"/>
    <n v="0"/>
    <n v="0"/>
    <n v="0"/>
    <n v="0"/>
    <n v="0"/>
    <s v="Estatal"/>
  </r>
  <r>
    <x v="0"/>
    <s v="Nuevo León"/>
    <s v="19"/>
    <m/>
    <m/>
    <s v="19032"/>
    <s v="Lampazos de Naranjo"/>
    <x v="6"/>
    <s v="Ladrilleras"/>
    <n v="0"/>
    <n v="0"/>
    <n v="0"/>
    <n v="0"/>
    <n v="0"/>
    <n v="0"/>
    <n v="0"/>
    <s v="Estatal"/>
  </r>
  <r>
    <x v="0"/>
    <s v="Nuevo León"/>
    <s v="19"/>
    <m/>
    <m/>
    <s v="19033"/>
    <s v="Linares"/>
    <x v="6"/>
    <s v="Ladrilleras"/>
    <n v="0"/>
    <n v="0"/>
    <n v="0"/>
    <n v="0"/>
    <n v="0"/>
    <n v="0"/>
    <n v="0"/>
    <s v="Estatal"/>
  </r>
  <r>
    <x v="0"/>
    <s v="Nuevo León"/>
    <s v="19"/>
    <m/>
    <m/>
    <s v="19034"/>
    <s v="Marín"/>
    <x v="6"/>
    <s v="Ladrilleras"/>
    <n v="0"/>
    <n v="0"/>
    <n v="0"/>
    <n v="0"/>
    <n v="0"/>
    <n v="0"/>
    <n v="0"/>
    <s v="Estatal"/>
  </r>
  <r>
    <x v="0"/>
    <s v="Nuevo León"/>
    <s v="19"/>
    <m/>
    <m/>
    <s v="19035"/>
    <s v="Melchor Ocampo"/>
    <x v="6"/>
    <s v="Ladrilleras"/>
    <n v="0"/>
    <n v="0"/>
    <n v="0"/>
    <n v="0"/>
    <n v="0"/>
    <n v="0"/>
    <n v="0"/>
    <s v="Estatal"/>
  </r>
  <r>
    <x v="0"/>
    <s v="Nuevo León"/>
    <s v="19"/>
    <m/>
    <m/>
    <s v="19036"/>
    <s v="Mier y Noriega"/>
    <x v="6"/>
    <s v="Ladrilleras"/>
    <n v="0"/>
    <n v="0"/>
    <n v="0"/>
    <n v="0"/>
    <n v="0"/>
    <n v="0"/>
    <n v="0"/>
    <s v="Estatal"/>
  </r>
  <r>
    <x v="0"/>
    <s v="Nuevo León"/>
    <s v="19"/>
    <m/>
    <m/>
    <s v="19037"/>
    <s v="Mina"/>
    <x v="6"/>
    <s v="Ladrilleras"/>
    <n v="0"/>
    <n v="0"/>
    <n v="0"/>
    <n v="0"/>
    <n v="0"/>
    <n v="0"/>
    <n v="0"/>
    <s v="Estatal"/>
  </r>
  <r>
    <x v="0"/>
    <s v="Nuevo León"/>
    <s v="19"/>
    <m/>
    <m/>
    <s v="19038"/>
    <s v="Montemorelos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39"/>
    <s v="Monterrey"/>
    <x v="6"/>
    <s v="Ladrilleras"/>
    <n v="0"/>
    <n v="0"/>
    <n v="0"/>
    <n v="0"/>
    <n v="0"/>
    <n v="0"/>
    <n v="0"/>
    <s v="Estatal"/>
  </r>
  <r>
    <x v="0"/>
    <s v="Nuevo León"/>
    <s v="19"/>
    <m/>
    <m/>
    <s v="19040"/>
    <s v="Parás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41"/>
    <s v="Pesquería"/>
    <x v="6"/>
    <s v="Ladrilleras"/>
    <n v="0"/>
    <n v="0"/>
    <n v="0"/>
    <n v="0"/>
    <n v="0"/>
    <n v="0"/>
    <n v="0"/>
    <s v="Estatal"/>
  </r>
  <r>
    <x v="0"/>
    <s v="Nuevo León"/>
    <s v="19"/>
    <m/>
    <m/>
    <s v="19042"/>
    <s v="Los Ramones"/>
    <x v="6"/>
    <s v="Ladrilleras"/>
    <n v="0"/>
    <n v="0"/>
    <n v="0"/>
    <n v="0"/>
    <n v="0"/>
    <n v="0"/>
    <n v="0"/>
    <s v="Estatal"/>
  </r>
  <r>
    <x v="0"/>
    <s v="Nuevo León"/>
    <s v="19"/>
    <m/>
    <m/>
    <s v="19043"/>
    <s v="Rayones"/>
    <x v="6"/>
    <s v="Ladrilleras"/>
    <n v="0"/>
    <n v="0"/>
    <n v="0"/>
    <n v="0"/>
    <n v="0"/>
    <n v="0"/>
    <n v="0"/>
    <s v="Estatal"/>
  </r>
  <r>
    <x v="0"/>
    <s v="Nuevo León"/>
    <s v="19"/>
    <m/>
    <m/>
    <s v="19044"/>
    <s v="Sabinas Hidalgo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45"/>
    <s v="Salinas Victori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46"/>
    <s v="San Nicolás de los Garz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47"/>
    <s v="Hidalgo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48"/>
    <s v="Santa Catarina"/>
    <x v="6"/>
    <s v="Ladrilleras"/>
    <n v="0"/>
    <n v="0"/>
    <n v="0"/>
    <n v="0"/>
    <n v="0"/>
    <n v="0"/>
    <n v="0"/>
    <s v="Estatal"/>
  </r>
  <r>
    <x v="0"/>
    <s v="Nuevo León"/>
    <s v="19"/>
    <s v="19.01"/>
    <s v="Monterrey"/>
    <s v="19049"/>
    <s v="Santiago"/>
    <x v="6"/>
    <s v="Ladrilleras"/>
    <n v="0"/>
    <n v="0"/>
    <n v="0"/>
    <n v="0"/>
    <n v="0"/>
    <n v="0"/>
    <n v="0"/>
    <s v="Estatal"/>
  </r>
  <r>
    <x v="0"/>
    <s v="Nuevo León"/>
    <s v="19"/>
    <m/>
    <m/>
    <s v="19050"/>
    <s v="Vallecillo"/>
    <x v="6"/>
    <s v="Ladrilleras"/>
    <n v="0"/>
    <n v="0"/>
    <n v="0"/>
    <n v="0"/>
    <n v="0"/>
    <n v="0"/>
    <n v="0"/>
    <s v="Estatal"/>
  </r>
  <r>
    <x v="0"/>
    <s v="Nuevo León"/>
    <s v="19"/>
    <m/>
    <m/>
    <s v="19051"/>
    <s v="Villaldama"/>
    <x v="6"/>
    <s v="Ladrilleras"/>
    <n v="0"/>
    <n v="0"/>
    <n v="0"/>
    <n v="0"/>
    <n v="0"/>
    <n v="0"/>
    <n v="0"/>
    <s v="Estatal"/>
  </r>
  <r>
    <x v="1"/>
    <s v="Nuevo León"/>
    <s v="19"/>
    <s v="19.01"/>
    <s v="Monterrey"/>
    <s v="19001"/>
    <s v="Abasolo"/>
    <x v="7"/>
    <m/>
    <m/>
    <m/>
    <m/>
    <m/>
    <n v="163"/>
    <n v="478"/>
    <m/>
    <s v="Federal"/>
  </r>
  <r>
    <x v="1"/>
    <s v="Nuevo León"/>
    <s v="19"/>
    <m/>
    <m/>
    <s v="19002"/>
    <s v="Agualeguas"/>
    <x v="7"/>
    <m/>
    <m/>
    <m/>
    <m/>
    <m/>
    <n v="89.924054075827925"/>
    <n v="170.62568070848769"/>
    <m/>
    <s v="Federal"/>
  </r>
  <r>
    <x v="1"/>
    <s v="Nuevo León"/>
    <s v="19"/>
    <m/>
    <m/>
    <s v="19003"/>
    <s v="Los Aldamas"/>
    <x v="7"/>
    <m/>
    <m/>
    <m/>
    <m/>
    <m/>
    <n v="101.81270380045876"/>
    <n v="250.32739988632261"/>
    <m/>
    <s v="Federal"/>
  </r>
  <r>
    <x v="1"/>
    <s v="Nuevo León"/>
    <s v="19"/>
    <m/>
    <m/>
    <s v="19004"/>
    <s v="Allende"/>
    <x v="7"/>
    <m/>
    <m/>
    <m/>
    <m/>
    <m/>
    <n v="711.19333070342157"/>
    <n v="3169.2305647126882"/>
    <m/>
    <s v="Federal"/>
  </r>
  <r>
    <x v="1"/>
    <s v="Nuevo León"/>
    <s v="19"/>
    <m/>
    <m/>
    <s v="19005"/>
    <s v="Anáhuac"/>
    <x v="7"/>
    <m/>
    <m/>
    <m/>
    <m/>
    <m/>
    <n v="128.17219025806375"/>
    <n v="358.46007717775245"/>
    <m/>
    <s v="Federal"/>
  </r>
  <r>
    <x v="1"/>
    <s v="Nuevo León"/>
    <s v="19"/>
    <s v="19.01"/>
    <s v="Monterrey"/>
    <s v="19006"/>
    <s v="Apodaca"/>
    <x v="7"/>
    <m/>
    <m/>
    <m/>
    <m/>
    <m/>
    <n v="362"/>
    <n v="1133"/>
    <m/>
    <s v="Federal"/>
  </r>
  <r>
    <x v="1"/>
    <s v="Nuevo León"/>
    <s v="19"/>
    <m/>
    <m/>
    <s v="19007"/>
    <s v="Aramberri"/>
    <x v="7"/>
    <m/>
    <m/>
    <m/>
    <m/>
    <m/>
    <n v="133.30523352206478"/>
    <n v="501.64812035708866"/>
    <m/>
    <s v="Federal"/>
  </r>
  <r>
    <x v="1"/>
    <s v="Nuevo León"/>
    <s v="19"/>
    <m/>
    <m/>
    <s v="19008"/>
    <s v="Bustamante"/>
    <x v="7"/>
    <m/>
    <m/>
    <m/>
    <m/>
    <m/>
    <n v="113.66941894436935"/>
    <n v="417.97536491386739"/>
    <m/>
    <s v="Federal"/>
  </r>
  <r>
    <x v="1"/>
    <s v="Nuevo León"/>
    <s v="19"/>
    <s v="19.01"/>
    <s v="Monterrey"/>
    <s v="19009"/>
    <s v="Cadereyta Jiménez"/>
    <x v="7"/>
    <m/>
    <m/>
    <m/>
    <m/>
    <m/>
    <n v="947"/>
    <n v="2884"/>
    <m/>
    <s v="Federal"/>
  </r>
  <r>
    <x v="1"/>
    <s v="Nuevo León"/>
    <s v="19"/>
    <s v="19.01"/>
    <s v="Monterrey"/>
    <s v="19010"/>
    <s v="El Carmen"/>
    <x v="7"/>
    <m/>
    <m/>
    <m/>
    <m/>
    <m/>
    <n v="439"/>
    <n v="1313"/>
    <m/>
    <s v="Federal"/>
  </r>
  <r>
    <x v="1"/>
    <s v="Nuevo León"/>
    <s v="19"/>
    <m/>
    <m/>
    <s v="19011"/>
    <s v="Cerralvo"/>
    <x v="7"/>
    <m/>
    <m/>
    <m/>
    <m/>
    <m/>
    <n v="147.93857446065286"/>
    <n v="554.18310507854449"/>
    <m/>
    <s v="Federal"/>
  </r>
  <r>
    <x v="1"/>
    <s v="Nuevo León"/>
    <s v="19"/>
    <s v="19.01"/>
    <s v="Monterrey"/>
    <s v="19012"/>
    <s v="Ciénega de Flores"/>
    <x v="7"/>
    <m/>
    <m/>
    <m/>
    <m/>
    <m/>
    <n v="188"/>
    <n v="651"/>
    <m/>
    <s v="Federal"/>
  </r>
  <r>
    <x v="1"/>
    <s v="Nuevo León"/>
    <s v="19"/>
    <m/>
    <m/>
    <s v="19013"/>
    <s v="China"/>
    <x v="7"/>
    <m/>
    <m/>
    <m/>
    <m/>
    <m/>
    <n v="137.23281301016121"/>
    <n v="362.84537833868251"/>
    <m/>
    <s v="Federal"/>
  </r>
  <r>
    <x v="1"/>
    <s v="Nuevo León"/>
    <s v="19"/>
    <m/>
    <m/>
    <s v="19014"/>
    <s v="Doctor Arroyo"/>
    <x v="7"/>
    <m/>
    <m/>
    <m/>
    <m/>
    <m/>
    <n v="210.75157737070401"/>
    <n v="690.3675711549281"/>
    <m/>
    <s v="Federal"/>
  </r>
  <r>
    <x v="1"/>
    <s v="Nuevo León"/>
    <s v="19"/>
    <m/>
    <m/>
    <s v="19015"/>
    <s v="Doctor Coss"/>
    <x v="7"/>
    <m/>
    <m/>
    <m/>
    <m/>
    <m/>
    <n v="245.29974732217104"/>
    <n v="715.93763552772839"/>
    <m/>
    <s v="Federal"/>
  </r>
  <r>
    <x v="1"/>
    <s v="Nuevo León"/>
    <s v="19"/>
    <m/>
    <m/>
    <s v="19016"/>
    <s v="Doctor González"/>
    <x v="7"/>
    <m/>
    <m/>
    <m/>
    <m/>
    <m/>
    <n v="214.78582349088421"/>
    <n v="909.92768836749133"/>
    <m/>
    <s v="Federal"/>
  </r>
  <r>
    <x v="1"/>
    <s v="Nuevo León"/>
    <s v="19"/>
    <m/>
    <m/>
    <s v="19017"/>
    <s v="Galeana"/>
    <x v="7"/>
    <m/>
    <m/>
    <m/>
    <m/>
    <m/>
    <n v="220.39456724308982"/>
    <n v="739.46783035655119"/>
    <m/>
    <s v="Federal"/>
  </r>
  <r>
    <x v="1"/>
    <s v="Nuevo León"/>
    <s v="19"/>
    <s v="19.01"/>
    <s v="Monterrey"/>
    <s v="19018"/>
    <s v="García"/>
    <x v="7"/>
    <m/>
    <m/>
    <m/>
    <m/>
    <m/>
    <n v="66"/>
    <n v="155"/>
    <m/>
    <s v="Federal"/>
  </r>
  <r>
    <x v="1"/>
    <s v="Nuevo León"/>
    <s v="19"/>
    <s v="19.01"/>
    <s v="Monterrey"/>
    <s v="19019"/>
    <s v="San Pedro Garza García"/>
    <x v="7"/>
    <m/>
    <m/>
    <m/>
    <m/>
    <m/>
    <n v="55"/>
    <n v="222"/>
    <m/>
    <s v="Federal"/>
  </r>
  <r>
    <x v="1"/>
    <s v="Nuevo León"/>
    <s v="19"/>
    <m/>
    <m/>
    <s v="19020"/>
    <s v="General Bravo"/>
    <x v="7"/>
    <m/>
    <m/>
    <m/>
    <m/>
    <m/>
    <n v="192.81617396522029"/>
    <n v="642.96980006085971"/>
    <m/>
    <s v="Federal"/>
  </r>
  <r>
    <x v="1"/>
    <s v="Nuevo León"/>
    <s v="19"/>
    <s v="19.01"/>
    <s v="Monterrey"/>
    <s v="19021"/>
    <s v="General Escobedo"/>
    <x v="7"/>
    <m/>
    <m/>
    <m/>
    <m/>
    <m/>
    <n v="261"/>
    <n v="812"/>
    <m/>
    <s v="Federal"/>
  </r>
  <r>
    <x v="1"/>
    <s v="Nuevo León"/>
    <s v="19"/>
    <m/>
    <m/>
    <s v="19022"/>
    <s v="General Terán"/>
    <x v="7"/>
    <m/>
    <m/>
    <m/>
    <m/>
    <m/>
    <n v="547.7733646210487"/>
    <n v="2480.0717350223563"/>
    <m/>
    <s v="Federal"/>
  </r>
  <r>
    <x v="1"/>
    <s v="Nuevo León"/>
    <s v="19"/>
    <m/>
    <m/>
    <s v="19023"/>
    <s v="General Treviño"/>
    <x v="7"/>
    <m/>
    <m/>
    <m/>
    <m/>
    <m/>
    <n v="158.98202844105796"/>
    <n v="633.54806209339142"/>
    <m/>
    <s v="Federal"/>
  </r>
  <r>
    <x v="1"/>
    <s v="Nuevo León"/>
    <s v="19"/>
    <m/>
    <m/>
    <s v="19024"/>
    <s v="General Zaragoza"/>
    <x v="7"/>
    <m/>
    <m/>
    <m/>
    <m/>
    <m/>
    <n v="82.935623605612463"/>
    <n v="456.1838013370828"/>
    <m/>
    <s v="Federal"/>
  </r>
  <r>
    <x v="1"/>
    <s v="Nuevo León"/>
    <s v="19"/>
    <s v="19.01"/>
    <s v="Monterrey"/>
    <s v="19025"/>
    <s v="General Zuazua"/>
    <x v="7"/>
    <m/>
    <m/>
    <m/>
    <m/>
    <m/>
    <n v="9"/>
    <n v="55"/>
    <m/>
    <s v="Federal"/>
  </r>
  <r>
    <x v="1"/>
    <s v="Nuevo León"/>
    <s v="19"/>
    <s v="19.01"/>
    <s v="Monterrey"/>
    <s v="19026"/>
    <s v="Guadalupe"/>
    <x v="7"/>
    <m/>
    <m/>
    <m/>
    <m/>
    <m/>
    <n v="39"/>
    <n v="41"/>
    <m/>
    <s v="Federal"/>
  </r>
  <r>
    <x v="1"/>
    <s v="Nuevo León"/>
    <s v="19"/>
    <m/>
    <m/>
    <s v="19027"/>
    <s v="Los Herreras"/>
    <x v="7"/>
    <m/>
    <m/>
    <m/>
    <m/>
    <m/>
    <n v="158.92661749365428"/>
    <n v="541.41245728286549"/>
    <m/>
    <s v="Federal"/>
  </r>
  <r>
    <x v="1"/>
    <s v="Nuevo León"/>
    <s v="19"/>
    <m/>
    <m/>
    <s v="19028"/>
    <s v="Higueras"/>
    <x v="7"/>
    <m/>
    <m/>
    <m/>
    <m/>
    <m/>
    <n v="57.667425789190446"/>
    <n v="121.22391900534139"/>
    <m/>
    <s v="Federal"/>
  </r>
  <r>
    <x v="1"/>
    <s v="Nuevo León"/>
    <s v="19"/>
    <m/>
    <m/>
    <s v="19029"/>
    <s v="Hualahuises"/>
    <x v="7"/>
    <m/>
    <m/>
    <m/>
    <m/>
    <m/>
    <n v="1155.3393977393032"/>
    <n v="5063.7927492010322"/>
    <m/>
    <s v="Federal"/>
  </r>
  <r>
    <x v="1"/>
    <s v="Nuevo León"/>
    <s v="19"/>
    <m/>
    <m/>
    <s v="19030"/>
    <s v="Iturbide"/>
    <x v="7"/>
    <m/>
    <m/>
    <m/>
    <m/>
    <m/>
    <n v="65.23009989968601"/>
    <n v="340.79194437747049"/>
    <m/>
    <s v="Federal"/>
  </r>
  <r>
    <x v="1"/>
    <s v="Nuevo León"/>
    <s v="19"/>
    <s v="19.01"/>
    <s v="Monterrey"/>
    <s v="19031"/>
    <s v="Juárez"/>
    <x v="7"/>
    <m/>
    <m/>
    <m/>
    <m/>
    <m/>
    <n v="381"/>
    <n v="1149"/>
    <m/>
    <s v="Federal"/>
  </r>
  <r>
    <x v="1"/>
    <s v="Nuevo León"/>
    <s v="19"/>
    <m/>
    <m/>
    <s v="19032"/>
    <s v="Lampazos de Naranjo"/>
    <x v="7"/>
    <m/>
    <m/>
    <m/>
    <m/>
    <m/>
    <n v="81.367722122831907"/>
    <n v="188.74647785332439"/>
    <m/>
    <s v="Federal"/>
  </r>
  <r>
    <x v="1"/>
    <s v="Nuevo León"/>
    <s v="19"/>
    <m/>
    <m/>
    <s v="19033"/>
    <s v="Linares"/>
    <x v="7"/>
    <m/>
    <m/>
    <m/>
    <m/>
    <m/>
    <n v="299.31307544462692"/>
    <n v="1389.8514286631876"/>
    <m/>
    <s v="Federal"/>
  </r>
  <r>
    <x v="1"/>
    <s v="Nuevo León"/>
    <s v="19"/>
    <m/>
    <m/>
    <s v="19034"/>
    <s v="Marín"/>
    <x v="7"/>
    <m/>
    <m/>
    <m/>
    <m/>
    <m/>
    <n v="197.97869181606953"/>
    <n v="738.61481909958854"/>
    <m/>
    <s v="Federal"/>
  </r>
  <r>
    <x v="1"/>
    <s v="Nuevo León"/>
    <s v="19"/>
    <m/>
    <m/>
    <s v="19035"/>
    <s v="Melchor Ocampo"/>
    <x v="7"/>
    <m/>
    <m/>
    <m/>
    <m/>
    <m/>
    <n v="156.38374505160255"/>
    <n v="760.45609918498542"/>
    <m/>
    <s v="Federal"/>
  </r>
  <r>
    <x v="1"/>
    <s v="Nuevo León"/>
    <s v="19"/>
    <m/>
    <m/>
    <s v="19036"/>
    <s v="Mier y Noriega"/>
    <x v="7"/>
    <m/>
    <m/>
    <m/>
    <m/>
    <m/>
    <n v="177.71206768118736"/>
    <n v="559.70006341969417"/>
    <m/>
    <s v="Federal"/>
  </r>
  <r>
    <x v="1"/>
    <s v="Nuevo León"/>
    <s v="19"/>
    <m/>
    <m/>
    <s v="19037"/>
    <s v="Mina"/>
    <x v="7"/>
    <m/>
    <m/>
    <m/>
    <m/>
    <m/>
    <n v="69.878380073862544"/>
    <n v="198.97462989093415"/>
    <m/>
    <s v="Federal"/>
  </r>
  <r>
    <x v="1"/>
    <s v="Nuevo León"/>
    <s v="19"/>
    <m/>
    <m/>
    <s v="19038"/>
    <s v="Montemorelos"/>
    <x v="7"/>
    <m/>
    <m/>
    <m/>
    <m/>
    <m/>
    <n v="556.83610773072701"/>
    <n v="2444.4603820024413"/>
    <m/>
    <s v="Federal"/>
  </r>
  <r>
    <x v="1"/>
    <s v="Nuevo León"/>
    <s v="19"/>
    <s v="19.01"/>
    <s v="Monterrey"/>
    <s v="19039"/>
    <s v="Monterrey"/>
    <x v="7"/>
    <m/>
    <m/>
    <m/>
    <m/>
    <m/>
    <n v="26"/>
    <n v="124"/>
    <m/>
    <s v="Federal"/>
  </r>
  <r>
    <x v="1"/>
    <s v="Nuevo León"/>
    <s v="19"/>
    <m/>
    <m/>
    <s v="19040"/>
    <s v="Parás"/>
    <x v="7"/>
    <m/>
    <m/>
    <m/>
    <m/>
    <m/>
    <n v="51.659809019522825"/>
    <n v="126.60628626809189"/>
    <m/>
    <s v="Federal"/>
  </r>
  <r>
    <x v="1"/>
    <s v="Nuevo León"/>
    <s v="19"/>
    <s v="19.01"/>
    <s v="Monterrey"/>
    <s v="19041"/>
    <s v="Pesquería"/>
    <x v="7"/>
    <m/>
    <m/>
    <m/>
    <m/>
    <m/>
    <n v="937"/>
    <n v="2845"/>
    <m/>
    <s v="Federal"/>
  </r>
  <r>
    <x v="1"/>
    <s v="Nuevo León"/>
    <s v="19"/>
    <m/>
    <m/>
    <s v="19042"/>
    <s v="Los Ramones"/>
    <x v="7"/>
    <m/>
    <m/>
    <m/>
    <m/>
    <m/>
    <n v="428.57929504454722"/>
    <n v="1894.6748556554503"/>
    <m/>
    <s v="Federal"/>
  </r>
  <r>
    <x v="1"/>
    <s v="Nuevo León"/>
    <s v="19"/>
    <m/>
    <m/>
    <s v="19043"/>
    <s v="Rayones"/>
    <x v="7"/>
    <m/>
    <m/>
    <m/>
    <m/>
    <m/>
    <n v="75.168893978242309"/>
    <n v="273.57179045153015"/>
    <m/>
    <s v="Federal"/>
  </r>
  <r>
    <x v="1"/>
    <s v="Nuevo León"/>
    <s v="19"/>
    <m/>
    <m/>
    <s v="19044"/>
    <s v="Sabinas Hidalgo"/>
    <x v="7"/>
    <m/>
    <m/>
    <m/>
    <m/>
    <m/>
    <n v="160.7467945585706"/>
    <n v="560.71967735937494"/>
    <m/>
    <s v="Federal"/>
  </r>
  <r>
    <x v="1"/>
    <s v="Nuevo León"/>
    <s v="19"/>
    <s v="19.01"/>
    <s v="Monterrey"/>
    <s v="19045"/>
    <s v="Salinas Victoria"/>
    <x v="7"/>
    <m/>
    <m/>
    <m/>
    <m/>
    <m/>
    <n v="429"/>
    <n v="1260"/>
    <m/>
    <s v="Federal"/>
  </r>
  <r>
    <x v="1"/>
    <s v="Nuevo León"/>
    <s v="19"/>
    <s v="19.01"/>
    <s v="Monterrey"/>
    <s v="19046"/>
    <s v="San Nicolás de los Garza"/>
    <x v="7"/>
    <m/>
    <m/>
    <m/>
    <m/>
    <m/>
    <n v="1"/>
    <n v="18"/>
    <m/>
    <s v="Federal"/>
  </r>
  <r>
    <x v="1"/>
    <s v="Nuevo León"/>
    <s v="19"/>
    <s v="19.01"/>
    <s v="Monterrey"/>
    <s v="19047"/>
    <s v="Hidalgo"/>
    <x v="7"/>
    <m/>
    <m/>
    <m/>
    <m/>
    <m/>
    <n v="28"/>
    <n v="167"/>
    <m/>
    <s v="Federal"/>
  </r>
  <r>
    <x v="1"/>
    <s v="Nuevo León"/>
    <s v="19"/>
    <s v="19.01"/>
    <s v="Monterrey"/>
    <s v="19048"/>
    <s v="Santa Catarina"/>
    <x v="7"/>
    <m/>
    <m/>
    <m/>
    <m/>
    <m/>
    <n v="43"/>
    <n v="99"/>
    <m/>
    <s v="Federal"/>
  </r>
  <r>
    <x v="1"/>
    <s v="Nuevo León"/>
    <s v="19"/>
    <s v="19.01"/>
    <s v="Monterrey"/>
    <s v="19049"/>
    <s v="Santiago"/>
    <x v="7"/>
    <m/>
    <m/>
    <m/>
    <m/>
    <m/>
    <n v="119"/>
    <n v="399"/>
    <m/>
    <s v="Federal"/>
  </r>
  <r>
    <x v="1"/>
    <s v="Nuevo León"/>
    <s v="19"/>
    <m/>
    <m/>
    <s v="19050"/>
    <s v="Vallecillo"/>
    <x v="7"/>
    <m/>
    <m/>
    <m/>
    <m/>
    <m/>
    <n v="232.06127653171905"/>
    <n v="1021.6808828373237"/>
    <m/>
    <s v="Federal"/>
  </r>
  <r>
    <x v="1"/>
    <s v="Nuevo León"/>
    <s v="19"/>
    <m/>
    <m/>
    <s v="19051"/>
    <s v="Villaldama"/>
    <x v="7"/>
    <m/>
    <m/>
    <m/>
    <m/>
    <m/>
    <n v="171.14863606468779"/>
    <n v="619.68415211656054"/>
    <m/>
    <s v="Federal"/>
  </r>
  <r>
    <x v="2"/>
    <s v="Nuevo León"/>
    <s v="19"/>
    <s v="19.01"/>
    <s v="Monterrey"/>
    <s v="19001"/>
    <s v="Abasol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2"/>
    <s v="Agualegu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4"/>
    <s v="Allende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7"/>
    <s v="Aramberri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1"/>
    <s v="Cerralv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6"/>
    <s v="Doctor González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0"/>
    <s v="General Brav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2"/>
    <s v="General Terán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7"/>
    <s v="Los Herrer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8"/>
    <s v="Higuer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3"/>
    <s v="Linar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4"/>
    <s v="Marín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7"/>
    <s v="Min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8"/>
    <s v="Montemorelo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0"/>
    <s v="Pará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2"/>
    <s v="Los Ramon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3"/>
    <s v="Rayon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02"/>
    <s v="Agualegua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04"/>
    <s v="Allende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07"/>
    <s v="Aramberri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11"/>
    <s v="Cerralvo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16"/>
    <s v="Doctor González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0"/>
    <s v="General Bravo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2"/>
    <s v="General Terán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7"/>
    <s v="Los Herrera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8"/>
    <s v="Higuera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3"/>
    <s v="Linare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4"/>
    <s v="Marín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7"/>
    <s v="Mina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38"/>
    <s v="Montemorelos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s v="Equipos en Aeropuertos"/>
    <n v="28.670999999999999"/>
    <n v="28.577999999999999"/>
    <n v="126.084"/>
    <n v="2529.4369999999999"/>
    <n v="1019.591"/>
    <n v="1135.8119999999999"/>
    <n v="0"/>
    <s v="Federal"/>
  </r>
  <r>
    <x v="2"/>
    <s v="Nuevo León"/>
    <s v="19"/>
    <m/>
    <m/>
    <s v="19040"/>
    <s v="Parás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42"/>
    <s v="Los Ramone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43"/>
    <s v="Rayones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Equipos en Aeropuertos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Equipos en Aeropuertos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s v="cruces fronterizos"/>
    <n v="0"/>
    <n v="0"/>
    <n v="0"/>
    <n v="0"/>
    <n v="0"/>
    <n v="0"/>
    <n v="0"/>
    <s v="Federal"/>
  </r>
  <r>
    <x v="2"/>
    <s v="Nuevo León"/>
    <s v="19"/>
    <m/>
    <m/>
    <s v="19002"/>
    <s v="Agualeguas"/>
    <x v="8"/>
    <s v="cruces fronterizos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cruces fronterizos"/>
    <n v="0"/>
    <n v="0"/>
    <n v="0"/>
    <n v="0"/>
    <n v="0"/>
    <n v="0"/>
    <n v="0"/>
    <s v="Federal"/>
  </r>
  <r>
    <x v="2"/>
    <s v="Nuevo León"/>
    <s v="19"/>
    <m/>
    <m/>
    <s v="19004"/>
    <s v="Allende"/>
    <x v="8"/>
    <s v="cruces fronterizos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s v="cruces fronterizos"/>
    <n v="0"/>
    <n v="0"/>
    <n v="0"/>
    <n v="0"/>
    <n v="0"/>
    <n v="0"/>
    <n v="0"/>
    <s v="Federal"/>
  </r>
  <r>
    <x v="2"/>
    <s v="Nuevo León"/>
    <s v="19"/>
    <m/>
    <m/>
    <s v="19007"/>
    <s v="Aramberri"/>
    <x v="8"/>
    <s v="cruces fronterizos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s v="cruces fronterizos"/>
    <n v="0"/>
    <n v="0"/>
    <n v="0"/>
    <n v="0"/>
    <n v="0"/>
    <n v="0"/>
    <n v="0"/>
    <s v="Federal"/>
  </r>
  <r>
    <x v="2"/>
    <s v="Nuevo León"/>
    <s v="19"/>
    <m/>
    <m/>
    <s v="19011"/>
    <s v="Cerralvo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cruces fronterizos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cruces fronterizos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cruces fronterizos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cruces fronterizos"/>
    <n v="0"/>
    <n v="0"/>
    <n v="0"/>
    <n v="0"/>
    <n v="0"/>
    <n v="0"/>
    <n v="0"/>
    <s v="Federal"/>
  </r>
  <r>
    <x v="2"/>
    <s v="Nuevo León"/>
    <s v="19"/>
    <m/>
    <m/>
    <s v="19016"/>
    <s v="Doctor González"/>
    <x v="8"/>
    <s v="cruces fronterizos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s v="cruces fronterizos"/>
    <n v="0"/>
    <n v="0"/>
    <n v="0"/>
    <n v="0"/>
    <n v="0"/>
    <n v="0"/>
    <n v="0"/>
    <s v="Federal"/>
  </r>
  <r>
    <x v="2"/>
    <s v="Nuevo León"/>
    <s v="19"/>
    <m/>
    <m/>
    <s v="19020"/>
    <s v="General Bravo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cruces fronterizos"/>
    <n v="0"/>
    <n v="0"/>
    <n v="0"/>
    <n v="0"/>
    <n v="0"/>
    <n v="0"/>
    <n v="0"/>
    <s v="Federal"/>
  </r>
  <r>
    <x v="2"/>
    <s v="Nuevo León"/>
    <s v="19"/>
    <m/>
    <m/>
    <s v="19022"/>
    <s v="General Terán"/>
    <x v="8"/>
    <s v="cruces fronterizos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cruces fronterizos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cruces fronterizos"/>
    <n v="0"/>
    <n v="0"/>
    <n v="0"/>
    <n v="0"/>
    <n v="0"/>
    <n v="0"/>
    <n v="0"/>
    <s v="Federal"/>
  </r>
  <r>
    <x v="2"/>
    <s v="Nuevo León"/>
    <s v="19"/>
    <m/>
    <m/>
    <s v="19027"/>
    <s v="Los Herreras"/>
    <x v="8"/>
    <s v="cruces fronterizos"/>
    <n v="0"/>
    <n v="0"/>
    <n v="0"/>
    <n v="0"/>
    <n v="0"/>
    <n v="0"/>
    <n v="0"/>
    <s v="Federal"/>
  </r>
  <r>
    <x v="2"/>
    <s v="Nuevo León"/>
    <s v="19"/>
    <m/>
    <m/>
    <s v="19028"/>
    <s v="Higueras"/>
    <x v="8"/>
    <s v="cruces fronterizos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cruces fronterizos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cruces fronterizo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8"/>
    <s v="cruces fronterizos"/>
    <n v="0"/>
    <n v="0"/>
    <n v="0"/>
    <n v="0"/>
    <n v="0"/>
    <n v="0"/>
    <n v="0"/>
    <s v="Federal"/>
  </r>
  <r>
    <x v="2"/>
    <s v="Nuevo León"/>
    <s v="19"/>
    <m/>
    <m/>
    <s v="19033"/>
    <s v="Linares"/>
    <x v="8"/>
    <s v="cruces fronterizos"/>
    <n v="0"/>
    <n v="0"/>
    <n v="0"/>
    <n v="0"/>
    <n v="0"/>
    <n v="0"/>
    <n v="0"/>
    <s v="Federal"/>
  </r>
  <r>
    <x v="2"/>
    <s v="Nuevo León"/>
    <s v="19"/>
    <m/>
    <m/>
    <s v="19034"/>
    <s v="Marín"/>
    <x v="8"/>
    <s v="cruces fronterizos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cruces fronterizos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cruces fronterizos"/>
    <n v="0"/>
    <n v="0"/>
    <n v="0"/>
    <n v="0"/>
    <n v="0"/>
    <n v="0"/>
    <n v="0"/>
    <s v="Federal"/>
  </r>
  <r>
    <x v="2"/>
    <s v="Nuevo León"/>
    <s v="19"/>
    <m/>
    <m/>
    <s v="19037"/>
    <s v="Mina"/>
    <x v="8"/>
    <s v="cruces fronterizos"/>
    <n v="0"/>
    <n v="0"/>
    <n v="0"/>
    <n v="0"/>
    <n v="0"/>
    <n v="0"/>
    <n v="0"/>
    <s v="Federal"/>
  </r>
  <r>
    <x v="2"/>
    <s v="Nuevo León"/>
    <s v="19"/>
    <m/>
    <m/>
    <s v="19038"/>
    <s v="Montemorelos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s v="cruces fronterizos"/>
    <n v="0"/>
    <n v="0"/>
    <n v="0"/>
    <n v="0"/>
    <n v="0"/>
    <n v="0"/>
    <n v="0"/>
    <s v="Federal"/>
  </r>
  <r>
    <x v="2"/>
    <s v="Nuevo León"/>
    <s v="19"/>
    <m/>
    <m/>
    <s v="19040"/>
    <s v="Parás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s v="cruces fronterizos"/>
    <n v="0"/>
    <n v="0"/>
    <n v="0"/>
    <n v="0"/>
    <n v="0"/>
    <n v="0"/>
    <n v="0"/>
    <s v="Federal"/>
  </r>
  <r>
    <x v="2"/>
    <s v="Nuevo León"/>
    <s v="19"/>
    <m/>
    <m/>
    <s v="19042"/>
    <s v="Los Ramones"/>
    <x v="8"/>
    <s v="cruces fronterizos"/>
    <n v="0"/>
    <n v="0"/>
    <n v="0"/>
    <n v="0"/>
    <n v="0"/>
    <n v="0"/>
    <n v="0"/>
    <s v="Federal"/>
  </r>
  <r>
    <x v="2"/>
    <s v="Nuevo León"/>
    <s v="19"/>
    <m/>
    <m/>
    <s v="19043"/>
    <s v="Rayones"/>
    <x v="8"/>
    <s v="cruces fronterizos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s v="cruces fronterizos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cruces fronterizos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cruces fronterizos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2"/>
    <s v="Agualegu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4"/>
    <s v="Allende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7"/>
    <s v="Aramberri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1"/>
    <s v="Cerralv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6"/>
    <s v="Doctor González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0"/>
    <s v="General Brav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2"/>
    <s v="General Terán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7"/>
    <s v="Los Herrer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8"/>
    <s v="Higuera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3"/>
    <s v="Linar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4"/>
    <s v="Marín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7"/>
    <s v="Min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38"/>
    <s v="Montemorelos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0"/>
    <s v="Parás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2"/>
    <s v="Los Ramon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3"/>
    <s v="Rayones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Embarcaciones Marinas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Embarcaciones Marinas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02"/>
    <s v="Agualegua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04"/>
    <s v="Allende"/>
    <x v="8"/>
    <s v="Locomotoras de patio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s v="Locomotoras de patio"/>
    <n v="0"/>
    <n v="0"/>
    <n v="0"/>
    <n v="0"/>
    <n v="0"/>
    <n v="0"/>
    <n v="0"/>
    <s v="Federal"/>
  </r>
  <r>
    <x v="2"/>
    <s v="Nuevo León"/>
    <s v="19"/>
    <m/>
    <m/>
    <s v="19007"/>
    <s v="Aramberri"/>
    <x v="8"/>
    <s v="Locomotoras de patio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s v="Locomotoras de patio"/>
    <n v="0"/>
    <n v="0"/>
    <n v="0"/>
    <n v="0"/>
    <n v="0"/>
    <n v="0"/>
    <n v="0"/>
    <s v="Federal"/>
  </r>
  <r>
    <x v="2"/>
    <s v="Nuevo León"/>
    <s v="19"/>
    <m/>
    <m/>
    <s v="19011"/>
    <s v="Cerralvo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Locomotoras de patio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16"/>
    <s v="Doctor González"/>
    <x v="8"/>
    <s v="Locomotoras de patio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s v="Locomotoras de patio"/>
    <n v="2.9213869534745647"/>
    <n v="2.6328549086869533"/>
    <n v="0.7694187861002969"/>
    <n v="12.106323712546859"/>
    <n v="114.9800198478631"/>
    <n v="6.6723035357135112"/>
    <n v="0"/>
    <s v="Federal"/>
  </r>
  <r>
    <x v="2"/>
    <s v="Nuevo León"/>
    <s v="19"/>
    <m/>
    <m/>
    <s v="19020"/>
    <s v="General Bravo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22"/>
    <s v="General Terán"/>
    <x v="8"/>
    <s v="Locomotoras de patio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Locomotoras de patio"/>
    <n v="0"/>
    <n v="0"/>
    <n v="0"/>
    <n v="0"/>
    <n v="0"/>
    <n v="0"/>
    <n v="0"/>
    <s v="Federal"/>
  </r>
  <r>
    <x v="2"/>
    <s v="Nuevo León"/>
    <s v="19"/>
    <m/>
    <m/>
    <s v="19027"/>
    <s v="Los Herrera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28"/>
    <s v="Higuera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2"/>
    <s v="Lampazos de Naranj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3"/>
    <s v="Linare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4"/>
    <s v="Marín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7"/>
    <s v="Mina"/>
    <x v="8"/>
    <s v="Locomotoras de patio"/>
    <n v="0"/>
    <n v="0"/>
    <n v="0"/>
    <n v="0"/>
    <n v="0"/>
    <n v="0"/>
    <n v="0"/>
    <s v="Federal"/>
  </r>
  <r>
    <x v="2"/>
    <s v="Nuevo León"/>
    <s v="19"/>
    <m/>
    <m/>
    <s v="19038"/>
    <s v="Montemorelos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s v="Locomotoras de patio"/>
    <n v="0"/>
    <n v="0"/>
    <n v="0"/>
    <n v="0"/>
    <n v="0"/>
    <n v="0"/>
    <n v="0"/>
    <s v="Federal"/>
  </r>
  <r>
    <x v="2"/>
    <s v="Nuevo León"/>
    <s v="19"/>
    <m/>
    <m/>
    <s v="19040"/>
    <s v="Parás"/>
    <x v="8"/>
    <s v="Locomotoras de patio"/>
    <n v="11.268206820544748"/>
    <n v="10.155297504935389"/>
    <n v="2.9677581749582878"/>
    <n v="46.69582003410931"/>
    <n v="443.49436227032908"/>
    <n v="25.736027923466398"/>
    <n v="0"/>
    <s v="Federal"/>
  </r>
  <r>
    <x v="2"/>
    <s v="Nuevo León"/>
    <s v="19"/>
    <s v="19.01"/>
    <s v="Monterrey"/>
    <s v="19041"/>
    <s v="Pesquería"/>
    <x v="8"/>
    <s v="Locomotoras de patio"/>
    <n v="0"/>
    <n v="0"/>
    <n v="0"/>
    <n v="0"/>
    <n v="0"/>
    <n v="0"/>
    <n v="0"/>
    <s v="Federal"/>
  </r>
  <r>
    <x v="2"/>
    <s v="Nuevo León"/>
    <s v="19"/>
    <m/>
    <m/>
    <s v="19042"/>
    <s v="Los Ramone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43"/>
    <s v="Rayones"/>
    <x v="8"/>
    <s v="Locomotoras de patio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Locomotoras de patio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Locomotoras de patio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s v="Locomotoras de recorrido"/>
    <n v="0.37508116033758632"/>
    <n v="0.33693731352359452"/>
    <n v="0.13562256644974874"/>
    <n v="1.4897291283464589"/>
    <n v="15.11555885134465"/>
    <n v="0.55944308660521347"/>
    <n v="0"/>
    <s v="Federal"/>
  </r>
  <r>
    <x v="2"/>
    <s v="Nuevo León"/>
    <s v="19"/>
    <m/>
    <m/>
    <s v="19002"/>
    <s v="Agualeguas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Locomotoras de recorrido"/>
    <n v="1.2190137710971558"/>
    <n v="1.0950462689516822"/>
    <n v="0.44077334096168341"/>
    <n v="4.8416196671259915"/>
    <n v="49.125566266870116"/>
    <n v="1.8181900314669441"/>
    <n v="0"/>
    <s v="Federal"/>
  </r>
  <r>
    <x v="2"/>
    <s v="Nuevo León"/>
    <s v="19"/>
    <m/>
    <m/>
    <s v="19004"/>
    <s v="Allende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Locomotoras de recorrido"/>
    <n v="3.8806473896465654"/>
    <n v="3.4860052822248808"/>
    <n v="1.4031719374993232"/>
    <n v="15.412966750969129"/>
    <n v="156.38789734660426"/>
    <n v="5.7880842421847092"/>
    <n v="0"/>
    <s v="Federal"/>
  </r>
  <r>
    <x v="2"/>
    <s v="Nuevo León"/>
    <s v="19"/>
    <s v="19.01"/>
    <s v="Monterrey"/>
    <s v="19006"/>
    <s v="Apodaca"/>
    <x v="8"/>
    <s v="Locomotoras de recorrido"/>
    <n v="1.1468827787245428"/>
    <n v="1.0302506317356062"/>
    <n v="0.4146920781828855"/>
    <n v="4.5551332962901334"/>
    <n v="46.218728026226906"/>
    <n v="1.7106048225044028"/>
    <n v="0"/>
    <s v="Federal"/>
  </r>
  <r>
    <x v="2"/>
    <s v="Nuevo León"/>
    <s v="19"/>
    <m/>
    <m/>
    <s v="19007"/>
    <s v="Aramberri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Locomotoras de recorrido"/>
    <n v="1.4570460459267776"/>
    <n v="1.3088718717647325"/>
    <n v="0.52684150813171615"/>
    <n v="5.7870246908843201"/>
    <n v="58.718132460992678"/>
    <n v="2.1732212210433293"/>
    <n v="0"/>
    <s v="Federal"/>
  </r>
  <r>
    <x v="2"/>
    <s v="Nuevo León"/>
    <s v="19"/>
    <s v="19.01"/>
    <s v="Monterrey"/>
    <s v="19009"/>
    <s v="Cadereyta Jiménez"/>
    <x v="8"/>
    <s v="Locomotoras de recorrido"/>
    <n v="3.2098291605812674"/>
    <n v="2.8834058561153757"/>
    <n v="1.1606161936565034"/>
    <n v="12.748643502195655"/>
    <n v="129.35430170862247"/>
    <n v="4.7875417988330771"/>
    <n v="0"/>
    <s v="Federal"/>
  </r>
  <r>
    <x v="2"/>
    <s v="Nuevo León"/>
    <s v="19"/>
    <s v="19.01"/>
    <s v="Monterrey"/>
    <s v="19010"/>
    <s v="El Carmen"/>
    <x v="8"/>
    <s v="Locomotoras de recorrido"/>
    <n v="0.87278500770861411"/>
    <n v="0.78402721031451783"/>
    <n v="0.31558327962345367"/>
    <n v="3.4664850871138744"/>
    <n v="35.172742711782739"/>
    <n v="1.3017810284467466"/>
    <n v="0"/>
    <s v="Federal"/>
  </r>
  <r>
    <x v="2"/>
    <s v="Nuevo León"/>
    <s v="19"/>
    <m/>
    <m/>
    <s v="19011"/>
    <s v="Cerralvo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Locomotoras de recorrido"/>
    <n v="1.464259145164039"/>
    <n v="1.3153514354863403"/>
    <n v="0.52944963440959603"/>
    <n v="5.8156733279679065"/>
    <n v="59.008816285057009"/>
    <n v="2.1839797419395839"/>
    <n v="0"/>
    <s v="Federal"/>
  </r>
  <r>
    <x v="2"/>
    <s v="Nuevo León"/>
    <s v="19"/>
    <m/>
    <m/>
    <s v="19016"/>
    <s v="Doctor González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Locomotoras de recorrido"/>
    <n v="3.5776972216815928"/>
    <n v="3.2138636059173633"/>
    <n v="1.2936306338283727"/>
    <n v="14.209723993458532"/>
    <n v="144.17917673590284"/>
    <n v="5.3362263645420374"/>
    <n v="0"/>
    <s v="Federal"/>
  </r>
  <r>
    <x v="2"/>
    <s v="Nuevo León"/>
    <s v="19"/>
    <s v="19.01"/>
    <s v="Monterrey"/>
    <s v="19019"/>
    <s v="San Pedro Garza García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20"/>
    <s v="General Bravo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Locomotoras de recorrido"/>
    <n v="1.4570460459267776"/>
    <n v="1.3088718717647325"/>
    <n v="0.52684150813171615"/>
    <n v="5.7870246908843201"/>
    <n v="58.718132460992678"/>
    <n v="2.1732212210433293"/>
    <n v="0"/>
    <s v="Federal"/>
  </r>
  <r>
    <x v="2"/>
    <s v="Nuevo León"/>
    <s v="19"/>
    <m/>
    <m/>
    <s v="19022"/>
    <s v="General Terán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Locomotoras de recorrido"/>
    <n v="1.1468827787245428"/>
    <n v="1.0302506317356062"/>
    <n v="0.4146920781828855"/>
    <n v="4.5551332962901334"/>
    <n v="46.218728026226906"/>
    <n v="1.7106048225044028"/>
    <n v="0"/>
    <s v="Federal"/>
  </r>
  <r>
    <x v="2"/>
    <s v="Nuevo León"/>
    <s v="19"/>
    <m/>
    <m/>
    <s v="19027"/>
    <s v="Los Herreras"/>
    <x v="8"/>
    <s v="Locomotoras de recorrido"/>
    <n v="1.622947328383787"/>
    <n v="1.457901837361707"/>
    <n v="0.58682841252295126"/>
    <n v="6.4459433438067917"/>
    <n v="65.403860414472049"/>
    <n v="2.4206672016571735"/>
    <n v="0"/>
    <s v="Federal"/>
  </r>
  <r>
    <x v="2"/>
    <s v="Nuevo León"/>
    <s v="19"/>
    <m/>
    <m/>
    <s v="19028"/>
    <s v="Higueras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Locomotoras de recorrido"/>
    <n v="0.64917893135351468"/>
    <n v="0.58316073494468268"/>
    <n v="0.23473136500918049"/>
    <n v="2.5783773375227166"/>
    <n v="26.161544165788815"/>
    <n v="0.96826688066286948"/>
    <n v="0"/>
    <s v="Federal"/>
  </r>
  <r>
    <x v="2"/>
    <s v="Nuevo León"/>
    <s v="19"/>
    <m/>
    <m/>
    <s v="19032"/>
    <s v="Lampazos de Naranjo"/>
    <x v="8"/>
    <s v="Locomotoras de recorrido"/>
    <n v="5.4386768248950021"/>
    <n v="4.885591046092121"/>
    <n v="1.9665272135213567"/>
    <n v="21.601072361023654"/>
    <n v="219.17560334449743"/>
    <n v="8.1119247557755951"/>
    <n v="0"/>
    <s v="Federal"/>
  </r>
  <r>
    <x v="2"/>
    <s v="Nuevo León"/>
    <s v="19"/>
    <m/>
    <m/>
    <s v="19033"/>
    <s v="Linares"/>
    <x v="8"/>
    <s v="Locomotoras de recorrido"/>
    <n v="2.3154048551608697"/>
    <n v="2.0799399546360355"/>
    <n v="0.83720853519941052"/>
    <n v="9.1962125038310258"/>
    <n v="93.30950752464679"/>
    <n v="3.4534852076975686"/>
    <n v="0"/>
    <s v="Federal"/>
  </r>
  <r>
    <x v="2"/>
    <s v="Nuevo León"/>
    <s v="19"/>
    <m/>
    <m/>
    <s v="19034"/>
    <s v="Marín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37"/>
    <s v="Mina"/>
    <x v="8"/>
    <s v="Locomotoras de recorrido"/>
    <n v="1.5796687329602193"/>
    <n v="1.4190244550320614"/>
    <n v="0.57117965485567246"/>
    <n v="6.2740515213052781"/>
    <n v="63.65975747008612"/>
    <n v="2.3561160762796489"/>
    <n v="0"/>
    <s v="Federal"/>
  </r>
  <r>
    <x v="2"/>
    <s v="Nuevo León"/>
    <s v="19"/>
    <m/>
    <m/>
    <s v="19038"/>
    <s v="Montemorelos"/>
    <x v="8"/>
    <s v="Locomotoras de recorrido"/>
    <n v="4.0393355728663138"/>
    <n v="3.6285556841002484"/>
    <n v="1.4605507156126785"/>
    <n v="16.043236766808015"/>
    <n v="162.78294147601929"/>
    <n v="6.0247717019022993"/>
    <n v="0"/>
    <s v="Federal"/>
  </r>
  <r>
    <x v="2"/>
    <s v="Nuevo León"/>
    <s v="19"/>
    <s v="19.01"/>
    <s v="Monterrey"/>
    <s v="19039"/>
    <s v="Monterrey"/>
    <x v="8"/>
    <s v="Locomotoras de recorrido"/>
    <n v="2.0485201833822022"/>
    <n v="1.8401960969365549"/>
    <n v="0.74070786291785851"/>
    <n v="8.1362129317383527"/>
    <n v="82.554206034266954"/>
    <n v="3.0554199345361663"/>
    <n v="0"/>
    <s v="Federal"/>
  </r>
  <r>
    <x v="2"/>
    <s v="Nuevo León"/>
    <s v="19"/>
    <m/>
    <m/>
    <s v="19040"/>
    <s v="Parás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s v="Locomotoras de recorrido"/>
    <n v="2.1350773742293376"/>
    <n v="1.9179508615958456"/>
    <n v="0.77200537825241577"/>
    <n v="8.4799965767413799"/>
    <n v="86.042411923038784"/>
    <n v="3.1845221852912151"/>
    <n v="0"/>
    <s v="Federal"/>
  </r>
  <r>
    <x v="2"/>
    <s v="Nuevo León"/>
    <s v="19"/>
    <m/>
    <m/>
    <s v="19042"/>
    <s v="Los Ramones"/>
    <x v="8"/>
    <s v="Locomotoras de recorrido"/>
    <n v="2.611141923888582"/>
    <n v="2.3456020672219466"/>
    <n v="0.94414171259248147"/>
    <n v="10.370806624258039"/>
    <n v="105.22754431128392"/>
    <n v="3.8945845644439863"/>
    <n v="0"/>
    <s v="Federal"/>
  </r>
  <r>
    <x v="2"/>
    <s v="Nuevo León"/>
    <s v="19"/>
    <m/>
    <m/>
    <s v="19043"/>
    <s v="Rayones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Locomotoras de recorrido"/>
    <n v="3.4550745346481513"/>
    <n v="3.103711022650034"/>
    <n v="1.2492924871044162"/>
    <n v="13.722697163037573"/>
    <n v="139.23755172680939"/>
    <n v="5.1533315093057173"/>
    <n v="0"/>
    <s v="Federal"/>
  </r>
  <r>
    <x v="2"/>
    <s v="Nuevo León"/>
    <s v="19"/>
    <s v="19.01"/>
    <s v="Monterrey"/>
    <s v="19046"/>
    <s v="San Nicolás de los Garza"/>
    <x v="8"/>
    <s v="Locomotoras de recorrido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Locomotoras de recorrido"/>
    <n v="0.49770384737102802"/>
    <n v="0.44708989679092348"/>
    <n v="0.17996071317370504"/>
    <n v="1.9767559587674164"/>
    <n v="20.057183860438094"/>
    <n v="0.74233794184153334"/>
    <n v="0"/>
    <s v="Federal"/>
  </r>
  <r>
    <x v="2"/>
    <s v="Nuevo León"/>
    <s v="19"/>
    <s v="19.01"/>
    <s v="Monterrey"/>
    <s v="19048"/>
    <s v="Santa Catarina"/>
    <x v="8"/>
    <s v="Locomotoras de recorrido"/>
    <n v="0.96655529779301086"/>
    <n v="0.86826153869541656"/>
    <n v="0.34948892123589093"/>
    <n v="3.8389173692004896"/>
    <n v="38.9516324246189"/>
    <n v="1.4416418000980502"/>
    <n v="0"/>
    <s v="Federal"/>
  </r>
  <r>
    <x v="2"/>
    <s v="Nuevo León"/>
    <s v="19"/>
    <s v="19.01"/>
    <s v="Monterrey"/>
    <s v="19049"/>
    <s v="Santiago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Locomotoras de recorrido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Locomotoras de recorrido"/>
    <n v="1.3993412520286874"/>
    <n v="1.2570353619918719"/>
    <n v="0.50597649790867794"/>
    <n v="5.5578355942156339"/>
    <n v="56.392661868478122"/>
    <n v="2.0871530538732963"/>
    <n v="0"/>
    <s v="Federal"/>
  </r>
  <r>
    <x v="2"/>
    <s v="Nuevo León"/>
    <s v="19"/>
    <s v="19.01"/>
    <s v="Monterrey"/>
    <s v="19001"/>
    <s v="Abasol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02"/>
    <s v="Agualegua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03"/>
    <s v="Los Aldama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04"/>
    <s v="Allende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05"/>
    <s v="Anáhuac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07"/>
    <s v="Aramberri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08"/>
    <s v="Bustamante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11"/>
    <s v="Cerralvo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13"/>
    <s v="China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14"/>
    <s v="Doctor Arroy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15"/>
    <s v="Doctor Cos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16"/>
    <s v="Doctor González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17"/>
    <s v="Galean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0"/>
    <s v="General Bravo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2"/>
    <s v="General Terán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3"/>
    <s v="General Treviñ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4"/>
    <s v="General Zaragoz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7"/>
    <s v="Los Herrera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8"/>
    <s v="Higuera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29"/>
    <s v="Hualahuise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0"/>
    <s v="Iturbide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3"/>
    <s v="Linare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4"/>
    <s v="Marín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5"/>
    <s v="Melchor Ocamp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6"/>
    <s v="Mier y Noriega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7"/>
    <s v="Mina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38"/>
    <s v="Montemorelos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s v="terminales de autobuses"/>
    <n v="0.13333417316242319"/>
    <n v="0.12269698081646042"/>
    <n v="8.2130737591041142E-3"/>
    <n v="4.9854504971785225"/>
    <n v="3.3243721140848979"/>
    <n v="0.86110902299957071"/>
    <n v="5.3301861277886921E-2"/>
    <s v="Federal"/>
  </r>
  <r>
    <x v="2"/>
    <s v="Nuevo León"/>
    <s v="19"/>
    <m/>
    <m/>
    <s v="19040"/>
    <s v="Parás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42"/>
    <s v="Los Ramone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43"/>
    <s v="Rayones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44"/>
    <s v="Sabinas Hidalgo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50"/>
    <s v="Vallecillo"/>
    <x v="8"/>
    <s v="terminales de autobuses"/>
    <n v="0"/>
    <n v="0"/>
    <n v="0"/>
    <n v="0"/>
    <n v="0"/>
    <n v="0"/>
    <n v="0"/>
    <s v="Federal"/>
  </r>
  <r>
    <x v="2"/>
    <s v="Nuevo León"/>
    <s v="19"/>
    <m/>
    <m/>
    <s v="19051"/>
    <s v="Villaldama"/>
    <x v="8"/>
    <s v="terminales de autobuses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s v="Maquinaria Agrícola y de Construcción"/>
    <n v="3.2450599270620825E-4"/>
    <n v="3.1477081292502197E-4"/>
    <n v="1.8567384997425309E-4"/>
    <n v="1.7087466864591793E-3"/>
    <n v="5.3084533876201472E-3"/>
    <n v="4.0894679937485687E-4"/>
    <n v="1.6888148480541782E-6"/>
    <s v="Estatal"/>
  </r>
  <r>
    <x v="2"/>
    <s v="Nuevo León"/>
    <s v="19"/>
    <m/>
    <m/>
    <s v="19002"/>
    <s v="Agualeguas"/>
    <x v="8"/>
    <s v="Maquinaria Agrícola y de Construcción"/>
    <n v="1.2031870944564436"/>
    <n v="1.1670914816227502"/>
    <n v="0.68843221724203696"/>
    <n v="6.3356055267190223"/>
    <n v="19.682418047948602"/>
    <n v="1.5162724953821256"/>
    <n v="6.2617032528728793E-3"/>
    <s v="Estatal"/>
  </r>
  <r>
    <x v="2"/>
    <s v="Nuevo León"/>
    <s v="19"/>
    <m/>
    <m/>
    <s v="19003"/>
    <s v="Los Aldamas"/>
    <x v="8"/>
    <s v="Maquinaria Agrícola y de Construcción"/>
    <n v="0.25960479416496657"/>
    <n v="0.2518166503400176"/>
    <n v="0.14853907997940247"/>
    <n v="1.3669973491673435"/>
    <n v="4.2467627100961174"/>
    <n v="0.32715743949988552"/>
    <n v="1.3510518784433426E-3"/>
    <s v="Estatal"/>
  </r>
  <r>
    <x v="2"/>
    <s v="Nuevo León"/>
    <s v="19"/>
    <m/>
    <m/>
    <s v="19004"/>
    <s v="Allende"/>
    <x v="8"/>
    <s v="Maquinaria Agrícola y de Construcción"/>
    <n v="0.12801761412259915"/>
    <n v="0.12417708569892118"/>
    <n v="7.3248333814842845E-2"/>
    <n v="0.67410056780814631"/>
    <n v="2.094184861416148"/>
    <n v="0.16132951235338105"/>
    <n v="6.6623745755737336E-4"/>
    <s v="Estatal"/>
  </r>
  <r>
    <x v="2"/>
    <s v="Nuevo León"/>
    <s v="19"/>
    <m/>
    <m/>
    <s v="19005"/>
    <s v="Anáhuac"/>
    <x v="8"/>
    <s v="Maquinaria Agrícola y de Construcción"/>
    <n v="1.6798377218429579"/>
    <n v="1.629442590187669"/>
    <n v="0.96115925177671868"/>
    <n v="8.8454980971245885"/>
    <n v="27.479739806354459"/>
    <n v="2.1169540016438844"/>
    <n v="8.7423189424372608E-3"/>
    <s v="Estatal"/>
  </r>
  <r>
    <x v="2"/>
    <s v="Nuevo León"/>
    <s v="19"/>
    <s v="19.01"/>
    <s v="Monterrey"/>
    <s v="19006"/>
    <s v="Apodaca"/>
    <x v="8"/>
    <s v="Maquinaria Agrícola y de Construcción"/>
    <n v="0.11279017041486032"/>
    <n v="0.1094064653024145"/>
    <n v="6.4535588404801017E-2"/>
    <n v="0.59391762954604921"/>
    <n v="1.8450856862020726"/>
    <n v="0.14213968379271588"/>
    <n v="5.8698982081243094E-4"/>
    <s v="Estatal"/>
  </r>
  <r>
    <x v="2"/>
    <s v="Nuevo León"/>
    <s v="19"/>
    <m/>
    <m/>
    <s v="19007"/>
    <s v="Aramberri"/>
    <x v="8"/>
    <s v="Maquinaria Agrícola y de Construcción"/>
    <n v="67.009466069084411"/>
    <n v="64.999182087011874"/>
    <n v="28.158972435345909"/>
    <n v="393.65489093382354"/>
    <n v="802.25706627469867"/>
    <n v="80.74640567363268"/>
    <n v="0.24412526649963706"/>
    <s v="Estatal"/>
  </r>
  <r>
    <x v="2"/>
    <s v="Nuevo León"/>
    <s v="19"/>
    <m/>
    <m/>
    <s v="19008"/>
    <s v="Bustamante"/>
    <x v="8"/>
    <s v="Maquinaria Agrícola y de Construcción"/>
    <n v="8.132931442199344E-2"/>
    <n v="7.8889434989333637E-2"/>
    <n v="4.6534508649797184E-2"/>
    <n v="0.42825463829383181"/>
    <n v="1.3304311302722993"/>
    <n v="0.1024922915933235"/>
    <n v="4.232592212935784E-4"/>
    <s v="Estatal"/>
  </r>
  <r>
    <x v="2"/>
    <s v="Nuevo León"/>
    <s v="19"/>
    <s v="19.01"/>
    <s v="Monterrey"/>
    <s v="19009"/>
    <s v="Cadereyta Jiménez"/>
    <x v="8"/>
    <s v="Maquinaria Agrícola y de Construcción"/>
    <n v="1.8703633028105902"/>
    <n v="1.8142524037262724"/>
    <n v="1.070173010942852"/>
    <n v="9.8487459954119352"/>
    <n v="30.596465501560935"/>
    <n v="2.357056891226847"/>
    <n v="9.7338643601010688E-3"/>
    <s v="Estatal"/>
  </r>
  <r>
    <x v="2"/>
    <s v="Nuevo León"/>
    <s v="19"/>
    <s v="19.01"/>
    <s v="Monterrey"/>
    <s v="19010"/>
    <s v="El Carmen"/>
    <x v="8"/>
    <s v="Maquinaria Agrícola y de Construcción"/>
    <n v="3.5208900208623599E-2"/>
    <n v="3.415263320236489E-2"/>
    <n v="2.0145612722206462E-2"/>
    <n v="0.18539901548082097"/>
    <n v="0.57596719255678597"/>
    <n v="4.4370727732171975E-2"/>
    <n v="1.8323641101387835E-4"/>
    <s v="Estatal"/>
  </r>
  <r>
    <x v="2"/>
    <s v="Nuevo León"/>
    <s v="19"/>
    <m/>
    <m/>
    <s v="19011"/>
    <s v="Cerralvo"/>
    <x v="8"/>
    <s v="Maquinaria Agrícola y de Construcción"/>
    <n v="3.3282441282294113"/>
    <n v="3.2283968043825286"/>
    <n v="1.4546701984780261"/>
    <n v="19.327488615252815"/>
    <n v="41.465058563559779"/>
    <n v="4.0309054160657585"/>
    <n v="1.2701262171855389E-2"/>
    <s v="Estatal"/>
  </r>
  <r>
    <x v="2"/>
    <s v="Nuevo León"/>
    <s v="19"/>
    <s v="19.01"/>
    <s v="Monterrey"/>
    <s v="19012"/>
    <s v="Ciénega de Flores"/>
    <x v="8"/>
    <s v="Maquinaria Agrícola y de Construcción"/>
    <n v="1.2006721730129705E-2"/>
    <n v="1.1646520078225813E-2"/>
    <n v="6.869932449047364E-3"/>
    <n v="6.3223627398989637E-2"/>
    <n v="0.19641277534194546"/>
    <n v="1.5131031576869704E-2"/>
    <n v="6.2486149378004592E-5"/>
    <s v="Estatal"/>
  </r>
  <r>
    <x v="2"/>
    <s v="Nuevo León"/>
    <s v="19"/>
    <m/>
    <m/>
    <s v="19013"/>
    <s v="China"/>
    <x v="8"/>
    <s v="Maquinaria Agrícola y de Construcción"/>
    <n v="2.9912962407658279"/>
    <n v="2.9015573535428527"/>
    <n v="1.7115415490626651"/>
    <n v="15.751226955780716"/>
    <n v="48.933323327082519"/>
    <n v="3.7696715966374308"/>
    <n v="1.5567495269363416E-2"/>
    <s v="Estatal"/>
  </r>
  <r>
    <x v="2"/>
    <s v="Nuevo León"/>
    <s v="19"/>
    <m/>
    <m/>
    <s v="19014"/>
    <s v="Doctor Arroyo"/>
    <x v="8"/>
    <s v="Maquinaria Agrícola y de Construcción"/>
    <n v="2.5428289588458477"/>
    <n v="2.4665440900804723"/>
    <n v="1.4549402883982472"/>
    <n v="13.389739035094129"/>
    <n v="41.597040745391467"/>
    <n v="3.2045071199013782"/>
    <n v="1.3233553149352539E-2"/>
    <s v="Estatal"/>
  </r>
  <r>
    <x v="2"/>
    <s v="Nuevo León"/>
    <s v="19"/>
    <m/>
    <m/>
    <s v="19015"/>
    <s v="Doctor Coss"/>
    <x v="8"/>
    <s v="Maquinaria Agrícola y de Construcción"/>
    <n v="0.53770642991418705"/>
    <n v="0.52157523701676145"/>
    <n v="0.30766156940733741"/>
    <n v="2.8313932594628604"/>
    <n v="8.7961072632865847"/>
    <n v="0.67762484656413791"/>
    <n v="2.7983662032257735E-3"/>
    <s v="Estatal"/>
  </r>
  <r>
    <x v="2"/>
    <s v="Nuevo León"/>
    <s v="19"/>
    <m/>
    <m/>
    <s v="19016"/>
    <s v="Doctor González"/>
    <x v="8"/>
    <s v="Maquinaria Agrícola y de Construcción"/>
    <n v="0.17190704963611383"/>
    <n v="0.16674983814703043"/>
    <n v="9.8360722023860592E-2"/>
    <n v="0.90520855715175041"/>
    <n v="2.8121531820917731"/>
    <n v="0.21663956696883047"/>
    <n v="8.9464966575670104E-4"/>
    <s v="Estatal"/>
  </r>
  <r>
    <x v="2"/>
    <s v="Nuevo León"/>
    <s v="19"/>
    <m/>
    <m/>
    <s v="19017"/>
    <s v="Galeana"/>
    <x v="8"/>
    <s v="Maquinaria Agrícola y de Construcción"/>
    <n v="1.653455384635943"/>
    <n v="1.6038517230968647"/>
    <n v="0.94606396777381185"/>
    <n v="8.7065769915154583"/>
    <n v="27.04816254594094"/>
    <n v="2.0837066268547084"/>
    <n v="8.605018295290456E-3"/>
    <s v="Estatal"/>
  </r>
  <r>
    <x v="2"/>
    <s v="Nuevo León"/>
    <s v="19"/>
    <s v="19.01"/>
    <s v="Monterrey"/>
    <s v="19018"/>
    <s v="García"/>
    <x v="8"/>
    <s v="Maquinaria Agrícola y de Construcción"/>
    <n v="7.1553571391718918E-2"/>
    <n v="6.9406964249967354E-2"/>
    <n v="4.0941083919322808E-2"/>
    <n v="0.37677864436424907"/>
    <n v="1.1705139719702424"/>
    <n v="9.017276926215595E-2"/>
    <n v="3.723836739959463E-4"/>
    <s v="Estatal"/>
  </r>
  <r>
    <x v="2"/>
    <s v="Nuevo León"/>
    <s v="19"/>
    <s v="19.01"/>
    <s v="Monterrey"/>
    <s v="19019"/>
    <s v="San Pedro Garza García"/>
    <x v="8"/>
    <s v="Maquinaria Agrícola y de Construcción"/>
    <n v="0"/>
    <n v="0"/>
    <n v="0"/>
    <n v="0"/>
    <n v="0"/>
    <n v="0"/>
    <n v="0"/>
    <s v="Estatal"/>
  </r>
  <r>
    <x v="2"/>
    <s v="Nuevo León"/>
    <s v="19"/>
    <m/>
    <m/>
    <s v="19020"/>
    <s v="General Bravo"/>
    <x v="8"/>
    <s v="Maquinaria Agrícola y de Construcción"/>
    <n v="35.62067376552271"/>
    <n v="34.552053552557027"/>
    <n v="15.177007560612857"/>
    <n v="208.42282513226078"/>
    <n v="432.47562111155827"/>
    <n v="42.998619563355149"/>
    <n v="0.13191190638353842"/>
    <s v="Estatal"/>
  </r>
  <r>
    <x v="2"/>
    <s v="Nuevo León"/>
    <s v="19"/>
    <s v="19.01"/>
    <s v="Monterrey"/>
    <s v="19021"/>
    <s v="General Escobedo"/>
    <x v="8"/>
    <s v="Maquinaria Agrícola y de Construcción"/>
    <n v="25.887500235808471"/>
    <n v="25.110875228734212"/>
    <n v="10.846886649809031"/>
    <n v="152.2059903362678"/>
    <n v="309.01894839206102"/>
    <n v="31.182934338526792"/>
    <n v="9.3986701169729514E-2"/>
    <s v="Estatal"/>
  </r>
  <r>
    <x v="2"/>
    <s v="Nuevo León"/>
    <s v="19"/>
    <m/>
    <m/>
    <s v="19022"/>
    <s v="General Terán"/>
    <x v="8"/>
    <s v="Maquinaria Agrícola y de Construcción"/>
    <n v="2.127582977929166"/>
    <n v="2.063755488591291"/>
    <n v="1.2173473881249437"/>
    <n v="11.203184056433802"/>
    <n v="34.804211079258046"/>
    <n v="2.6812085717513274"/>
    <n v="1.1072503449411214E-2"/>
    <s v="Estatal"/>
  </r>
  <r>
    <x v="2"/>
    <s v="Nuevo León"/>
    <s v="19"/>
    <m/>
    <m/>
    <s v="19023"/>
    <s v="General Treviño"/>
    <x v="8"/>
    <s v="Maquinaria Agrícola y de Construcción"/>
    <n v="56.762689306455293"/>
    <n v="55.059808627261624"/>
    <n v="23.820597538224138"/>
    <n v="333.58899367315928"/>
    <n v="678.64333766716163"/>
    <n v="68.387253901569949"/>
    <n v="0.20646152499057643"/>
    <s v="Estatal"/>
  </r>
  <r>
    <x v="2"/>
    <s v="Nuevo León"/>
    <s v="19"/>
    <m/>
    <m/>
    <s v="19024"/>
    <s v="General Zaragoza"/>
    <x v="8"/>
    <s v="Maquinaria Agrícola y de Construcción"/>
    <n v="0.2335631882502934"/>
    <n v="0.22655629260278459"/>
    <n v="0.13363875351896867"/>
    <n v="1.2298704275789945"/>
    <n v="3.8207593257396013"/>
    <n v="0.29433945885005325"/>
    <n v="1.2155244868869949E-3"/>
    <s v="Estatal"/>
  </r>
  <r>
    <x v="2"/>
    <s v="Nuevo León"/>
    <s v="19"/>
    <s v="19.01"/>
    <s v="Monterrey"/>
    <s v="19025"/>
    <s v="General Zuazua"/>
    <x v="8"/>
    <s v="Maquinaria Agrícola y de Construcción"/>
    <n v="0.15193776210995552"/>
    <n v="0.14737962924665685"/>
    <n v="8.6934817481069973E-2"/>
    <n v="0.80005655793376851"/>
    <n v="2.4854842317510979"/>
    <n v="0.19147400330230016"/>
    <n v="7.907242220445669E-4"/>
    <s v="Estatal"/>
  </r>
  <r>
    <x v="2"/>
    <s v="Nuevo León"/>
    <s v="19"/>
    <s v="19.01"/>
    <s v="Monterrey"/>
    <s v="19026"/>
    <s v="Guadalupe"/>
    <x v="8"/>
    <s v="Maquinaria Agrícola y de Construcción"/>
    <n v="6.4901198541241645E-3"/>
    <n v="6.2954162585004397E-3"/>
    <n v="3.7134769994850618E-3"/>
    <n v="3.4174933729183586E-2"/>
    <n v="0.10616906775240295"/>
    <n v="8.1789359874971379E-3"/>
    <n v="3.3776296961083568E-5"/>
    <s v="Estatal"/>
  </r>
  <r>
    <x v="2"/>
    <s v="Nuevo León"/>
    <s v="19"/>
    <m/>
    <m/>
    <s v="19027"/>
    <s v="Los Herreras"/>
    <x v="8"/>
    <s v="Maquinaria Agrícola y de Construcción"/>
    <n v="7.4068492835192026E-2"/>
    <n v="7.1846438050136269E-2"/>
    <n v="4.2380056256623271E-2"/>
    <n v="0.39002143118430771"/>
    <n v="1.2116544857242986"/>
    <n v="9.3342106957311086E-2"/>
    <n v="3.8547198906836619E-4"/>
    <s v="Estatal"/>
  </r>
  <r>
    <x v="2"/>
    <s v="Nuevo León"/>
    <s v="19"/>
    <m/>
    <m/>
    <s v="19028"/>
    <s v="Higueras"/>
    <x v="8"/>
    <s v="Maquinaria Agrícola y de Construcción"/>
    <n v="14.741121384252539"/>
    <n v="14.298887742724961"/>
    <n v="6.1810815789519458"/>
    <n v="86.652483735485347"/>
    <n v="176.09568221030665"/>
    <n v="17.75814982116551"/>
    <n v="5.3565478107674522E-2"/>
    <s v="Estatal"/>
  </r>
  <r>
    <x v="2"/>
    <s v="Nuevo León"/>
    <s v="19"/>
    <m/>
    <m/>
    <s v="19029"/>
    <s v="Hualahuises"/>
    <x v="8"/>
    <s v="Maquinaria Agrícola y de Construcción"/>
    <n v="0.3768123024055402"/>
    <n v="0.365507933333374"/>
    <n v="0.21560215366697802"/>
    <n v="1.9841752929828185"/>
    <n v="6.16410971803717"/>
    <n v="0.47486391159909164"/>
    <n v="1.9610306913749112E-3"/>
    <s v="Estatal"/>
  </r>
  <r>
    <x v="2"/>
    <s v="Nuevo León"/>
    <s v="19"/>
    <m/>
    <m/>
    <s v="19030"/>
    <s v="Iturbide"/>
    <x v="8"/>
    <s v="Maquinaria Agrícola y de Construcción"/>
    <n v="3.3586370245092555E-2"/>
    <n v="3.257877913773978E-2"/>
    <n v="1.9217243472335197E-2"/>
    <n v="0.17685528204852508"/>
    <n v="0.54942492561868528"/>
    <n v="4.232599373529769E-2"/>
    <n v="1.7479233677360746E-4"/>
    <s v="Estatal"/>
  </r>
  <r>
    <x v="2"/>
    <s v="Nuevo León"/>
    <s v="19"/>
    <s v="19.01"/>
    <s v="Monterrey"/>
    <s v="19031"/>
    <s v="Juárez"/>
    <x v="8"/>
    <s v="Maquinaria Agrícola y de Construcción"/>
    <n v="2.1660775013139399E-2"/>
    <n v="2.1010951762745218E-2"/>
    <n v="1.2393729485781393E-2"/>
    <n v="0.11405884132115023"/>
    <n v="0.35433926362364482"/>
    <n v="2.7297198858271698E-2"/>
    <n v="1.1272839110761639E-4"/>
    <s v="Estatal"/>
  </r>
  <r>
    <x v="2"/>
    <s v="Nuevo León"/>
    <s v="19"/>
    <m/>
    <m/>
    <s v="19032"/>
    <s v="Lampazos de Naranjo"/>
    <x v="8"/>
    <s v="Maquinaria Agrícola y de Construcción"/>
    <n v="0.19689401107449186"/>
    <n v="0.19098719074225709"/>
    <n v="0.11265760847187807"/>
    <n v="1.0367820520091071"/>
    <n v="3.2209040929385244"/>
    <n v="0.24812847052069442"/>
    <n v="1.0246884090568727E-3"/>
    <s v="Estatal"/>
  </r>
  <r>
    <x v="2"/>
    <s v="Nuevo León"/>
    <s v="19"/>
    <m/>
    <m/>
    <s v="19033"/>
    <s v="Linares"/>
    <x v="8"/>
    <s v="Maquinaria Agrícola y de Construcción"/>
    <n v="2.5385292544424907"/>
    <n v="2.4623733768092158"/>
    <n v="1.4524801098860884"/>
    <n v="13.367098141498547"/>
    <n v="41.526703738005509"/>
    <n v="3.1990885748096618"/>
    <n v="1.3211176352615824E-2"/>
    <s v="Estatal"/>
  </r>
  <r>
    <x v="2"/>
    <s v="Nuevo León"/>
    <s v="19"/>
    <m/>
    <m/>
    <s v="19034"/>
    <s v="Marín"/>
    <x v="8"/>
    <s v="Maquinaria Agrícola y de Construcción"/>
    <n v="0.16111722537863241"/>
    <n v="0.15628370861727342"/>
    <n v="9.218706651221667E-2"/>
    <n v="0.84839272982698266"/>
    <n v="2.6356471069534035"/>
    <n v="0.20304208588961647"/>
    <n v="8.3849657205889959E-4"/>
    <s v="Estatal"/>
  </r>
  <r>
    <x v="2"/>
    <s v="Nuevo León"/>
    <s v="19"/>
    <m/>
    <m/>
    <s v="19035"/>
    <s v="Melchor Ocampo"/>
    <x v="8"/>
    <s v="Maquinaria Agrícola y de Construcción"/>
    <n v="3.6588050677624981E-2"/>
    <n v="3.5490409157296225E-2"/>
    <n v="2.0934726584597035E-2"/>
    <n v="0.19266118889827247"/>
    <n v="0.59852811945417161"/>
    <n v="4.610875162951511E-2"/>
    <n v="1.9041387411810858E-4"/>
    <s v="Estatal"/>
  </r>
  <r>
    <x v="2"/>
    <s v="Nuevo León"/>
    <s v="19"/>
    <m/>
    <m/>
    <s v="19036"/>
    <s v="Mier y Noriega"/>
    <x v="8"/>
    <s v="Maquinaria Agrícola y de Construcción"/>
    <n v="0.27923740672369218"/>
    <n v="0.27086028452198141"/>
    <n v="0.15977234790284478"/>
    <n v="1.4703765236981239"/>
    <n v="4.5679241400471371"/>
    <n v="0.35189872086206436"/>
    <n v="1.4532251767506205E-3"/>
    <s v="Estatal"/>
  </r>
  <r>
    <x v="2"/>
    <s v="Nuevo León"/>
    <s v="19"/>
    <m/>
    <m/>
    <s v="19037"/>
    <s v="Mina"/>
    <x v="8"/>
    <s v="Maquinaria Agrícola y de Construcción"/>
    <n v="6.1250506123296806E-2"/>
    <n v="5.9412990939597898E-2"/>
    <n v="3.5045939182640269E-2"/>
    <n v="0.3225259370691701"/>
    <n v="1.0019705769133027"/>
    <n v="7.7188708382004242E-2"/>
    <n v="3.1876380257022616E-4"/>
    <s v="Estatal"/>
  </r>
  <r>
    <x v="2"/>
    <s v="Nuevo León"/>
    <s v="19"/>
    <m/>
    <m/>
    <s v="19038"/>
    <s v="Montemorelos"/>
    <x v="8"/>
    <s v="Maquinaria Agrícola y de Construcción"/>
    <n v="158.88079008377593"/>
    <n v="154.11436638126264"/>
    <n v="66.739667045014954"/>
    <n v="933.4671347697556"/>
    <n v="1901.4222205549186"/>
    <n v="191.44196691435181"/>
    <n v="0.57856061592365926"/>
    <s v="Estatal"/>
  </r>
  <r>
    <x v="2"/>
    <s v="Nuevo León"/>
    <s v="19"/>
    <s v="19.01"/>
    <s v="Monterrey"/>
    <s v="19039"/>
    <s v="Monterrey"/>
    <x v="8"/>
    <s v="Maquinaria Agrícola y de Construcción"/>
    <n v="0"/>
    <n v="0"/>
    <n v="0"/>
    <n v="0"/>
    <n v="0"/>
    <n v="0"/>
    <n v="0"/>
    <s v="Estatal"/>
  </r>
  <r>
    <x v="2"/>
    <s v="Nuevo León"/>
    <s v="19"/>
    <m/>
    <m/>
    <s v="19040"/>
    <s v="Parás"/>
    <x v="8"/>
    <s v="Maquinaria Agrícola y de Construcción"/>
    <n v="7.3743986842485829E-2"/>
    <n v="7.1531667237211244E-2"/>
    <n v="4.2194382406649016E-2"/>
    <n v="0.3883126844978485"/>
    <n v="1.2063460323366786"/>
    <n v="9.2933160157936234E-2"/>
    <n v="3.8378317422031201E-4"/>
    <s v="Estatal"/>
  </r>
  <r>
    <x v="2"/>
    <s v="Nuevo León"/>
    <s v="19"/>
    <s v="19.01"/>
    <s v="Monterrey"/>
    <s v="19041"/>
    <s v="Pesquería"/>
    <x v="8"/>
    <s v="Maquinaria Agrícola y de Construcción"/>
    <n v="0.70004055276546773"/>
    <n v="0.67903933618250367"/>
    <n v="0.40054491285695748"/>
    <n v="3.6861937893640651"/>
    <n v="11.451661070443564"/>
    <n v="0.88220048295141007"/>
    <n v="3.643195830964876E-3"/>
    <s v="Estatal"/>
  </r>
  <r>
    <x v="2"/>
    <s v="Nuevo León"/>
    <s v="19"/>
    <m/>
    <m/>
    <s v="19042"/>
    <s v="Los Ramones"/>
    <x v="8"/>
    <s v="Maquinaria Agrícola y de Construcción"/>
    <n v="0.9652430753046165"/>
    <n v="0.93628578304547794"/>
    <n v="0.55228686674841587"/>
    <n v="5.0826670188728293"/>
    <n v="15.789994601476129"/>
    <n v="1.2164122547405118"/>
    <n v="5.0233797655371533E-3"/>
    <s v="Estatal"/>
  </r>
  <r>
    <x v="2"/>
    <s v="Nuevo León"/>
    <s v="19"/>
    <m/>
    <m/>
    <s v="19043"/>
    <s v="Rayones"/>
    <x v="8"/>
    <s v="Maquinaria Agrícola y de Construcción"/>
    <n v="0.11349597094899634"/>
    <n v="0.11009109182052645"/>
    <n v="6.4939429028495019E-2"/>
    <n v="0.59763415358909799"/>
    <n v="1.8566315723201468"/>
    <n v="0.1430291430813562"/>
    <n v="5.9066299310694893E-4"/>
    <s v="Estatal"/>
  </r>
  <r>
    <x v="2"/>
    <s v="Nuevo León"/>
    <s v="19"/>
    <m/>
    <m/>
    <s v="19044"/>
    <s v="Sabinas Hidalgo"/>
    <x v="8"/>
    <s v="Maquinaria Agrícola y de Construcción"/>
    <n v="0.26782290843025131"/>
    <n v="0.25978822117734379"/>
    <n v="0.15324127023000042"/>
    <n v="1.4102713590019222"/>
    <n v="4.3811992921375982"/>
    <n v="0.33751401719405377"/>
    <n v="1.3938211144703147E-3"/>
    <s v="Estatal"/>
  </r>
  <r>
    <x v="2"/>
    <s v="Nuevo León"/>
    <s v="19"/>
    <s v="19.01"/>
    <s v="Monterrey"/>
    <s v="19045"/>
    <s v="Salinas Victoria"/>
    <x v="8"/>
    <s v="Maquinaria Agrícola y de Construcción"/>
    <n v="0.50760849909068617"/>
    <n v="0.4923802441179656"/>
    <n v="0.2904403198222254"/>
    <n v="2.672907004293771"/>
    <n v="8.3037482115848142"/>
    <n v="0.63969503092211988"/>
    <n v="2.6417286260687484E-3"/>
    <s v="Estatal"/>
  </r>
  <r>
    <x v="2"/>
    <s v="Nuevo León"/>
    <s v="19"/>
    <s v="19.01"/>
    <s v="Monterrey"/>
    <s v="19046"/>
    <s v="San Nicolás de los Garza"/>
    <x v="8"/>
    <s v="Maquinaria Agrícola y de Construcción"/>
    <n v="20.074546570607549"/>
    <n v="19.472310173489319"/>
    <n v="8.4080318404238295"/>
    <n v="118.04154334770422"/>
    <n v="239.53674945790533"/>
    <n v="24.179737533819925"/>
    <n v="7.2849193603217274E-2"/>
    <s v="Estatal"/>
  </r>
  <r>
    <x v="2"/>
    <s v="Nuevo León"/>
    <s v="19"/>
    <s v="19.01"/>
    <s v="Monterrey"/>
    <s v="19047"/>
    <s v="Hidalgo"/>
    <x v="8"/>
    <s v="Maquinaria Agrícola y de Construcción"/>
    <n v="1.08303875065697E-2"/>
    <n v="1.0505475881372609E-2"/>
    <n v="6.1968647428906967E-3"/>
    <n v="5.7029420660575113E-2"/>
    <n v="0.17716963181182241"/>
    <n v="1.3648599429135849E-2"/>
    <n v="5.6364195553808197E-5"/>
    <s v="Estatal"/>
  </r>
  <r>
    <x v="2"/>
    <s v="Nuevo León"/>
    <s v="19"/>
    <s v="19.01"/>
    <s v="Monterrey"/>
    <s v="19048"/>
    <s v="Santa Catarina"/>
    <x v="8"/>
    <s v="Maquinaria Agrícola y de Construcción"/>
    <n v="22.343253645421779"/>
    <n v="21.672956036059126"/>
    <n v="9.3596301673831555"/>
    <n v="131.37640520089565"/>
    <n v="266.64738954620378"/>
    <n v="26.912887685633176"/>
    <n v="8.1096277057682145E-2"/>
    <s v="Estatal"/>
  </r>
  <r>
    <x v="2"/>
    <s v="Nuevo León"/>
    <s v="19"/>
    <s v="19.01"/>
    <s v="Monterrey"/>
    <s v="19049"/>
    <s v="Santiago"/>
    <x v="8"/>
    <s v="Maquinaria Agrícola y de Construcción"/>
    <n v="2.0200498045961465E-2"/>
    <n v="1.959448310458262E-2"/>
    <n v="1.1558197160897255E-2"/>
    <n v="0.10636948123208392"/>
    <n v="0.33045122337935418"/>
    <n v="2.5456938261084843E-2"/>
    <n v="1.0512872429137261E-4"/>
    <s v="Estatal"/>
  </r>
  <r>
    <x v="2"/>
    <s v="Nuevo León"/>
    <s v="19"/>
    <m/>
    <m/>
    <s v="19050"/>
    <s v="Vallecillo"/>
    <x v="8"/>
    <s v="Maquinaria Agrícola y de Construcción"/>
    <n v="0.27864518328700333"/>
    <n v="0.27028582778839322"/>
    <n v="0.15943349312664176"/>
    <n v="1.4672580609953358"/>
    <n v="4.5582362126147293"/>
    <n v="0.35115239295320522"/>
    <n v="1.4501430896529215E-3"/>
    <s v="Estatal"/>
  </r>
  <r>
    <x v="2"/>
    <s v="Nuevo León"/>
    <s v="19"/>
    <m/>
    <m/>
    <s v="19051"/>
    <s v="Villaldama"/>
    <x v="8"/>
    <s v="Maquinaria Agrícola y de Construcción"/>
    <n v="3.1825925234661372E-2"/>
    <n v="3.0871147477621531E-2"/>
    <n v="1.820996283622487E-2"/>
    <n v="0.16758533127448402"/>
    <n v="0.52062656599084589"/>
    <n v="4.0107457348689091E-2"/>
    <n v="1.6563051622291354E-4"/>
    <s v="Estatal"/>
  </r>
  <r>
    <x v="2"/>
    <s v="Nuevo León"/>
    <s v="19"/>
    <s v="19.01"/>
    <s v="Monterrey"/>
    <s v="19001"/>
    <s v="Abasolo"/>
    <x v="9"/>
    <s v="Motocicletas"/>
    <n v="4.3187203791469194E-3"/>
    <n v="3.8204318062137971E-3"/>
    <n v="1.2144549763033179E-3"/>
    <n v="4.4275052659294376"/>
    <n v="0.18710395822362649"/>
    <n v="0.33771985255397574"/>
    <n v="4.3562401263823065E-3"/>
    <s v="Estatal"/>
  </r>
  <r>
    <x v="2"/>
    <s v="Nuevo León"/>
    <s v="19"/>
    <s v="19.01"/>
    <s v="Monterrey"/>
    <s v="19001"/>
    <s v="Abasolo"/>
    <x v="9"/>
    <s v="Autos Particulares"/>
    <n v="0.30524437353751022"/>
    <n v="0.27002837640276961"/>
    <n v="1.6097960173547622E-2"/>
    <n v="41.967841905967816"/>
    <n v="11.183500289850773"/>
    <n v="3.6973798337833017"/>
    <n v="6.129108981086176E-2"/>
    <s v="Estatal"/>
  </r>
  <r>
    <x v="2"/>
    <s v="Nuevo León"/>
    <s v="19"/>
    <s v="19.01"/>
    <s v="Monterrey"/>
    <s v="19001"/>
    <s v="Abasolo"/>
    <x v="9"/>
    <s v="Taxi"/>
    <n v="7.0540877146161368E-3"/>
    <n v="6.2405479939507168E-3"/>
    <n v="1.218307979717107E-3"/>
    <n v="3.0697057672261399"/>
    <n v="1.5092712088272584"/>
    <n v="0.14133959019067105"/>
    <n v="3.4153256466960126E-3"/>
    <s v="Estatal"/>
  </r>
  <r>
    <x v="2"/>
    <s v="Nuevo León"/>
    <s v="19"/>
    <s v="19.01"/>
    <s v="Monterrey"/>
    <s v="19001"/>
    <s v="Abasolo"/>
    <x v="9"/>
    <s v="Camionetas Particulares"/>
    <n v="6.1020025974494317E-2"/>
    <n v="5.3992411227250715E-2"/>
    <n v="7.3892138585051979E-3"/>
    <n v="14.525415211188768"/>
    <n v="3.2227936327973596"/>
    <n v="1.5820202729489874"/>
    <n v="2.250288951868884E-2"/>
    <s v="Estatal"/>
  </r>
  <r>
    <x v="2"/>
    <s v="Nuevo León"/>
    <s v="19"/>
    <s v="19.01"/>
    <s v="Monterrey"/>
    <s v="19001"/>
    <s v="Abasolo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01"/>
    <s v="Abasolo"/>
    <x v="9"/>
    <s v="Autobús"/>
    <n v="0.35515783320342953"/>
    <n v="0.32674006235385822"/>
    <n v="5.4754481683554172E-3"/>
    <n v="8.9955212392829313"/>
    <n v="4.9835044816835543"/>
    <n v="6.4104091971940766"/>
    <n v="9.7778643803585336E-3"/>
    <s v="Federal"/>
  </r>
  <r>
    <x v="2"/>
    <s v="Nuevo León"/>
    <s v="19"/>
    <s v="19.01"/>
    <s v="Monterrey"/>
    <s v="19001"/>
    <s v="Abasolo"/>
    <x v="9"/>
    <s v="Veh&gt;3.8Ton"/>
    <n v="0.27961890214802926"/>
    <n v="0.25705322310909023"/>
    <n v="8.5695566032338143E-3"/>
    <n v="14.612559550742526"/>
    <n v="5.2124111223841121"/>
    <n v="9.0820788985663157"/>
    <n v="1.9287892905468767E-2"/>
    <s v="Federal"/>
  </r>
  <r>
    <x v="2"/>
    <s v="Nuevo León"/>
    <s v="19"/>
    <s v="19.01"/>
    <s v="Monterrey"/>
    <s v="19001"/>
    <s v="Abasolo"/>
    <x v="9"/>
    <s v="Tractocamiones"/>
    <n v="0.20502279513509583"/>
    <n v="0.18861321098244846"/>
    <n v="4.284902774743281E-3"/>
    <n v="8.2214067438642502"/>
    <n v="3.6129715242881062"/>
    <n v="6.7822923312213232"/>
    <n v="1.0147840652538053E-2"/>
    <s v="Federal"/>
  </r>
  <r>
    <x v="2"/>
    <s v="Nuevo León"/>
    <s v="19"/>
    <s v="19.01"/>
    <s v="Monterrey"/>
    <s v="19001"/>
    <s v="Abasolo"/>
    <x v="9"/>
    <s v="Pickup y Veh&lt;3.8Ton"/>
    <n v="0.22016500473727763"/>
    <n v="0.19414301213757468"/>
    <n v="1.6792078651042222E-2"/>
    <n v="43.033400412704907"/>
    <n v="8.7352654189227508"/>
    <n v="4.8506920961501745"/>
    <n v="5.7814995751784518E-2"/>
    <s v="Estatal"/>
  </r>
  <r>
    <x v="2"/>
    <s v="Nuevo León"/>
    <s v="19"/>
    <m/>
    <m/>
    <s v="19002"/>
    <s v="Agualeguas"/>
    <x v="9"/>
    <s v="Motocicletas"/>
    <n v="4.3187203791469194E-3"/>
    <n v="3.8204318062137971E-3"/>
    <n v="1.2144549763033179E-3"/>
    <n v="4.4275052659294376"/>
    <n v="0.18710395822362649"/>
    <n v="0.33771985255397574"/>
    <n v="4.3562401263823065E-3"/>
    <s v="Estatal"/>
  </r>
  <r>
    <x v="2"/>
    <s v="Nuevo León"/>
    <s v="19"/>
    <m/>
    <m/>
    <s v="19002"/>
    <s v="Agualeguas"/>
    <x v="9"/>
    <s v="Autos Particulares"/>
    <n v="0.34800234025871785"/>
    <n v="0.30785336298058946"/>
    <n v="1.8352927357390872E-2"/>
    <n v="47.846605752718176"/>
    <n v="12.750060641736486"/>
    <n v="4.2153007443521693"/>
    <n v="6.9876612118998038E-2"/>
    <s v="Estatal"/>
  </r>
  <r>
    <x v="2"/>
    <s v="Nuevo León"/>
    <s v="19"/>
    <m/>
    <m/>
    <s v="19002"/>
    <s v="Agualeguas"/>
    <x v="9"/>
    <s v="Taxi"/>
    <n v="0"/>
    <n v="0"/>
    <n v="0"/>
    <n v="0"/>
    <n v="0"/>
    <n v="0"/>
    <n v="0"/>
    <s v="Estatal"/>
  </r>
  <r>
    <x v="2"/>
    <s v="Nuevo León"/>
    <s v="19"/>
    <m/>
    <m/>
    <s v="19002"/>
    <s v="Agualeguas"/>
    <x v="9"/>
    <s v="Camionetas Particulares"/>
    <n v="4.5936424048214818E-2"/>
    <n v="4.0645972496919078E-2"/>
    <n v="5.5626666125825636E-3"/>
    <n v="10.934863136512892"/>
    <n v="2.4261480157013828"/>
    <n v="1.1909590818829454"/>
    <n v="1.694037750283317E-2"/>
    <s v="Estatal"/>
  </r>
  <r>
    <x v="2"/>
    <s v="Nuevo León"/>
    <s v="19"/>
    <m/>
    <m/>
    <s v="19002"/>
    <s v="Agualeguas"/>
    <x v="9"/>
    <s v="Combi"/>
    <n v="0"/>
    <n v="0"/>
    <n v="0"/>
    <n v="0"/>
    <n v="0"/>
    <n v="0"/>
    <n v="0"/>
    <s v="Estatal"/>
  </r>
  <r>
    <x v="2"/>
    <s v="Nuevo León"/>
    <s v="19"/>
    <m/>
    <m/>
    <s v="19002"/>
    <s v="Agualeguas"/>
    <x v="9"/>
    <s v="Autobús"/>
    <n v="0"/>
    <n v="0"/>
    <n v="0"/>
    <n v="0"/>
    <n v="0"/>
    <n v="0"/>
    <n v="0"/>
    <s v="Federal"/>
  </r>
  <r>
    <x v="2"/>
    <s v="Nuevo León"/>
    <s v="19"/>
    <m/>
    <m/>
    <s v="19002"/>
    <s v="Agualeguas"/>
    <x v="9"/>
    <s v="Veh&gt;3.8Ton"/>
    <n v="0.46504943137658139"/>
    <n v="0.42755327370370472"/>
    <n v="1.4022158839709533E-2"/>
    <n v="23.110066186226959"/>
    <n v="8.6536890558617046"/>
    <n v="14.782882178694651"/>
    <n v="3.1731900633217083E-2"/>
    <s v="Federal"/>
  </r>
  <r>
    <x v="2"/>
    <s v="Nuevo León"/>
    <s v="19"/>
    <m/>
    <m/>
    <s v="19002"/>
    <s v="Agualeguas"/>
    <x v="9"/>
    <s v="Tractocamiones"/>
    <n v="0"/>
    <n v="0"/>
    <n v="0"/>
    <n v="0"/>
    <n v="0"/>
    <n v="0"/>
    <n v="0"/>
    <s v="Federal"/>
  </r>
  <r>
    <x v="2"/>
    <s v="Nuevo León"/>
    <s v="19"/>
    <m/>
    <m/>
    <s v="19002"/>
    <s v="Agualeguas"/>
    <x v="9"/>
    <s v="Pickup y Veh&lt;3.8Ton"/>
    <n v="0.63885198369882279"/>
    <n v="0.56595647336133781"/>
    <n v="4.2439202965404085E-2"/>
    <n v="112.76418797117007"/>
    <n v="23.241051407749509"/>
    <n v="13.050141281136629"/>
    <n v="0.14638350925832222"/>
    <s v="Estatal"/>
  </r>
  <r>
    <x v="2"/>
    <s v="Nuevo León"/>
    <s v="19"/>
    <m/>
    <m/>
    <s v="19004"/>
    <s v="Allende"/>
    <x v="9"/>
    <s v="Motocicletas"/>
    <n v="6.8235781990521327E-2"/>
    <n v="6.0362822538177999E-2"/>
    <n v="1.9188388625592422E-2"/>
    <n v="69.954583201685097"/>
    <n v="2.9562425399332981"/>
    <n v="5.3359736703528151"/>
    <n v="6.8828593996840451E-2"/>
    <s v="Estatal"/>
  </r>
  <r>
    <x v="2"/>
    <s v="Nuevo León"/>
    <s v="19"/>
    <m/>
    <m/>
    <s v="19004"/>
    <s v="Allende"/>
    <x v="9"/>
    <s v="Autos Particulares"/>
    <n v="6.1163845775083843"/>
    <n v="5.4107722125332929"/>
    <n v="0.32262421603091745"/>
    <n v="841.27304264949703"/>
    <n v="224.19664667936567"/>
    <n v="74.0786893696324"/>
    <n v="1.2282202365799668"/>
    <s v="Estatal"/>
  </r>
  <r>
    <x v="2"/>
    <s v="Nuevo León"/>
    <s v="19"/>
    <m/>
    <m/>
    <s v="19004"/>
    <s v="Allende"/>
    <x v="9"/>
    <s v="Taxi"/>
    <n v="0.12697357886309046"/>
    <n v="0.11232986389111291"/>
    <n v="2.1929543634907928E-2"/>
    <n v="55.254703810070524"/>
    <n v="27.166881758890653"/>
    <n v="2.544112623432079"/>
    <n v="6.147586164052822E-2"/>
    <s v="Estatal"/>
  </r>
  <r>
    <x v="2"/>
    <s v="Nuevo León"/>
    <s v="19"/>
    <m/>
    <m/>
    <s v="19004"/>
    <s v="Allende"/>
    <x v="9"/>
    <s v="Camionetas Particulares"/>
    <n v="1.2989451658083786"/>
    <n v="1.1516122714136285"/>
    <n v="0.15006534138717417"/>
    <n v="294.40407415187457"/>
    <n v="65.691062174796301"/>
    <n v="32.054548171303068"/>
    <n v="0.45816961808208195"/>
    <s v="Estatal"/>
  </r>
  <r>
    <x v="2"/>
    <s v="Nuevo León"/>
    <s v="19"/>
    <m/>
    <m/>
    <s v="19004"/>
    <s v="Allende"/>
    <x v="9"/>
    <s v="Combi"/>
    <n v="0"/>
    <n v="0"/>
    <n v="0"/>
    <n v="0"/>
    <n v="0"/>
    <n v="0"/>
    <n v="0"/>
    <s v="Estatal"/>
  </r>
  <r>
    <x v="2"/>
    <s v="Nuevo León"/>
    <s v="19"/>
    <m/>
    <m/>
    <s v="19004"/>
    <s v="Allende"/>
    <x v="9"/>
    <s v="Autobús"/>
    <n v="0.63928409976617306"/>
    <n v="0.58813211223694473"/>
    <n v="9.8558067030397514E-3"/>
    <n v="16.191938230709273"/>
    <n v="8.9703080670303983"/>
    <n v="11.538736554949338"/>
    <n v="1.760015588464536E-2"/>
    <s v="Federal"/>
  </r>
  <r>
    <x v="2"/>
    <s v="Nuevo León"/>
    <s v="19"/>
    <m/>
    <m/>
    <s v="19004"/>
    <s v="Allende"/>
    <x v="9"/>
    <s v="Veh&gt;3.8Ton"/>
    <n v="15.529206106658725"/>
    <n v="14.274000037766848"/>
    <n v="0.48928739098838686"/>
    <n v="885.05454183187373"/>
    <n v="291.48200303152629"/>
    <n v="523.06882621778993"/>
    <n v="1.1136121531965721"/>
    <s v="Federal"/>
  </r>
  <r>
    <x v="2"/>
    <s v="Nuevo León"/>
    <s v="19"/>
    <m/>
    <m/>
    <s v="19004"/>
    <s v="Allende"/>
    <x v="9"/>
    <s v="Tractocamiones"/>
    <n v="9.5335599737819567"/>
    <n v="8.7705143106838523"/>
    <n v="0.1992479790255626"/>
    <n v="382.2954135896876"/>
    <n v="168.00317587939693"/>
    <n v="315.37659340179152"/>
    <n v="0.47187459034301943"/>
    <s v="Federal"/>
  </r>
  <r>
    <x v="2"/>
    <s v="Nuevo León"/>
    <s v="19"/>
    <m/>
    <m/>
    <s v="19004"/>
    <s v="Allende"/>
    <x v="9"/>
    <s v="Pickup y Veh&lt;3.8Ton"/>
    <n v="6.280006643523345"/>
    <n v="5.5764654021144935"/>
    <n v="0.38800974666959009"/>
    <n v="1018.3591266225199"/>
    <n v="213.19927700317828"/>
    <n v="116.88732030494074"/>
    <n v="1.3514140572362916"/>
    <s v="Estatal"/>
  </r>
  <r>
    <x v="2"/>
    <s v="Nuevo León"/>
    <s v="19"/>
    <m/>
    <m/>
    <s v="19005"/>
    <s v="Anáhuac"/>
    <x v="9"/>
    <s v="Motocicletas"/>
    <n v="6.0462085308056867E-3"/>
    <n v="5.3486045286993151E-3"/>
    <n v="1.700236966824645E-3"/>
    <n v="6.1985073723012114"/>
    <n v="0.26194554151307708"/>
    <n v="0.47280779357556596"/>
    <n v="6.0987361769352299E-3"/>
    <s v="Estatal"/>
  </r>
  <r>
    <x v="2"/>
    <s v="Nuevo León"/>
    <s v="19"/>
    <m/>
    <m/>
    <s v="19005"/>
    <s v="Anáhuac"/>
    <x v="9"/>
    <s v="Autos Particulares"/>
    <n v="1.1615914292594745"/>
    <n v="1.027578802030773"/>
    <n v="6.125994182774154E-2"/>
    <n v="159.70641783671797"/>
    <n v="42.558222892895166"/>
    <n v="14.070184737120893"/>
    <n v="0.23324002270436892"/>
    <s v="Estatal"/>
  </r>
  <r>
    <x v="2"/>
    <s v="Nuevo León"/>
    <s v="19"/>
    <m/>
    <m/>
    <s v="19005"/>
    <s v="Anáhuac"/>
    <x v="9"/>
    <s v="Taxi"/>
    <n v="2.1162263143848413E-2"/>
    <n v="1.8721643981852148E-2"/>
    <n v="3.6549239391513214E-3"/>
    <n v="9.2091173016784218"/>
    <n v="4.527813626481775"/>
    <n v="0.4240187705720132"/>
    <n v="1.0245976940088037E-2"/>
    <s v="Estatal"/>
  </r>
  <r>
    <x v="2"/>
    <s v="Nuevo León"/>
    <s v="19"/>
    <m/>
    <m/>
    <s v="19005"/>
    <s v="Anáhuac"/>
    <x v="9"/>
    <s v="Camionetas Particulares"/>
    <n v="0.27219045294240723"/>
    <n v="0.24084255345189365"/>
    <n v="3.2960875301422062E-2"/>
    <n v="64.793144256651019"/>
    <n v="14.375832272141031"/>
    <n v="7.0568769478735733"/>
    <n v="0.10037805774066819"/>
    <s v="Estatal"/>
  </r>
  <r>
    <x v="2"/>
    <s v="Nuevo León"/>
    <s v="19"/>
    <m/>
    <m/>
    <s v="19005"/>
    <s v="Anáhuac"/>
    <x v="9"/>
    <s v="Combi"/>
    <n v="0"/>
    <n v="0"/>
    <n v="0"/>
    <n v="0"/>
    <n v="0"/>
    <n v="0"/>
    <n v="0"/>
    <s v="Estatal"/>
  </r>
  <r>
    <x v="2"/>
    <s v="Nuevo León"/>
    <s v="19"/>
    <m/>
    <m/>
    <s v="19005"/>
    <s v="Anáhuac"/>
    <x v="9"/>
    <s v="Autobús"/>
    <n v="7.1031566640685911E-2"/>
    <n v="6.5348012470771641E-2"/>
    <n v="1.0950896336710835E-3"/>
    <n v="1.7991042478565862"/>
    <n v="0.99670089633671088"/>
    <n v="1.2820818394388154"/>
    <n v="1.9555728760717065E-3"/>
    <s v="Federal"/>
  </r>
  <r>
    <x v="2"/>
    <s v="Nuevo León"/>
    <s v="19"/>
    <m/>
    <m/>
    <s v="19005"/>
    <s v="Anáhuac"/>
    <x v="9"/>
    <s v="Veh&gt;3.8Ton"/>
    <n v="0.96839967868838972"/>
    <n v="0.88898837505379402"/>
    <n v="3.8201302140945206E-2"/>
    <n v="95.053159687879244"/>
    <n v="18.699476293021355"/>
    <n v="43.368487795108372"/>
    <n v="8.122576316157426E-2"/>
    <s v="Federal"/>
  </r>
  <r>
    <x v="2"/>
    <s v="Nuevo León"/>
    <s v="19"/>
    <m/>
    <m/>
    <s v="19005"/>
    <s v="Anáhuac"/>
    <x v="9"/>
    <s v="Tractocamiones"/>
    <n v="0.46130128905396561"/>
    <n v="0.424379724710509"/>
    <n v="9.6410312431723846E-3"/>
    <n v="18.498165173694559"/>
    <n v="8.1291859296482389"/>
    <n v="15.260157745247978"/>
    <n v="2.2832641468210617E-2"/>
    <s v="Federal"/>
  </r>
  <r>
    <x v="2"/>
    <s v="Nuevo León"/>
    <s v="19"/>
    <m/>
    <m/>
    <s v="19005"/>
    <s v="Anáhuac"/>
    <x v="9"/>
    <s v="Pickup y Veh&lt;3.8Ton"/>
    <n v="1.5326957629494229"/>
    <n v="1.3601486738373363"/>
    <n v="9.6407875807412377E-2"/>
    <n v="258.72908817879619"/>
    <n v="53.699726862574224"/>
    <n v="30.1620990943312"/>
    <n v="0.33287616270083792"/>
    <s v="Estatal"/>
  </r>
  <r>
    <x v="2"/>
    <s v="Nuevo León"/>
    <s v="19"/>
    <s v="19.01"/>
    <s v="Monterrey"/>
    <s v="19006"/>
    <s v="Apodaca"/>
    <x v="9"/>
    <s v="Motocicletas"/>
    <n v="1.8026338862559241"/>
    <n v="1.5946482359136391"/>
    <n v="0.50691350710900485"/>
    <n v="1848.0406979989468"/>
    <n v="78.097192162541702"/>
    <n v="140.96426645602946"/>
    <n v="1.8182946287519746"/>
    <s v="Estatal"/>
  </r>
  <r>
    <x v="2"/>
    <s v="Nuevo León"/>
    <s v="19"/>
    <s v="19.01"/>
    <s v="Monterrey"/>
    <s v="19006"/>
    <s v="Apodaca"/>
    <x v="9"/>
    <s v="Autos Particulares"/>
    <n v="79.563168808022382"/>
    <n v="70.384465368337118"/>
    <n v="4.1968388724835304"/>
    <n v="10943.894597692111"/>
    <n v="2916.5350512579062"/>
    <n v="963.61976169467721"/>
    <n v="15.977056606792802"/>
    <s v="Estatal"/>
  </r>
  <r>
    <x v="2"/>
    <s v="Nuevo León"/>
    <s v="19"/>
    <s v="19.01"/>
    <s v="Monterrey"/>
    <s v="19006"/>
    <s v="Apodaca"/>
    <x v="9"/>
    <s v="Taxi"/>
    <n v="2.8569055244195352"/>
    <n v="2.5274219375500402"/>
    <n v="0.49341473178542838"/>
    <n v="1243.230835726587"/>
    <n v="611.25483957503957"/>
    <n v="57.242534027221787"/>
    <n v="1.383206886911885"/>
    <s v="Estatal"/>
  </r>
  <r>
    <x v="2"/>
    <s v="Nuevo León"/>
    <s v="19"/>
    <s v="19.01"/>
    <s v="Monterrey"/>
    <s v="19006"/>
    <s v="Apodaca"/>
    <x v="9"/>
    <s v="Camionetas Particulares"/>
    <n v="12.65444818404136"/>
    <n v="11.215376572633582"/>
    <n v="1.4738894864278127"/>
    <n v="2892.6034871046254"/>
    <n v="644.81161457774988"/>
    <n v="314.95707423630154"/>
    <n v="4.4979657569517597"/>
    <s v="Estatal"/>
  </r>
  <r>
    <x v="2"/>
    <s v="Nuevo León"/>
    <s v="19"/>
    <s v="19.01"/>
    <s v="Monterrey"/>
    <s v="19006"/>
    <s v="Apodaca"/>
    <x v="9"/>
    <s v="Combi"/>
    <n v="1.6378773819029326E-2"/>
    <n v="1.445505591015981E-2"/>
    <n v="1.3788537923207869E-3"/>
    <n v="2.5825984832767839"/>
    <n v="0.648554368566301"/>
    <n v="0.22692691583553512"/>
    <n v="5.080385852090032E-3"/>
    <s v="Estatal"/>
  </r>
  <r>
    <x v="2"/>
    <s v="Nuevo León"/>
    <s v="19"/>
    <s v="19.01"/>
    <s v="Monterrey"/>
    <s v="19006"/>
    <s v="Apodaca"/>
    <x v="9"/>
    <s v="Autobús"/>
    <n v="26.920963756819958"/>
    <n v="24.766896726422452"/>
    <n v="0.41503897116134059"/>
    <n v="681.86050993764627"/>
    <n v="377.74963971161338"/>
    <n v="485.90901714731092"/>
    <n v="0.74116212003117676"/>
    <s v="Federal"/>
  </r>
  <r>
    <x v="2"/>
    <s v="Nuevo León"/>
    <s v="19"/>
    <s v="19.01"/>
    <s v="Monterrey"/>
    <s v="19006"/>
    <s v="Apodaca"/>
    <x v="9"/>
    <s v="Veh&gt;3.8Ton"/>
    <n v="36.343227575637883"/>
    <n v="33.405675642172369"/>
    <n v="1.1449163724856002"/>
    <n v="2081.1380796830745"/>
    <n v="683.32093691025455"/>
    <n v="1223.9078754179804"/>
    <n v="2.6531486398958593"/>
    <s v="Federal"/>
  </r>
  <r>
    <x v="2"/>
    <s v="Nuevo León"/>
    <s v="19"/>
    <s v="19.01"/>
    <s v="Monterrey"/>
    <s v="19006"/>
    <s v="Apodaca"/>
    <x v="9"/>
    <s v="Tractocamiones"/>
    <n v="121.52726181632802"/>
    <n v="111.80048080984632"/>
    <n v="2.53987611972908"/>
    <n v="4873.238847425534"/>
    <n v="2141.588871021775"/>
    <n v="4020.2037793314389"/>
    <n v="6.0151325467919312"/>
    <s v="Federal"/>
  </r>
  <r>
    <x v="2"/>
    <s v="Nuevo León"/>
    <s v="19"/>
    <s v="19.01"/>
    <s v="Monterrey"/>
    <s v="19006"/>
    <s v="Apodaca"/>
    <x v="9"/>
    <s v="Pickup y Veh&lt;3.8Ton"/>
    <n v="37.953855606920619"/>
    <n v="33.707960021931257"/>
    <n v="2.3310076045879828"/>
    <n v="6020.7321179640476"/>
    <n v="1267.6076019193811"/>
    <n v="682.80537890885239"/>
    <n v="8.1780316546813836"/>
    <s v="Estatal"/>
  </r>
  <r>
    <x v="2"/>
    <s v="Nuevo León"/>
    <s v="19"/>
    <m/>
    <m/>
    <s v="19007"/>
    <s v="Aramberri"/>
    <x v="9"/>
    <s v="Motocicletas"/>
    <n v="7.3418246445497619E-3"/>
    <n v="6.4947340705634547E-3"/>
    <n v="2.0645734597156402E-3"/>
    <n v="7.5267589520800424"/>
    <n v="0.31807672898016504"/>
    <n v="0.57412374934175869"/>
    <n v="7.4056082148499227E-3"/>
    <s v="Estatal"/>
  </r>
  <r>
    <x v="2"/>
    <s v="Nuevo León"/>
    <s v="19"/>
    <m/>
    <m/>
    <s v="19007"/>
    <s v="Aramberri"/>
    <x v="9"/>
    <s v="Autos Particulares"/>
    <n v="0.76132935189705864"/>
    <n v="0.67349489989951483"/>
    <n v="4.0150943467875594E-2"/>
    <n v="104.67465627130494"/>
    <n v="27.893477376631701"/>
    <n v="9.2218695465178868"/>
    <n v="0.15286999443098206"/>
    <s v="Estatal"/>
  </r>
  <r>
    <x v="2"/>
    <s v="Nuevo León"/>
    <s v="19"/>
    <m/>
    <m/>
    <s v="19007"/>
    <s v="Aramberri"/>
    <x v="9"/>
    <s v="Taxi"/>
    <n v="2.8216350858464547E-2"/>
    <n v="2.4962191975802867E-2"/>
    <n v="4.873231918868428E-3"/>
    <n v="12.278823068904559"/>
    <n v="6.0370848353090336"/>
    <n v="0.5653583607626842"/>
    <n v="1.366130258678405E-2"/>
    <s v="Estatal"/>
  </r>
  <r>
    <x v="2"/>
    <s v="Nuevo León"/>
    <s v="19"/>
    <m/>
    <m/>
    <s v="19007"/>
    <s v="Aramberri"/>
    <x v="9"/>
    <s v="Camionetas Particulares"/>
    <n v="0.12752499810399937"/>
    <n v="0.11283807290189476"/>
    <n v="1.5442626715527714E-2"/>
    <n v="30.35648572225967"/>
    <n v="6.7352765809023465"/>
    <n v="3.3062446153765359"/>
    <n v="4.7028510679507009E-2"/>
    <s v="Estatal"/>
  </r>
  <r>
    <x v="2"/>
    <s v="Nuevo León"/>
    <s v="19"/>
    <m/>
    <m/>
    <s v="19007"/>
    <s v="Aramberri"/>
    <x v="9"/>
    <s v="Combi"/>
    <n v="0"/>
    <n v="0"/>
    <n v="0"/>
    <n v="0"/>
    <n v="0"/>
    <n v="0"/>
    <n v="0"/>
    <s v="Estatal"/>
  </r>
  <r>
    <x v="2"/>
    <s v="Nuevo León"/>
    <s v="19"/>
    <m/>
    <m/>
    <s v="19007"/>
    <s v="Aramberri"/>
    <x v="9"/>
    <s v="Autobús"/>
    <n v="0.21309469992205773"/>
    <n v="0.19604403741231494"/>
    <n v="3.2852689010132506E-3"/>
    <n v="5.3973127435697581"/>
    <n v="2.9901026890101323"/>
    <n v="3.8462455183164463"/>
    <n v="5.8667186282151187E-3"/>
    <s v="Federal"/>
  </r>
  <r>
    <x v="2"/>
    <s v="Nuevo León"/>
    <s v="19"/>
    <m/>
    <m/>
    <s v="19007"/>
    <s v="Aramberri"/>
    <x v="9"/>
    <s v="Veh&gt;3.8Ton"/>
    <n v="0.30832187444610215"/>
    <n v="0.28325253149779944"/>
    <n v="1.0716081564744165E-2"/>
    <n v="22.673371370862647"/>
    <n v="5.8319241971977718"/>
    <n v="11.785456727484144"/>
    <n v="2.3175448798360913E-2"/>
    <s v="Federal"/>
  </r>
  <r>
    <x v="2"/>
    <s v="Nuevo León"/>
    <s v="19"/>
    <m/>
    <m/>
    <s v="19007"/>
    <s v="Aramberri"/>
    <x v="9"/>
    <s v="Tractocamiones"/>
    <n v="0"/>
    <n v="0"/>
    <n v="0"/>
    <n v="0"/>
    <n v="0"/>
    <n v="0"/>
    <n v="0"/>
    <s v="Federal"/>
  </r>
  <r>
    <x v="2"/>
    <s v="Nuevo León"/>
    <s v="19"/>
    <m/>
    <m/>
    <s v="19007"/>
    <s v="Aramberri"/>
    <x v="9"/>
    <s v="Pickup y Veh&lt;3.8Ton"/>
    <n v="1.01494630337461"/>
    <n v="0.8999152699068047"/>
    <n v="6.5963095688924042E-2"/>
    <n v="173.39866908320465"/>
    <n v="35.918497608166824"/>
    <n v="19.934840552355322"/>
    <n v="0.22776364272628577"/>
    <s v="Estatal"/>
  </r>
  <r>
    <x v="2"/>
    <s v="Nuevo León"/>
    <s v="19"/>
    <m/>
    <m/>
    <s v="19008"/>
    <s v="Bustamante"/>
    <x v="9"/>
    <s v="Motocicletas"/>
    <n v="1.7274881516587677E-3"/>
    <n v="1.5281727224855188E-3"/>
    <n v="4.8578199052132709E-4"/>
    <n v="1.7710021063717745"/>
    <n v="7.4841583289450606E-2"/>
    <n v="0.13508794102159027"/>
    <n v="1.7424960505529228E-3"/>
    <s v="Estatal"/>
  </r>
  <r>
    <x v="2"/>
    <s v="Nuevo León"/>
    <s v="19"/>
    <m/>
    <m/>
    <s v="19008"/>
    <s v="Bustamante"/>
    <x v="9"/>
    <s v="Autos Particulares"/>
    <n v="0.28742855407034029"/>
    <n v="0.25426796532867796"/>
    <n v="1.5158390513612941E-2"/>
    <n v="39.518356969821838"/>
    <n v="10.530766809898394"/>
    <n v="3.4815794543796073"/>
    <n v="5.7713788849138317E-2"/>
    <s v="Estatal"/>
  </r>
  <r>
    <x v="2"/>
    <s v="Nuevo León"/>
    <s v="19"/>
    <m/>
    <m/>
    <s v="19008"/>
    <s v="Bustamante"/>
    <x v="9"/>
    <s v="Taxi"/>
    <n v="0"/>
    <n v="0"/>
    <n v="0"/>
    <n v="0"/>
    <n v="0"/>
    <n v="0"/>
    <n v="0"/>
    <s v="Estatal"/>
  </r>
  <r>
    <x v="2"/>
    <s v="Nuevo León"/>
    <s v="19"/>
    <m/>
    <m/>
    <s v="19008"/>
    <s v="Bustamante"/>
    <x v="9"/>
    <s v="Camionetas Particulares"/>
    <n v="5.1421370203225548E-2"/>
    <n v="4.5499222944312405E-2"/>
    <n v="6.2268656110998849E-3"/>
    <n v="12.240518436395028"/>
    <n v="2.7158373310090114"/>
    <n v="1.3331631513615061"/>
    <n v="1.8963109144962506E-2"/>
    <s v="Estatal"/>
  </r>
  <r>
    <x v="2"/>
    <s v="Nuevo León"/>
    <s v="19"/>
    <m/>
    <m/>
    <s v="19008"/>
    <s v="Bustamante"/>
    <x v="9"/>
    <s v="Combi"/>
    <n v="0"/>
    <n v="0"/>
    <n v="0"/>
    <n v="0"/>
    <n v="0"/>
    <n v="0"/>
    <n v="0"/>
    <s v="Estatal"/>
  </r>
  <r>
    <x v="2"/>
    <s v="Nuevo León"/>
    <s v="19"/>
    <m/>
    <m/>
    <s v="19008"/>
    <s v="Bustamante"/>
    <x v="9"/>
    <s v="Autobús"/>
    <n v="0.28412626656274365"/>
    <n v="0.26139204988308656"/>
    <n v="4.3803585346843341E-3"/>
    <n v="7.1964169914263447"/>
    <n v="3.9868035853468435"/>
    <n v="5.1283273577552615"/>
    <n v="7.8222915042868262E-3"/>
    <s v="Federal"/>
  </r>
  <r>
    <x v="2"/>
    <s v="Nuevo León"/>
    <s v="19"/>
    <m/>
    <m/>
    <s v="19008"/>
    <s v="Bustamante"/>
    <x v="9"/>
    <s v="Veh&gt;3.8Ton"/>
    <n v="5.1513511375341665E-2"/>
    <n v="4.7186027908743849E-2"/>
    <n v="2.7304369289397569E-3"/>
    <n v="8.6564252501766976"/>
    <n v="1.0370492609564286"/>
    <n v="3.283259744340421"/>
    <n v="5.2875865303991104E-3"/>
    <s v="Federal"/>
  </r>
  <r>
    <x v="2"/>
    <s v="Nuevo León"/>
    <s v="19"/>
    <m/>
    <m/>
    <s v="19008"/>
    <s v="Bustamante"/>
    <x v="9"/>
    <s v="Tractocamiones"/>
    <n v="0"/>
    <n v="0"/>
    <n v="0"/>
    <n v="0"/>
    <n v="0"/>
    <n v="0"/>
    <n v="0"/>
    <s v="Federal"/>
  </r>
  <r>
    <x v="2"/>
    <s v="Nuevo León"/>
    <s v="19"/>
    <m/>
    <m/>
    <s v="19008"/>
    <s v="Bustamante"/>
    <x v="9"/>
    <s v="Pickup y Veh&lt;3.8Ton"/>
    <n v="0.30646552339136235"/>
    <n v="0.27101231623481975"/>
    <n v="2.1004130056190506E-2"/>
    <n v="56.137438530675453"/>
    <n v="11.547774922620967"/>
    <n v="6.5170341487946928"/>
    <n v="7.23971857753508E-2"/>
    <s v="Estatal"/>
  </r>
  <r>
    <x v="2"/>
    <s v="Nuevo León"/>
    <s v="19"/>
    <s v="19.01"/>
    <s v="Monterrey"/>
    <s v="19009"/>
    <s v="Cadereyta Jiménez"/>
    <x v="9"/>
    <s v="Motocicletas"/>
    <n v="0.46685367298578201"/>
    <n v="0.41298867825171143"/>
    <n v="0.13128258293838865"/>
    <n v="478.61331924697214"/>
    <n v="20.225937883974023"/>
    <n v="36.507516061084765"/>
    <n v="0.47090955766192738"/>
    <s v="Estatal"/>
  </r>
  <r>
    <x v="2"/>
    <s v="Nuevo León"/>
    <s v="19"/>
    <s v="19.01"/>
    <s v="Monterrey"/>
    <s v="19009"/>
    <s v="Cadereyta Jiménez"/>
    <x v="9"/>
    <s v="Autos Particulares"/>
    <n v="15.413296737445529"/>
    <n v="13.635152020708659"/>
    <n v="0.8130122517421785"/>
    <n v="2120.0024031852786"/>
    <n v="564.97371992742058"/>
    <n v="186.67855269598638"/>
    <n v="3.0951147247204176"/>
    <s v="Estatal"/>
  </r>
  <r>
    <x v="2"/>
    <s v="Nuevo León"/>
    <s v="19"/>
    <s v="19.01"/>
    <s v="Monterrey"/>
    <s v="19009"/>
    <s v="Cadereyta Jiménez"/>
    <x v="9"/>
    <s v="Taxi"/>
    <n v="0.39785054710435014"/>
    <n v="0.35196690685882043"/>
    <n v="6.871257005604485E-2"/>
    <n v="173.13140527155431"/>
    <n v="85.122896177857356"/>
    <n v="7.9715528867538481"/>
    <n v="0.19262436647365508"/>
    <s v="Estatal"/>
  </r>
  <r>
    <x v="2"/>
    <s v="Nuevo León"/>
    <s v="19"/>
    <s v="19.01"/>
    <s v="Monterrey"/>
    <s v="19009"/>
    <s v="Cadereyta Jiménez"/>
    <x v="9"/>
    <s v="Camionetas Particulares"/>
    <n v="2.8453910078661795"/>
    <n v="2.5218089420221905"/>
    <n v="0.33141635057320773"/>
    <n v="650.41519308392401"/>
    <n v="144.98362539493866"/>
    <n v="70.82081007456955"/>
    <n v="1.0114038231370084"/>
    <s v="Estatal"/>
  </r>
  <r>
    <x v="2"/>
    <s v="Nuevo León"/>
    <s v="19"/>
    <s v="19.01"/>
    <s v="Monterrey"/>
    <s v="19009"/>
    <s v="Cadereyta Jiménez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09"/>
    <s v="Cadereyta Jiménez"/>
    <x v="9"/>
    <s v="Autobús"/>
    <n v="4.0487992985190964"/>
    <n v="3.724836710833983"/>
    <n v="6.2420109119251763E-2"/>
    <n v="102.54894212782543"/>
    <n v="56.811951091192519"/>
    <n v="73.078664848012465"/>
    <n v="0.11146765393608728"/>
    <s v="Federal"/>
  </r>
  <r>
    <x v="2"/>
    <s v="Nuevo León"/>
    <s v="19"/>
    <s v="19.01"/>
    <s v="Monterrey"/>
    <s v="19009"/>
    <s v="Cadereyta Jiménez"/>
    <x v="9"/>
    <s v="Veh&gt;3.8Ton"/>
    <n v="14.093660532402689"/>
    <n v="12.951563979913994"/>
    <n v="0.46383401705812305"/>
    <n v="907.60744489876595"/>
    <n v="266.35420806629918"/>
    <n v="502.36446902328373"/>
    <n v="1.0504756024773831"/>
    <s v="Federal"/>
  </r>
  <r>
    <x v="2"/>
    <s v="Nuevo León"/>
    <s v="19"/>
    <s v="19.01"/>
    <s v="Monterrey"/>
    <s v="19009"/>
    <s v="Cadereyta Jiménez"/>
    <x v="9"/>
    <s v="Tractocamiones"/>
    <n v="29.241376156143041"/>
    <n v="26.900959216371714"/>
    <n v="0.61113425824776058"/>
    <n v="1172.5781368436385"/>
    <n v="515.30006365159124"/>
    <n v="967.3244437404411"/>
    <n v="1.4473357730682399"/>
    <s v="Federal"/>
  </r>
  <r>
    <x v="2"/>
    <s v="Nuevo León"/>
    <s v="19"/>
    <s v="19.01"/>
    <s v="Monterrey"/>
    <s v="19009"/>
    <s v="Cadereyta Jiménez"/>
    <x v="9"/>
    <s v="Pickup y Veh&lt;3.8Ton"/>
    <n v="11.46722006279839"/>
    <n v="10.185272546429898"/>
    <n v="0.70110037430603489"/>
    <n v="1843.8244970319465"/>
    <n v="386.85953821697979"/>
    <n v="211.74017240974135"/>
    <n v="2.4512468933584679"/>
    <s v="Estatal"/>
  </r>
  <r>
    <x v="2"/>
    <s v="Nuevo León"/>
    <s v="19"/>
    <m/>
    <m/>
    <s v="19011"/>
    <s v="Cerralvo"/>
    <x v="9"/>
    <s v="Motocicletas"/>
    <n v="6.4780805687203796E-3"/>
    <n v="5.7306477093206952E-3"/>
    <n v="1.8216824644549767E-3"/>
    <n v="6.6412578988941551"/>
    <n v="0.2806559373354397"/>
    <n v="0.5065797788309635"/>
    <n v="6.5343601895734606E-3"/>
    <s v="Estatal"/>
  </r>
  <r>
    <x v="2"/>
    <s v="Nuevo León"/>
    <s v="19"/>
    <m/>
    <m/>
    <s v="19011"/>
    <s v="Cerralvo"/>
    <x v="9"/>
    <s v="Autos Particulares"/>
    <n v="0.87653831778475677"/>
    <n v="0.77541222484530714"/>
    <n v="4.6226827268786568E-2"/>
    <n v="120.5146588583823"/>
    <n v="32.114487213657085"/>
    <n v="10.617378666661777"/>
    <n v="0.17600320731679372"/>
    <s v="Estatal"/>
  </r>
  <r>
    <x v="2"/>
    <s v="Nuevo León"/>
    <s v="19"/>
    <m/>
    <m/>
    <s v="19011"/>
    <s v="Cerralvo"/>
    <x v="9"/>
    <s v="Taxi"/>
    <n v="3.1037985944311001E-2"/>
    <n v="2.7458411173383157E-2"/>
    <n v="5.3605551107552716E-3"/>
    <n v="13.50670537579502"/>
    <n v="6.6407933188399371"/>
    <n v="0.62189419683895275"/>
    <n v="1.5027432845462452E-2"/>
    <s v="Estatal"/>
  </r>
  <r>
    <x v="2"/>
    <s v="Nuevo León"/>
    <s v="19"/>
    <m/>
    <m/>
    <s v="19011"/>
    <s v="Cerralvo"/>
    <x v="9"/>
    <s v="Camionetas Particulares"/>
    <n v="0.12889623464275204"/>
    <n v="0.11405138551374309"/>
    <n v="1.5608676465157043E-2"/>
    <n v="30.682899547230207"/>
    <n v="6.8076989097292531"/>
    <n v="3.3417956327461753"/>
    <n v="4.7534193590039353E-2"/>
    <s v="Estatal"/>
  </r>
  <r>
    <x v="2"/>
    <s v="Nuevo León"/>
    <s v="19"/>
    <m/>
    <m/>
    <s v="19011"/>
    <s v="Cerralvo"/>
    <x v="9"/>
    <s v="Combi"/>
    <n v="0"/>
    <n v="0"/>
    <n v="0"/>
    <n v="0"/>
    <n v="0"/>
    <n v="0"/>
    <n v="0"/>
    <s v="Estatal"/>
  </r>
  <r>
    <x v="2"/>
    <s v="Nuevo León"/>
    <s v="19"/>
    <m/>
    <m/>
    <s v="19011"/>
    <s v="Cerralvo"/>
    <x v="9"/>
    <s v="Autobús"/>
    <n v="0.78134723304754483"/>
    <n v="0.71882813717848804"/>
    <n v="1.2045985970381916E-2"/>
    <n v="19.790146726422449"/>
    <n v="10.963709859703819"/>
    <n v="14.10290023382697"/>
    <n v="2.1511301636788778E-2"/>
    <s v="Federal"/>
  </r>
  <r>
    <x v="2"/>
    <s v="Nuevo León"/>
    <s v="19"/>
    <m/>
    <m/>
    <s v="19011"/>
    <s v="Cerralvo"/>
    <x v="9"/>
    <s v="Veh&gt;3.8Ton"/>
    <n v="1.5357169390097067"/>
    <n v="1.4110500686203227"/>
    <n v="5.2017794829639877E-2"/>
    <n v="105.90165846424969"/>
    <n v="28.957644097317967"/>
    <n v="56.803787723925481"/>
    <n v="0.1133897187364194"/>
    <s v="Federal"/>
  </r>
  <r>
    <x v="2"/>
    <s v="Nuevo León"/>
    <s v="19"/>
    <m/>
    <m/>
    <s v="19011"/>
    <s v="Cerralvo"/>
    <x v="9"/>
    <s v="Tractocamiones"/>
    <n v="2.4859013910130368"/>
    <n v="2.2869351831621878"/>
    <n v="5.1954446143762288E-2"/>
    <n v="99.684556769354032"/>
    <n v="43.80727973199329"/>
    <n v="82.235294516058545"/>
    <n v="0.12304256791202388"/>
    <s v="Federal"/>
  </r>
  <r>
    <x v="2"/>
    <s v="Nuevo León"/>
    <s v="19"/>
    <m/>
    <m/>
    <s v="19011"/>
    <s v="Cerralvo"/>
    <x v="9"/>
    <s v="Pickup y Veh&lt;3.8Ton"/>
    <n v="1.1191683498164013"/>
    <n v="0.99153762902435805"/>
    <n v="7.4044064804688364E-2"/>
    <n v="195.89740763235275"/>
    <n v="40.455635746809143"/>
    <n v="22.60888459967558"/>
    <n v="0.2554907982839858"/>
    <s v="Estatal"/>
  </r>
  <r>
    <x v="2"/>
    <s v="Nuevo León"/>
    <s v="19"/>
    <m/>
    <m/>
    <s v="19013"/>
    <s v="China"/>
    <x v="9"/>
    <s v="Motocicletas"/>
    <n v="5.1824644549763026E-3"/>
    <n v="4.5845181674565565E-3"/>
    <n v="1.4573459715639813E-3"/>
    <n v="5.3130063191153241"/>
    <n v="0.2245247498683518"/>
    <n v="0.40526382306477082"/>
    <n v="5.2274881516587686E-3"/>
    <s v="Estatal"/>
  </r>
  <r>
    <x v="2"/>
    <s v="Nuevo León"/>
    <s v="19"/>
    <m/>
    <m/>
    <s v="19013"/>
    <s v="China"/>
    <x v="9"/>
    <s v="Autos Particulares"/>
    <n v="1.0404438568827195"/>
    <n v="0.92040800672695"/>
    <n v="5.4870868140185679E-2"/>
    <n v="143.04992027092536"/>
    <n v="38.119635229218986"/>
    <n v="12.602742157175769"/>
    <n v="0.20891437616464942"/>
    <s v="Estatal"/>
  </r>
  <r>
    <x v="2"/>
    <s v="Nuevo León"/>
    <s v="19"/>
    <m/>
    <m/>
    <s v="19013"/>
    <s v="China"/>
    <x v="9"/>
    <s v="Taxi"/>
    <n v="2.5394715772618093E-2"/>
    <n v="2.2465972778222581E-2"/>
    <n v="4.3859087269815852E-3"/>
    <n v="11.050940762014104"/>
    <n v="5.4333763517781293"/>
    <n v="0.50882252468641576"/>
    <n v="1.2295172328105643E-2"/>
    <s v="Estatal"/>
  </r>
  <r>
    <x v="2"/>
    <s v="Nuevo León"/>
    <s v="19"/>
    <m/>
    <m/>
    <s v="19013"/>
    <s v="China"/>
    <x v="9"/>
    <s v="Camionetas Particulares"/>
    <n v="0.19608682504163338"/>
    <n v="0.1735037034943113"/>
    <n v="2.3745114196994231E-2"/>
    <n v="46.677176970786384"/>
    <n v="10.356393022247696"/>
    <n v="5.0837954838585437"/>
    <n v="7.2312656206123677E-2"/>
    <s v="Estatal"/>
  </r>
  <r>
    <x v="2"/>
    <s v="Nuevo León"/>
    <s v="19"/>
    <m/>
    <m/>
    <s v="19013"/>
    <s v="China"/>
    <x v="9"/>
    <s v="Combi"/>
    <n v="0"/>
    <n v="0"/>
    <n v="0"/>
    <n v="0"/>
    <n v="0"/>
    <n v="0"/>
    <n v="0"/>
    <s v="Estatal"/>
  </r>
  <r>
    <x v="2"/>
    <s v="Nuevo León"/>
    <s v="19"/>
    <m/>
    <m/>
    <s v="19013"/>
    <s v="China"/>
    <x v="9"/>
    <s v="Autobús"/>
    <n v="0.28412626656274365"/>
    <n v="0.26139204988308656"/>
    <n v="4.3803585346843341E-3"/>
    <n v="7.1964169914263447"/>
    <n v="3.9868035853468435"/>
    <n v="5.1283273577552615"/>
    <n v="7.8222915042868262E-3"/>
    <s v="Federal"/>
  </r>
  <r>
    <x v="2"/>
    <s v="Nuevo León"/>
    <s v="19"/>
    <m/>
    <m/>
    <s v="19013"/>
    <s v="China"/>
    <x v="9"/>
    <s v="Veh&gt;3.8Ton"/>
    <n v="1.3245296540934837"/>
    <n v="1.2169570040713364"/>
    <n v="4.5199974128694281E-2"/>
    <n v="93.694414763701616"/>
    <n v="25.156338343236467"/>
    <n v="49.461354571626941"/>
    <n v="0.10148801321374439"/>
    <s v="Federal"/>
  </r>
  <r>
    <x v="2"/>
    <s v="Nuevo León"/>
    <s v="19"/>
    <m/>
    <m/>
    <s v="19013"/>
    <s v="China"/>
    <x v="9"/>
    <s v="Tractocamiones"/>
    <n v="1.9989722525671842"/>
    <n v="1.8389788070788724"/>
    <n v="4.1777802053746996E-2"/>
    <n v="80.158715752676414"/>
    <n v="35.226472361809037"/>
    <n v="66.127350229407895"/>
    <n v="9.8941446362246013E-2"/>
    <s v="Federal"/>
  </r>
  <r>
    <x v="2"/>
    <s v="Nuevo León"/>
    <s v="19"/>
    <m/>
    <m/>
    <s v="19013"/>
    <s v="China"/>
    <x v="9"/>
    <s v="Pickup y Veh&lt;3.8Ton"/>
    <n v="2.0822936406827321"/>
    <n v="1.8477970839333462"/>
    <n v="0.13091626724280336"/>
    <n v="350.23703387327004"/>
    <n v="72.775554819659476"/>
    <n v="40.747759446716415"/>
    <n v="0.45212203672779538"/>
    <s v="Estatal"/>
  </r>
  <r>
    <x v="2"/>
    <s v="Nuevo León"/>
    <s v="19"/>
    <s v="19.01"/>
    <s v="Monterrey"/>
    <s v="19012"/>
    <s v="Ciénega de Flores"/>
    <x v="9"/>
    <s v="Motocicletas"/>
    <n v="4.405094786729858E-2"/>
    <n v="3.8968404423380738E-2"/>
    <n v="1.2387440758293842E-2"/>
    <n v="45.160553712480258"/>
    <n v="1.9084603738809902"/>
    <n v="3.4447424960505519"/>
    <n v="4.4433649289099528E-2"/>
    <s v="Estatal"/>
  </r>
  <r>
    <x v="2"/>
    <s v="Nuevo León"/>
    <s v="19"/>
    <s v="19.01"/>
    <s v="Monterrey"/>
    <s v="19012"/>
    <s v="Ciénega de Flores"/>
    <x v="9"/>
    <s v="Autos Particulares"/>
    <n v="3.021562981632008"/>
    <n v="2.672965718165937"/>
    <n v="0.15935101432492277"/>
    <n v="415.43264517035846"/>
    <n v="110.70359819992362"/>
    <n v="36.599744346866615"/>
    <n v="0.60671024310829713"/>
    <s v="Estatal"/>
  </r>
  <r>
    <x v="2"/>
    <s v="Nuevo León"/>
    <s v="19"/>
    <s v="19.01"/>
    <s v="Monterrey"/>
    <s v="19012"/>
    <s v="Ciénega de Flores"/>
    <x v="9"/>
    <s v="Taxi"/>
    <n v="0.17211974023663376"/>
    <n v="0.15226937105239749"/>
    <n v="2.9726714705097412E-2"/>
    <n v="74.900820720317824"/>
    <n v="36.826217495385102"/>
    <n v="3.4486860006523741"/>
    <n v="8.3333945779382704E-2"/>
    <s v="Estatal"/>
  </r>
  <r>
    <x v="2"/>
    <s v="Nuevo León"/>
    <s v="19"/>
    <s v="19.01"/>
    <s v="Monterrey"/>
    <s v="19012"/>
    <s v="Ciénega de Flores"/>
    <x v="9"/>
    <s v="Camionetas Particulares"/>
    <n v="0.46451765599562572"/>
    <n v="0.41163743812915765"/>
    <n v="5.4278820700787739E-2"/>
    <n v="106.5386591492783"/>
    <n v="23.739157851980735"/>
    <n v="11.600774488850538"/>
    <n v="0.1656168535101904"/>
    <s v="Estatal"/>
  </r>
  <r>
    <x v="2"/>
    <s v="Nuevo León"/>
    <s v="19"/>
    <s v="19.01"/>
    <s v="Monterrey"/>
    <s v="19012"/>
    <s v="Ciénega de Flores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12"/>
    <s v="Ciénega de Flores"/>
    <x v="9"/>
    <s v="Autobús"/>
    <n v="1.0654734996102886"/>
    <n v="0.98022018706157465"/>
    <n v="1.6426344505066252E-2"/>
    <n v="26.986563717848796"/>
    <n v="14.950513445050664"/>
    <n v="19.231227591582229"/>
    <n v="2.9333593141075594E-2"/>
    <s v="Federal"/>
  </r>
  <r>
    <x v="2"/>
    <s v="Nuevo León"/>
    <s v="19"/>
    <s v="19.01"/>
    <s v="Monterrey"/>
    <s v="19012"/>
    <s v="Ciénega de Flores"/>
    <x v="9"/>
    <s v="Veh&gt;3.8Ton"/>
    <n v="5.4746199371578914"/>
    <n v="5.0336609341926311"/>
    <n v="0.1620237257215944"/>
    <n v="257.82153343940013"/>
    <n v="102.06542372877792"/>
    <n v="169.76631869890733"/>
    <n v="0.37692911058579637"/>
    <s v="Federal"/>
  </r>
  <r>
    <x v="2"/>
    <s v="Nuevo León"/>
    <s v="19"/>
    <s v="19.01"/>
    <s v="Monterrey"/>
    <s v="19012"/>
    <s v="Ciénega de Flores"/>
    <x v="9"/>
    <s v="Tractocamiones"/>
    <n v="17.068147694996728"/>
    <n v="15.702049814288833"/>
    <n v="0.35671815599737822"/>
    <n v="684.43211142669861"/>
    <n v="300.77987939698482"/>
    <n v="564.6258365741752"/>
    <n v="0.84480773432379286"/>
    <s v="Federal"/>
  </r>
  <r>
    <x v="2"/>
    <s v="Nuevo León"/>
    <s v="19"/>
    <s v="19.01"/>
    <s v="Monterrey"/>
    <s v="19012"/>
    <s v="Ciénega de Flores"/>
    <x v="9"/>
    <s v="Pickup y Veh&lt;3.8Ton"/>
    <n v="2.3195644495530834"/>
    <n v="2.0585205602075511"/>
    <n v="0.14610287154217771"/>
    <n v="376.43900041121753"/>
    <n v="78.866997696844464"/>
    <n v="42.670837134944101"/>
    <n v="0.50874257104289378"/>
    <s v="Estatal"/>
  </r>
  <r>
    <x v="2"/>
    <s v="Nuevo León"/>
    <s v="19"/>
    <m/>
    <m/>
    <s v="19014"/>
    <s v="Doctor Arroyo"/>
    <x v="9"/>
    <s v="Motocicletas"/>
    <n v="0.27423874407582938"/>
    <n v="0.24259741969457613"/>
    <n v="7.7117890995260674E-2"/>
    <n v="281.14658438651924"/>
    <n v="11.881101347200282"/>
    <n v="21.445210637177457"/>
    <n v="0.27662124802527643"/>
    <s v="Estatal"/>
  </r>
  <r>
    <x v="2"/>
    <s v="Nuevo León"/>
    <s v="19"/>
    <m/>
    <m/>
    <s v="19014"/>
    <s v="Doctor Arroyo"/>
    <x v="9"/>
    <s v="Autos Particulares"/>
    <n v="1.7210081605286081"/>
    <n v="1.5224557097572498"/>
    <n v="9.0762429149690682E-2"/>
    <n v="236.62024483170188"/>
    <n v="63.05405416339989"/>
    <n v="20.846316650396908"/>
    <n v="0.34556727290248523"/>
    <s v="Estatal"/>
  </r>
  <r>
    <x v="2"/>
    <s v="Nuevo León"/>
    <s v="19"/>
    <m/>
    <m/>
    <s v="19014"/>
    <s v="Doctor Arroyo"/>
    <x v="9"/>
    <s v="Taxi"/>
    <n v="7.336251223200782E-2"/>
    <n v="6.4901699137087446E-2"/>
    <n v="1.2670402989057913E-2"/>
    <n v="31.924939979151858"/>
    <n v="15.696420571803486"/>
    <n v="1.469931737982979"/>
    <n v="3.5519386725638528E-2"/>
    <s v="Estatal"/>
  </r>
  <r>
    <x v="2"/>
    <s v="Nuevo León"/>
    <s v="19"/>
    <m/>
    <m/>
    <s v="19014"/>
    <s v="Doctor Arroyo"/>
    <x v="9"/>
    <s v="Camionetas Particulares"/>
    <n v="0.39423050489139583"/>
    <n v="0.34882737590639507"/>
    <n v="4.7739303018432454E-2"/>
    <n v="93.843974679028562"/>
    <n v="20.821419537735753"/>
    <n v="10.220917493771548"/>
    <n v="0.14538383677804587"/>
    <s v="Estatal"/>
  </r>
  <r>
    <x v="2"/>
    <s v="Nuevo León"/>
    <s v="19"/>
    <m/>
    <m/>
    <s v="19014"/>
    <s v="Doctor Arroyo"/>
    <x v="9"/>
    <s v="Combi"/>
    <n v="0"/>
    <n v="0"/>
    <n v="0"/>
    <n v="0"/>
    <n v="0"/>
    <n v="0"/>
    <n v="0"/>
    <s v="Estatal"/>
  </r>
  <r>
    <x v="2"/>
    <s v="Nuevo León"/>
    <s v="19"/>
    <m/>
    <m/>
    <s v="19014"/>
    <s v="Doctor Arroyo"/>
    <x v="9"/>
    <s v="Autobús"/>
    <n v="7.1031566640685911E-2"/>
    <n v="6.5348012470771641E-2"/>
    <n v="1.0950896336710835E-3"/>
    <n v="1.7991042478565862"/>
    <n v="0.99670089633671088"/>
    <n v="1.2820818394388154"/>
    <n v="1.9555728760717065E-3"/>
    <s v="Federal"/>
  </r>
  <r>
    <x v="2"/>
    <s v="Nuevo León"/>
    <s v="19"/>
    <m/>
    <m/>
    <s v="19014"/>
    <s v="Doctor Arroyo"/>
    <x v="9"/>
    <s v="Veh&gt;3.8Ton"/>
    <n v="1.2458315580319648"/>
    <n v="1.1432989396832107"/>
    <n v="5.1656092256032925E-2"/>
    <n v="134.88906239377519"/>
    <n v="24.122021934673668"/>
    <n v="59.30292047548545"/>
    <n v="0.10622691608824773"/>
    <s v="Federal"/>
  </r>
  <r>
    <x v="2"/>
    <s v="Nuevo León"/>
    <s v="19"/>
    <m/>
    <m/>
    <s v="19014"/>
    <s v="Doctor Arroyo"/>
    <x v="9"/>
    <s v="Tractocamiones"/>
    <n v="7.6883548175660926E-2"/>
    <n v="7.0729954118418176E-2"/>
    <n v="1.6068385405287307E-3"/>
    <n v="3.0830275289490934"/>
    <n v="1.35486432160804"/>
    <n v="2.5433596242079965"/>
    <n v="3.8054402447017695E-3"/>
    <s v="Federal"/>
  </r>
  <r>
    <x v="2"/>
    <s v="Nuevo León"/>
    <s v="19"/>
    <m/>
    <m/>
    <s v="19014"/>
    <s v="Doctor Arroyo"/>
    <x v="9"/>
    <s v="Pickup y Veh&lt;3.8Ton"/>
    <n v="3.2094807118596052"/>
    <n v="2.8480894260230345"/>
    <n v="0.20301232301903685"/>
    <n v="540.95695911940504"/>
    <n v="112.30082451620653"/>
    <n v="62.693985248245944"/>
    <n v="0.70368797227346436"/>
    <s v="Estatal"/>
  </r>
  <r>
    <x v="2"/>
    <s v="Nuevo León"/>
    <s v="19"/>
    <m/>
    <m/>
    <s v="19015"/>
    <s v="Doctor Coss"/>
    <x v="9"/>
    <s v="Motocicletas"/>
    <n v="0"/>
    <n v="0"/>
    <n v="0"/>
    <n v="0"/>
    <n v="0"/>
    <n v="0"/>
    <n v="0"/>
    <s v="Estatal"/>
  </r>
  <r>
    <x v="2"/>
    <s v="Nuevo León"/>
    <s v="19"/>
    <m/>
    <m/>
    <s v="19015"/>
    <s v="Doctor Coss"/>
    <x v="9"/>
    <s v="Autos Particulares"/>
    <n v="0.15559149001328343"/>
    <n v="0.13764092338040007"/>
    <n v="8.2055750300962602E-3"/>
    <n v="21.392168442341575"/>
    <n v="5.7005390582507829"/>
    <n v="1.8846566467922667"/>
    <n v="3.1241761732384792E-2"/>
    <s v="Estatal"/>
  </r>
  <r>
    <x v="2"/>
    <s v="Nuevo León"/>
    <s v="19"/>
    <m/>
    <m/>
    <s v="19015"/>
    <s v="Doctor Coss"/>
    <x v="9"/>
    <s v="Taxi"/>
    <n v="2.8216350858464548E-3"/>
    <n v="2.4962191975802864E-3"/>
    <n v="4.8732319188684285E-4"/>
    <n v="1.2278823068904563"/>
    <n v="0.60370848353090334"/>
    <n v="5.6535836076268428E-2"/>
    <n v="1.366130258678405E-3"/>
    <s v="Estatal"/>
  </r>
  <r>
    <x v="2"/>
    <s v="Nuevo León"/>
    <s v="19"/>
    <m/>
    <m/>
    <s v="19015"/>
    <s v="Doctor Coss"/>
    <x v="9"/>
    <s v="Camionetas Particulares"/>
    <n v="1.9197311542537541E-2"/>
    <n v="1.6986376565876631E-2"/>
    <n v="2.3246964948106237E-3"/>
    <n v="4.5697935495874775"/>
    <n v="1.0139126035766974"/>
    <n v="0.49771424317496232"/>
    <n v="7.0795607474526678E-3"/>
    <s v="Estatal"/>
  </r>
  <r>
    <x v="2"/>
    <s v="Nuevo León"/>
    <s v="19"/>
    <m/>
    <m/>
    <s v="19015"/>
    <s v="Doctor Coss"/>
    <x v="9"/>
    <s v="Combi"/>
    <n v="0"/>
    <n v="0"/>
    <n v="0"/>
    <n v="0"/>
    <n v="0"/>
    <n v="0"/>
    <n v="0"/>
    <s v="Estatal"/>
  </r>
  <r>
    <x v="2"/>
    <s v="Nuevo León"/>
    <s v="19"/>
    <m/>
    <m/>
    <s v="19015"/>
    <s v="Doctor Coss"/>
    <x v="9"/>
    <s v="Autobús"/>
    <n v="0"/>
    <n v="0"/>
    <n v="0"/>
    <n v="0"/>
    <n v="0"/>
    <n v="0"/>
    <n v="0"/>
    <s v="Federal"/>
  </r>
  <r>
    <x v="2"/>
    <s v="Nuevo León"/>
    <s v="19"/>
    <m/>
    <m/>
    <s v="19015"/>
    <s v="Doctor Coss"/>
    <x v="9"/>
    <s v="Veh&gt;3.8Ton"/>
    <n v="0.11699891199674588"/>
    <n v="0.10753989203451049"/>
    <n v="3.7008663341875007E-3"/>
    <n v="6.7106663453146815"/>
    <n v="2.1886693750492872"/>
    <n v="3.9611575338605673"/>
    <n v="8.2439158152274195E-3"/>
    <s v="Federal"/>
  </r>
  <r>
    <x v="2"/>
    <s v="Nuevo León"/>
    <s v="19"/>
    <m/>
    <m/>
    <s v="19015"/>
    <s v="Doctor Coss"/>
    <x v="9"/>
    <s v="Tractocamiones"/>
    <n v="0.17939494574320883"/>
    <n v="0.16503655960964239"/>
    <n v="3.749289927900371E-3"/>
    <n v="7.193730900881218"/>
    <n v="3.1613500837520934"/>
    <n v="5.9345057898186582"/>
    <n v="8.8793605709707943E-3"/>
    <s v="Federal"/>
  </r>
  <r>
    <x v="2"/>
    <s v="Nuevo León"/>
    <s v="19"/>
    <m/>
    <m/>
    <s v="19015"/>
    <s v="Doctor Coss"/>
    <x v="9"/>
    <s v="Pickup y Veh&lt;3.8Ton"/>
    <n v="0.31736081335309713"/>
    <n v="0.28021901687272477"/>
    <n v="2.2745935192348216E-2"/>
    <n v="61.247407461422796"/>
    <n v="12.488081491335411"/>
    <n v="7.1395657763605849"/>
    <n v="7.827739923749831E-2"/>
    <s v="Estatal"/>
  </r>
  <r>
    <x v="2"/>
    <s v="Nuevo León"/>
    <s v="19"/>
    <m/>
    <m/>
    <s v="19016"/>
    <s v="Doctor González"/>
    <x v="9"/>
    <s v="Motocicletas"/>
    <n v="2.5912322274881513E-3"/>
    <n v="2.2922590837282783E-3"/>
    <n v="7.2867298578199063E-4"/>
    <n v="2.656503159557662"/>
    <n v="0.1122623749341759"/>
    <n v="0.20263191153238541"/>
    <n v="2.6137440758293843E-3"/>
    <s v="Estatal"/>
  </r>
  <r>
    <x v="2"/>
    <s v="Nuevo León"/>
    <s v="19"/>
    <m/>
    <m/>
    <s v="19016"/>
    <s v="Doctor González"/>
    <x v="9"/>
    <s v="Autos Particulares"/>
    <n v="0.36700588102369897"/>
    <n v="0.32466446812628719"/>
    <n v="1.9355134994654539E-2"/>
    <n v="50.459389684607224"/>
    <n v="13.446309687019026"/>
    <n v="4.4454878157161097"/>
    <n v="7.3692399811503065E-2"/>
    <s v="Estatal"/>
  </r>
  <r>
    <x v="2"/>
    <s v="Nuevo León"/>
    <s v="19"/>
    <m/>
    <m/>
    <s v="19016"/>
    <s v="Doctor González"/>
    <x v="9"/>
    <s v="Taxi"/>
    <n v="2.8216350858464548E-3"/>
    <n v="2.4962191975802864E-3"/>
    <n v="4.8732319188684285E-4"/>
    <n v="1.2278823068904563"/>
    <n v="0.60370848353090334"/>
    <n v="5.6535836076268428E-2"/>
    <n v="1.366130258678405E-3"/>
    <s v="Estatal"/>
  </r>
  <r>
    <x v="2"/>
    <s v="Nuevo León"/>
    <s v="19"/>
    <m/>
    <m/>
    <s v="19016"/>
    <s v="Doctor González"/>
    <x v="9"/>
    <s v="Camionetas Particulares"/>
    <n v="5.0735751933849209E-2"/>
    <n v="4.489256663838824E-2"/>
    <n v="6.1438407362852205E-3"/>
    <n v="12.077311523909763"/>
    <n v="2.6796261665955572"/>
    <n v="1.3153876426766862"/>
    <n v="1.8710267689696337E-2"/>
    <s v="Estatal"/>
  </r>
  <r>
    <x v="2"/>
    <s v="Nuevo León"/>
    <s v="19"/>
    <m/>
    <m/>
    <s v="19016"/>
    <s v="Doctor González"/>
    <x v="9"/>
    <s v="Combi"/>
    <n v="0"/>
    <n v="0"/>
    <n v="0"/>
    <n v="0"/>
    <n v="0"/>
    <n v="0"/>
    <n v="0"/>
    <s v="Estatal"/>
  </r>
  <r>
    <x v="2"/>
    <s v="Nuevo León"/>
    <s v="19"/>
    <m/>
    <m/>
    <s v="19016"/>
    <s v="Doctor González"/>
    <x v="9"/>
    <s v="Autobús"/>
    <n v="0.14206313328137182"/>
    <n v="0.13069602494154328"/>
    <n v="2.1901792673421671E-3"/>
    <n v="3.5982084957131724"/>
    <n v="1.9934017926734218"/>
    <n v="2.5641636788776307"/>
    <n v="3.9111457521434131E-3"/>
    <s v="Federal"/>
  </r>
  <r>
    <x v="2"/>
    <s v="Nuevo León"/>
    <s v="19"/>
    <m/>
    <m/>
    <s v="19016"/>
    <s v="Doctor González"/>
    <x v="9"/>
    <s v="Veh&gt;3.8Ton"/>
    <n v="0.30832187444610215"/>
    <n v="0.28325253149779944"/>
    <n v="1.0716081564744165E-2"/>
    <n v="22.673371370862647"/>
    <n v="5.8319241971977718"/>
    <n v="11.785456727484144"/>
    <n v="2.3175448798360913E-2"/>
    <s v="Federal"/>
  </r>
  <r>
    <x v="2"/>
    <s v="Nuevo León"/>
    <s v="19"/>
    <m/>
    <m/>
    <s v="19016"/>
    <s v="Doctor González"/>
    <x v="9"/>
    <s v="Tractocamiones"/>
    <n v="0.17939494574320883"/>
    <n v="0.16503655960964239"/>
    <n v="3.749289927900371E-3"/>
    <n v="7.193730900881218"/>
    <n v="3.1613500837520934"/>
    <n v="5.9345057898186582"/>
    <n v="8.8793605709707943E-3"/>
    <s v="Federal"/>
  </r>
  <r>
    <x v="2"/>
    <s v="Nuevo León"/>
    <s v="19"/>
    <m/>
    <m/>
    <s v="19016"/>
    <s v="Doctor González"/>
    <x v="9"/>
    <s v="Pickup y Veh&lt;3.8Ton"/>
    <n v="0.32885314852814213"/>
    <n v="0.29019446612910188"/>
    <n v="2.4076787110171933E-2"/>
    <n v="64.378002834168484"/>
    <n v="13.090246077928089"/>
    <n v="7.4688193770099112"/>
    <n v="8.2835025516748928E-2"/>
    <s v="Estatal"/>
  </r>
  <r>
    <x v="2"/>
    <s v="Nuevo León"/>
    <s v="19"/>
    <s v="19.01"/>
    <s v="Monterrey"/>
    <s v="19010"/>
    <s v="El Carmen"/>
    <x v="9"/>
    <s v="Motocicletas"/>
    <n v="0.27227000000000001"/>
    <n v="0.111412"/>
    <n v="5.9903353310107176E-2"/>
    <n v="61.226728166113617"/>
    <n v="2.9416507994621957"/>
    <n v="27.7055984446358"/>
    <n v="0.42684813907572844"/>
    <s v="Estatal"/>
  </r>
  <r>
    <x v="2"/>
    <s v="Nuevo León"/>
    <s v="19"/>
    <s v="19.01"/>
    <s v="Monterrey"/>
    <s v="19010"/>
    <s v="El Carmen"/>
    <x v="9"/>
    <s v="Autos Particulares"/>
    <n v="1.745082464676585"/>
    <n v="0.47372128804879449"/>
    <n v="0.24769762640538945"/>
    <n v="150.48070390358393"/>
    <n v="24.654127762088997"/>
    <n v="23.846687772313828"/>
    <n v="0.94101956316217916"/>
    <s v="Estatal"/>
  </r>
  <r>
    <x v="2"/>
    <s v="Nuevo León"/>
    <s v="19"/>
    <s v="19.01"/>
    <s v="Monterrey"/>
    <s v="19010"/>
    <s v="El Carmen"/>
    <x v="9"/>
    <s v="Taxi"/>
    <n v="5.8141928421838511E-2"/>
    <n v="1.5789988906643404E-2"/>
    <n v="5.338957316682269E-2"/>
    <n v="17.494548843951545"/>
    <n v="3.8563400682754558"/>
    <n v="1.5739441766411244"/>
    <n v="0.14983257184254489"/>
    <s v="Estatal"/>
  </r>
  <r>
    <x v="2"/>
    <s v="Nuevo León"/>
    <s v="19"/>
    <s v="19.01"/>
    <s v="Monterrey"/>
    <s v="19010"/>
    <s v="El Carmen"/>
    <x v="9"/>
    <s v="Camionetas Particulares"/>
    <n v="4.0706397411449197E-4"/>
    <n v="3.6884308120338201E-4"/>
    <n v="1.7820788093108811E-4"/>
    <n v="0.10619427387718476"/>
    <n v="2.6440911160245606E-2"/>
    <n v="1.4561920601122125E-2"/>
    <n v="5.9114602275790165E-4"/>
    <s v="Estatal"/>
  </r>
  <r>
    <x v="2"/>
    <s v="Nuevo León"/>
    <s v="19"/>
    <s v="19.01"/>
    <s v="Monterrey"/>
    <s v="19010"/>
    <s v="El Carmen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10"/>
    <s v="El Carmen"/>
    <x v="9"/>
    <s v="Autobús"/>
    <n v="3.1664556277653473"/>
    <n v="2.3139636420615974"/>
    <n v="8.4348663761244183E-2"/>
    <n v="16.766229881938276"/>
    <n v="45.684103257357044"/>
    <n v="2.7389597998052353"/>
    <n v="0.11609602502388836"/>
    <s v="Federal"/>
  </r>
  <r>
    <x v="2"/>
    <s v="Nuevo León"/>
    <s v="19"/>
    <s v="19.01"/>
    <s v="Monterrey"/>
    <s v="19010"/>
    <s v="El Carmen"/>
    <x v="9"/>
    <s v="Veh&gt;3.8Ton"/>
    <n v="0.15688028660961034"/>
    <n v="9.8651915409338431E-2"/>
    <n v="3.6254757999968634E-3"/>
    <n v="0.68227829057215716"/>
    <n v="1.8644785227781517"/>
    <n v="0.51975511790439999"/>
    <n v="9.6472934585697216E-3"/>
    <s v="Federal"/>
  </r>
  <r>
    <x v="2"/>
    <s v="Nuevo León"/>
    <s v="19"/>
    <s v="19.01"/>
    <s v="Monterrey"/>
    <s v="19010"/>
    <s v="El Carmen"/>
    <x v="9"/>
    <s v="Tractocamiones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9"/>
    <s v="Pickup y Veh&lt;3.8Ton"/>
    <n v="1.011200658529172"/>
    <n v="0.40525564075484577"/>
    <n v="0.15524492085254119"/>
    <n v="104.28453856514405"/>
    <n v="23.773506049502515"/>
    <n v="15.22973599336666"/>
    <n v="0.51717167623674021"/>
    <s v="Estatal"/>
  </r>
  <r>
    <x v="2"/>
    <s v="Nuevo León"/>
    <s v="19"/>
    <m/>
    <m/>
    <s v="19017"/>
    <s v="Galeana"/>
    <x v="9"/>
    <s v="Motocicletas"/>
    <n v="1.8138625592417062E-2"/>
    <n v="1.604581358609795E-2"/>
    <n v="5.1007109004739346E-3"/>
    <n v="18.595522116903634"/>
    <n v="0.78583662453923109"/>
    <n v="1.4184233807266977"/>
    <n v="1.8296208530805689E-2"/>
    <s v="Estatal"/>
  </r>
  <r>
    <x v="2"/>
    <s v="Nuevo León"/>
    <s v="19"/>
    <m/>
    <m/>
    <s v="19017"/>
    <s v="Galeana"/>
    <x v="9"/>
    <s v="Autos Particulares"/>
    <n v="2.3398109566883076"/>
    <n v="2.0698673210640313"/>
    <n v="0.12339681533808881"/>
    <n v="321.69902161383891"/>
    <n v="85.725663700412554"/>
    <n v="28.341783161685228"/>
    <n v="0.46981885963967962"/>
    <s v="Estatal"/>
  </r>
  <r>
    <x v="2"/>
    <s v="Nuevo León"/>
    <s v="19"/>
    <m/>
    <m/>
    <s v="19017"/>
    <s v="Galeana"/>
    <x v="9"/>
    <s v="Taxi"/>
    <n v="9.8757228004625927E-2"/>
    <n v="8.7367671915310016E-2"/>
    <n v="1.7056311716039496E-2"/>
    <n v="42.975880741165966"/>
    <n v="21.129796923581612"/>
    <n v="1.9787542626693948"/>
    <n v="4.7814559053744175E-2"/>
    <s v="Estatal"/>
  </r>
  <r>
    <x v="2"/>
    <s v="Nuevo León"/>
    <s v="19"/>
    <m/>
    <m/>
    <s v="19017"/>
    <s v="Galeana"/>
    <x v="9"/>
    <s v="Camionetas Particulares"/>
    <n v="0.4298826548989656"/>
    <n v="0.38037350381445167"/>
    <n v="5.2056596508795051E-2"/>
    <n v="102.33073412826243"/>
    <n v="22.704400087235332"/>
    <n v="11.145243945382191"/>
    <n v="0.15853159245188655"/>
    <s v="Estatal"/>
  </r>
  <r>
    <x v="2"/>
    <s v="Nuevo León"/>
    <s v="19"/>
    <m/>
    <m/>
    <s v="19017"/>
    <s v="Galeana"/>
    <x v="9"/>
    <s v="Combi"/>
    <n v="0"/>
    <n v="0"/>
    <n v="0"/>
    <n v="0"/>
    <n v="0"/>
    <n v="0"/>
    <n v="0"/>
    <s v="Estatal"/>
  </r>
  <r>
    <x v="2"/>
    <s v="Nuevo León"/>
    <s v="19"/>
    <m/>
    <m/>
    <s v="19017"/>
    <s v="Galeana"/>
    <x v="9"/>
    <s v="Autobús"/>
    <n v="0.71031566640685906"/>
    <n v="0.65348012470771644"/>
    <n v="1.0950896336710834E-2"/>
    <n v="17.991042478565863"/>
    <n v="9.9670089633671086"/>
    <n v="12.820818394388153"/>
    <n v="1.9555728760717067E-2"/>
    <s v="Federal"/>
  </r>
  <r>
    <x v="2"/>
    <s v="Nuevo León"/>
    <s v="19"/>
    <m/>
    <m/>
    <s v="19017"/>
    <s v="Galeana"/>
    <x v="9"/>
    <s v="Veh&gt;3.8Ton"/>
    <n v="1.6461547825930898"/>
    <n v="1.5103619852158121"/>
    <n v="7.0374361699389085E-2"/>
    <n v="189.5193053950741"/>
    <n v="32.093710649920467"/>
    <n v="81.322006603218327"/>
    <n v="0.14514560555580672"/>
    <s v="Federal"/>
  </r>
  <r>
    <x v="2"/>
    <s v="Nuevo León"/>
    <s v="19"/>
    <m/>
    <m/>
    <s v="19017"/>
    <s v="Galeana"/>
    <x v="9"/>
    <s v="Tractocamiones"/>
    <n v="0.97385827689170512"/>
    <n v="0.89591275216663024"/>
    <n v="2.0353288180030588E-2"/>
    <n v="39.051682033355178"/>
    <n v="17.161614740368503"/>
    <n v="32.215888573301285"/>
    <n v="4.8202243099555751E-2"/>
    <s v="Federal"/>
  </r>
  <r>
    <x v="2"/>
    <s v="Nuevo León"/>
    <s v="19"/>
    <m/>
    <m/>
    <s v="19017"/>
    <s v="Galeana"/>
    <x v="9"/>
    <s v="Pickup y Veh&lt;3.8Ton"/>
    <n v="3.3288631323914624"/>
    <n v="2.9531516249921586"/>
    <n v="0.21291351705558564"/>
    <n v="567.01218891939402"/>
    <n v="117.59541378481239"/>
    <n v="65.566459686542686"/>
    <n v="0.7438950982817778"/>
    <s v="Estatal"/>
  </r>
  <r>
    <x v="2"/>
    <s v="Nuevo León"/>
    <s v="19"/>
    <s v="19.01"/>
    <s v="Monterrey"/>
    <s v="19018"/>
    <s v="García"/>
    <x v="9"/>
    <s v="Motocicletas"/>
    <n v="0.36752310426540291"/>
    <n v="0.3251187467087942"/>
    <n v="0.10335011848341236"/>
    <n v="376.78069813059506"/>
    <n v="15.922546844830611"/>
    <n v="28.739959452343331"/>
    <n v="0.37071603475513432"/>
    <s v="Estatal"/>
  </r>
  <r>
    <x v="2"/>
    <s v="Nuevo León"/>
    <s v="19"/>
    <s v="19.01"/>
    <s v="Monterrey"/>
    <s v="19018"/>
    <s v="García"/>
    <x v="9"/>
    <s v="Autos Particulares"/>
    <n v="13.786641168616597"/>
    <n v="12.196152126044883"/>
    <n v="0.72720622453169503"/>
    <n v="1896.2428071582897"/>
    <n v="505.34140553719709"/>
    <n v="166.9778383496477"/>
    <n v="2.7684628747749644"/>
    <s v="Estatal"/>
  </r>
  <r>
    <x v="2"/>
    <s v="Nuevo León"/>
    <s v="19"/>
    <s v="19.01"/>
    <s v="Monterrey"/>
    <s v="19018"/>
    <s v="García"/>
    <x v="9"/>
    <s v="Taxi"/>
    <n v="0.81686335735254867"/>
    <n v="0.72265545769949291"/>
    <n v="0.14108006405124099"/>
    <n v="355.4719278447871"/>
    <n v="174.77360598219656"/>
    <n v="16.367124544079712"/>
    <n v="0.39549470988739821"/>
    <s v="Estatal"/>
  </r>
  <r>
    <x v="2"/>
    <s v="Nuevo León"/>
    <s v="19"/>
    <s v="19.01"/>
    <s v="Monterrey"/>
    <s v="19018"/>
    <s v="García"/>
    <x v="9"/>
    <s v="Camionetas Particulares"/>
    <n v="1.9928058924081087"/>
    <n v="1.7663855074962649"/>
    <n v="0.23145913871808477"/>
    <n v="454.19077084097802"/>
    <n v="101.27821917703255"/>
    <n v="49.45385276685424"/>
    <n v="0.70646752756792586"/>
    <s v="Estatal"/>
  </r>
  <r>
    <x v="2"/>
    <s v="Nuevo León"/>
    <s v="19"/>
    <s v="19.01"/>
    <s v="Monterrey"/>
    <s v="19018"/>
    <s v="García"/>
    <x v="9"/>
    <s v="Combi"/>
    <n v="4.0946934547573324E-2"/>
    <n v="3.6137639775399522E-2"/>
    <n v="3.4471344808019674E-3"/>
    <n v="6.456496208191961"/>
    <n v="1.6213859214157524"/>
    <n v="0.56731728958883776"/>
    <n v="1.2700964630225083E-2"/>
    <s v="Estatal"/>
  </r>
  <r>
    <x v="2"/>
    <s v="Nuevo León"/>
    <s v="19"/>
    <s v="19.01"/>
    <s v="Monterrey"/>
    <s v="19018"/>
    <s v="García"/>
    <x v="9"/>
    <s v="Autobús"/>
    <n v="8.1686301636788787"/>
    <n v="7.5150214341387382"/>
    <n v="0.12593530787217461"/>
    <n v="206.89698850350743"/>
    <n v="114.62060307872177"/>
    <n v="147.43941153546373"/>
    <n v="0.22489088074824626"/>
    <s v="Federal"/>
  </r>
  <r>
    <x v="2"/>
    <s v="Nuevo León"/>
    <s v="19"/>
    <s v="19.01"/>
    <s v="Monterrey"/>
    <s v="19018"/>
    <s v="García"/>
    <x v="9"/>
    <s v="Veh&gt;3.8Ton"/>
    <n v="5.6601410249998318"/>
    <n v="5.2010092341715621"/>
    <n v="0.18936118149660713"/>
    <n v="379.33792362063065"/>
    <n v="106.88795028714611"/>
    <n v="206.06178097652159"/>
    <n v="0.42073658948685067"/>
    <s v="Federal"/>
  </r>
  <r>
    <x v="2"/>
    <s v="Nuevo León"/>
    <s v="19"/>
    <s v="19.01"/>
    <s v="Monterrey"/>
    <s v="19018"/>
    <s v="García"/>
    <x v="9"/>
    <s v="Tractocamiones"/>
    <n v="8.6365852450659109"/>
    <n v="7.9453315126356419"/>
    <n v="0.18050152938606076"/>
    <n v="346.32675908528142"/>
    <n v="152.1964254606365"/>
    <n v="285.70406445269828"/>
    <n v="0.42747778748816551"/>
    <s v="Federal"/>
  </r>
  <r>
    <x v="2"/>
    <s v="Nuevo León"/>
    <s v="19"/>
    <s v="19.01"/>
    <s v="Monterrey"/>
    <s v="19018"/>
    <s v="García"/>
    <x v="9"/>
    <s v="Pickup y Veh&lt;3.8Ton"/>
    <n v="5.7122871999476743"/>
    <n v="5.0699651134923798"/>
    <n v="0.3594344084406077"/>
    <n v="931.85097085578548"/>
    <n v="195.01085619807697"/>
    <n v="105.93369610154691"/>
    <n v="1.2569202927419658"/>
    <s v="Estatal"/>
  </r>
  <r>
    <x v="2"/>
    <s v="Nuevo León"/>
    <s v="19"/>
    <m/>
    <m/>
    <s v="19020"/>
    <s v="General Bravo"/>
    <x v="9"/>
    <s v="Motocicletas"/>
    <n v="2.1593601895734597E-3"/>
    <n v="1.9102159031068986E-3"/>
    <n v="6.0722748815165897E-4"/>
    <n v="2.2137526329647188"/>
    <n v="9.3551979111813247E-2"/>
    <n v="0.16885992627698787"/>
    <n v="2.1781200631911532E-3"/>
    <s v="Estatal"/>
  </r>
  <r>
    <x v="2"/>
    <s v="Nuevo León"/>
    <s v="19"/>
    <m/>
    <m/>
    <s v="19020"/>
    <s v="General Bravo"/>
    <x v="9"/>
    <s v="Autos Particulares"/>
    <n v="0.50478155156981253"/>
    <n v="0.44654498043259566"/>
    <n v="2.6621140364816109E-2"/>
    <n v="69.40207319080281"/>
    <n v="18.494115265317426"/>
    <n v="6.1143440831046831"/>
    <n v="0.10135686058216439"/>
    <s v="Estatal"/>
  </r>
  <r>
    <x v="2"/>
    <s v="Nuevo León"/>
    <s v="19"/>
    <m/>
    <m/>
    <s v="19020"/>
    <s v="General Bravo"/>
    <x v="9"/>
    <s v="Taxi"/>
    <n v="0"/>
    <n v="0"/>
    <n v="0"/>
    <n v="0"/>
    <n v="0"/>
    <n v="0"/>
    <n v="0"/>
    <s v="Estatal"/>
  </r>
  <r>
    <x v="2"/>
    <s v="Nuevo León"/>
    <s v="19"/>
    <m/>
    <m/>
    <s v="19020"/>
    <s v="General Bravo"/>
    <x v="9"/>
    <s v="Camionetas Particulares"/>
    <n v="8.1588574055784541E-2"/>
    <n v="7.2192100404975659E-2"/>
    <n v="9.8799601029451525E-3"/>
    <n v="19.421622585746782"/>
    <n v="4.3091285652009645"/>
    <n v="2.1152855334935898"/>
    <n v="3.0088133176673845E-2"/>
    <s v="Estatal"/>
  </r>
  <r>
    <x v="2"/>
    <s v="Nuevo León"/>
    <s v="19"/>
    <m/>
    <m/>
    <s v="19020"/>
    <s v="General Bravo"/>
    <x v="9"/>
    <s v="Combi"/>
    <n v="0"/>
    <n v="0"/>
    <n v="0"/>
    <n v="0"/>
    <n v="0"/>
    <n v="0"/>
    <n v="0"/>
    <s v="Estatal"/>
  </r>
  <r>
    <x v="2"/>
    <s v="Nuevo León"/>
    <s v="19"/>
    <m/>
    <m/>
    <s v="19020"/>
    <s v="General Bravo"/>
    <x v="9"/>
    <s v="Autobús"/>
    <n v="0.42618939984411547"/>
    <n v="0.39208807482462987"/>
    <n v="6.5705378020265012E-3"/>
    <n v="10.794625487139516"/>
    <n v="5.9802053780202646"/>
    <n v="7.6924910366328927"/>
    <n v="1.1733437256430237E-2"/>
    <s v="Federal"/>
  </r>
  <r>
    <x v="2"/>
    <s v="Nuevo León"/>
    <s v="19"/>
    <m/>
    <m/>
    <s v="19020"/>
    <s v="General Bravo"/>
    <x v="9"/>
    <s v="Veh&gt;3.8Ton"/>
    <n v="1.0618288578019193"/>
    <n v="0.97567791161360629"/>
    <n v="3.5651716498808932E-2"/>
    <n v="71.593794692927432"/>
    <n v="20.000989708449925"/>
    <n v="38.835661674987975"/>
    <n v="7.7926530220124524E-2"/>
    <s v="Federal"/>
  </r>
  <r>
    <x v="2"/>
    <s v="Nuevo León"/>
    <s v="19"/>
    <m/>
    <m/>
    <s v="19020"/>
    <s v="General Bravo"/>
    <x v="9"/>
    <s v="Tractocamiones"/>
    <n v="0.74320763236472231"/>
    <n v="0.68372288981137574"/>
    <n v="1.5532772558444395E-2"/>
    <n v="29.802599446507898"/>
    <n v="13.097021775544384"/>
    <n v="24.585809700677295"/>
    <n v="3.6785922365450439E-2"/>
    <s v="Federal"/>
  </r>
  <r>
    <x v="2"/>
    <s v="Nuevo León"/>
    <s v="19"/>
    <m/>
    <m/>
    <s v="19020"/>
    <s v="General Bravo"/>
    <x v="9"/>
    <s v="Pickup y Veh&lt;3.8Ton"/>
    <n v="1.4429782314417223"/>
    <n v="1.2841085932139515"/>
    <n v="8.1609810348748729E-2"/>
    <n v="213.61094544602284"/>
    <n v="45.55982144144987"/>
    <n v="24.546280416959608"/>
    <n v="0.28311603942121655"/>
    <s v="Estatal"/>
  </r>
  <r>
    <x v="2"/>
    <s v="Nuevo León"/>
    <s v="19"/>
    <s v="19.01"/>
    <s v="Monterrey"/>
    <s v="19021"/>
    <s v="General Escobedo"/>
    <x v="9"/>
    <s v="Motocicletas"/>
    <n v="1.1513708530805689"/>
    <n v="1.0185271195365984"/>
    <n v="0.32377369668246458"/>
    <n v="1180.3729038967879"/>
    <n v="49.881915262418829"/>
    <n v="90.036112690889922"/>
    <n v="1.161373617693523"/>
    <s v="Estatal"/>
  </r>
  <r>
    <x v="2"/>
    <s v="Nuevo León"/>
    <s v="19"/>
    <s v="19.01"/>
    <s v="Monterrey"/>
    <s v="19021"/>
    <s v="General Escobedo"/>
    <x v="9"/>
    <s v="Autos Particulares"/>
    <n v="45.226906448256187"/>
    <n v="40.009362746244399"/>
    <n v="2.3856531950818094"/>
    <n v="6220.9564089007217"/>
    <n v="1657.8778778967787"/>
    <n v="547.76008925943177"/>
    <n v="9.082003537084784"/>
    <s v="Estatal"/>
  </r>
  <r>
    <x v="2"/>
    <s v="Nuevo León"/>
    <s v="19"/>
    <s v="19.01"/>
    <s v="Monterrey"/>
    <s v="19021"/>
    <s v="General Escobedo"/>
    <x v="9"/>
    <s v="Taxi"/>
    <n v="2.2036970020460811"/>
    <n v="1.949547193310204"/>
    <n v="0.3805994128636242"/>
    <n v="958.9760816814462"/>
    <n v="471.49632563763555"/>
    <n v="44.154487975565637"/>
    <n v="1.0669477320278344"/>
    <s v="Estatal"/>
  </r>
  <r>
    <x v="2"/>
    <s v="Nuevo León"/>
    <s v="19"/>
    <s v="19.01"/>
    <s v="Monterrey"/>
    <s v="19021"/>
    <s v="General Escobedo"/>
    <x v="9"/>
    <s v="Camionetas Particulares"/>
    <n v="8.0713238369613816"/>
    <n v="7.1541138506499884"/>
    <n v="0.93795818659528019"/>
    <n v="1840.591292586761"/>
    <n v="410.39970671249449"/>
    <n v="200.41063533540068"/>
    <n v="2.8627849627405642"/>
    <s v="Estatal"/>
  </r>
  <r>
    <x v="2"/>
    <s v="Nuevo León"/>
    <s v="19"/>
    <s v="19.01"/>
    <s v="Monterrey"/>
    <s v="19021"/>
    <s v="General Escobedo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21"/>
    <s v="General Escobedo"/>
    <x v="9"/>
    <s v="Autobús"/>
    <n v="19.320586126266569"/>
    <n v="17.774659392049887"/>
    <n v="0.29786438035853463"/>
    <n v="489.35635541699139"/>
    <n v="271.10264380358535"/>
    <n v="348.72626032735775"/>
    <n v="0.53191582229150425"/>
    <s v="Federal"/>
  </r>
  <r>
    <x v="2"/>
    <s v="Nuevo León"/>
    <s v="19"/>
    <s v="19.01"/>
    <s v="Monterrey"/>
    <s v="19021"/>
    <s v="General Escobedo"/>
    <x v="9"/>
    <s v="Veh&gt;3.8Ton"/>
    <n v="25.881847671775951"/>
    <n v="23.786893767010842"/>
    <n v="0.83547499184955021"/>
    <n v="1585.2907102536085"/>
    <n v="488.20289041210594"/>
    <n v="899.73800211428306"/>
    <n v="1.9170707627968915"/>
    <s v="Federal"/>
  </r>
  <r>
    <x v="2"/>
    <s v="Nuevo León"/>
    <s v="19"/>
    <s v="19.01"/>
    <s v="Monterrey"/>
    <s v="19021"/>
    <s v="General Escobedo"/>
    <x v="9"/>
    <s v="Tractocamiones"/>
    <n v="40.902047629451616"/>
    <n v="37.628335590998468"/>
    <n v="0.85483810356128476"/>
    <n v="1640.1706454009179"/>
    <n v="720.78781909547718"/>
    <n v="1353.0673200786539"/>
    <n v="2.0244942101813415"/>
    <s v="Federal"/>
  </r>
  <r>
    <x v="2"/>
    <s v="Nuevo León"/>
    <s v="19"/>
    <s v="19.01"/>
    <s v="Monterrey"/>
    <s v="19021"/>
    <s v="General Escobedo"/>
    <x v="9"/>
    <s v="Pickup y Veh&lt;3.8Ton"/>
    <n v="25.693675800007817"/>
    <n v="22.808135684006047"/>
    <n v="1.6067820157684163"/>
    <n v="4160.1733408938117"/>
    <n v="872.27649883558297"/>
    <n v="472.3955584954569"/>
    <n v="5.6337976295758487"/>
    <s v="Estatal"/>
  </r>
  <r>
    <x v="2"/>
    <s v="Nuevo León"/>
    <s v="19"/>
    <m/>
    <m/>
    <s v="19022"/>
    <s v="General Terán"/>
    <x v="9"/>
    <s v="Motocicletas"/>
    <n v="2.5048578199052131E-2"/>
    <n v="2.2158504476040022E-2"/>
    <n v="7.0438388625592421E-3"/>
    <n v="25.679530542390733"/>
    <n v="1.0852029576970337"/>
    <n v="1.9587751448130593"/>
    <n v="2.5266192733017379E-2"/>
    <s v="Estatal"/>
  </r>
  <r>
    <x v="2"/>
    <s v="Nuevo León"/>
    <s v="19"/>
    <m/>
    <m/>
    <s v="19022"/>
    <s v="General Terán"/>
    <x v="9"/>
    <s v="Autos Particulares"/>
    <n v="1.5879833751737398"/>
    <n v="1.4047779737373658"/>
    <n v="8.3746975688845038E-2"/>
    <n v="218.3307573084785"/>
    <n v="58.18031084642211"/>
    <n v="19.23500715084932"/>
    <n v="0.31885675905495009"/>
    <s v="Estatal"/>
  </r>
  <r>
    <x v="2"/>
    <s v="Nuevo León"/>
    <s v="19"/>
    <m/>
    <m/>
    <s v="19022"/>
    <s v="General Terán"/>
    <x v="9"/>
    <s v="Taxi"/>
    <n v="5.7843519259852316E-2"/>
    <n v="5.1172493550395881E-2"/>
    <n v="9.9901254336802782E-3"/>
    <n v="25.171587291254351"/>
    <n v="12.376023912383518"/>
    <n v="1.1589846395635028"/>
    <n v="2.80056703029073E-2"/>
    <s v="Estatal"/>
  </r>
  <r>
    <x v="2"/>
    <s v="Nuevo León"/>
    <s v="19"/>
    <m/>
    <m/>
    <s v="19022"/>
    <s v="General Terán"/>
    <x v="9"/>
    <s v="Camionetas Particulares"/>
    <n v="0.27424730775053624"/>
    <n v="0.24266252236966615"/>
    <n v="3.3209949925866053E-2"/>
    <n v="65.282764994106813"/>
    <n v="14.48446576538139"/>
    <n v="7.1102034739280322"/>
    <n v="0.1011365821064667"/>
    <s v="Estatal"/>
  </r>
  <r>
    <x v="2"/>
    <s v="Nuevo León"/>
    <s v="19"/>
    <m/>
    <m/>
    <s v="19022"/>
    <s v="General Terán"/>
    <x v="9"/>
    <s v="Combi"/>
    <n v="0"/>
    <n v="0"/>
    <n v="0"/>
    <n v="0"/>
    <n v="0"/>
    <n v="0"/>
    <n v="0"/>
    <s v="Estatal"/>
  </r>
  <r>
    <x v="2"/>
    <s v="Nuevo León"/>
    <s v="19"/>
    <m/>
    <m/>
    <s v="19022"/>
    <s v="General Terán"/>
    <x v="9"/>
    <s v="Autobús"/>
    <n v="0.63928409976617306"/>
    <n v="0.58813211223694473"/>
    <n v="9.8558067030397514E-3"/>
    <n v="16.191938230709273"/>
    <n v="8.9703080670303983"/>
    <n v="11.538736554949338"/>
    <n v="1.760015588464536E-2"/>
    <s v="Federal"/>
  </r>
  <r>
    <x v="2"/>
    <s v="Nuevo León"/>
    <s v="19"/>
    <m/>
    <m/>
    <s v="19022"/>
    <s v="General Terán"/>
    <x v="9"/>
    <s v="Veh&gt;3.8Ton"/>
    <n v="1.0250464294785877"/>
    <n v="0.9415233558765489"/>
    <n v="3.6827812055071532E-2"/>
    <n v="81.600365417909572"/>
    <n v="19.468882669170728"/>
    <n v="40.86114171438566"/>
    <n v="7.8857756828188366E-2"/>
    <s v="Federal"/>
  </r>
  <r>
    <x v="2"/>
    <s v="Nuevo León"/>
    <s v="19"/>
    <m/>
    <m/>
    <s v="19022"/>
    <s v="General Terán"/>
    <x v="9"/>
    <s v="Tractocamiones"/>
    <n v="0.53818483722962662"/>
    <n v="0.49510967882892731"/>
    <n v="1.1247869783701113E-2"/>
    <n v="21.581192702643651"/>
    <n v="9.4840502512562779"/>
    <n v="17.803517369455975"/>
    <n v="2.663808171291239E-2"/>
    <s v="Federal"/>
  </r>
  <r>
    <x v="2"/>
    <s v="Nuevo León"/>
    <s v="19"/>
    <m/>
    <m/>
    <s v="19022"/>
    <s v="General Terán"/>
    <x v="9"/>
    <s v="Pickup y Veh&lt;3.8Ton"/>
    <n v="2.1498204194178787"/>
    <n v="1.9072748993137463"/>
    <n v="0.13656122607423915"/>
    <n v="365.98185490068704"/>
    <n v="75.842551267163017"/>
    <n v="42.621121466618305"/>
    <n v="0.47140921443791106"/>
    <s v="Estatal"/>
  </r>
  <r>
    <x v="2"/>
    <s v="Nuevo León"/>
    <s v="19"/>
    <m/>
    <m/>
    <s v="19023"/>
    <s v="General Treviño"/>
    <x v="9"/>
    <s v="Motocicletas"/>
    <n v="1.7274881516587677E-3"/>
    <n v="1.5281727224855188E-3"/>
    <n v="4.8578199052132709E-4"/>
    <n v="1.7710021063717745"/>
    <n v="7.4841583289450606E-2"/>
    <n v="0.13508794102159027"/>
    <n v="1.7424960505529228E-3"/>
    <s v="Estatal"/>
  </r>
  <r>
    <x v="2"/>
    <s v="Nuevo León"/>
    <s v="19"/>
    <m/>
    <m/>
    <s v="19023"/>
    <s v="General Treviño"/>
    <x v="9"/>
    <s v="Autos Particulares"/>
    <n v="0.124710736270189"/>
    <n v="0.11032287751864128"/>
    <n v="6.5769876195428036E-3"/>
    <n v="17.146394553021871"/>
    <n v="4.5691343596666592"/>
    <n v="1.5106026558258627"/>
    <n v="2.5041106732064142E-2"/>
    <s v="Estatal"/>
  </r>
  <r>
    <x v="2"/>
    <s v="Nuevo León"/>
    <s v="19"/>
    <m/>
    <m/>
    <s v="19023"/>
    <s v="General Treviño"/>
    <x v="9"/>
    <s v="Taxi"/>
    <n v="2.8216350858464548E-3"/>
    <n v="2.4962191975802864E-3"/>
    <n v="4.8732319188684285E-4"/>
    <n v="1.2278823068904563"/>
    <n v="0.60370848353090334"/>
    <n v="5.6535836076268428E-2"/>
    <n v="1.366130258678405E-3"/>
    <s v="Estatal"/>
  </r>
  <r>
    <x v="2"/>
    <s v="Nuevo León"/>
    <s v="19"/>
    <m/>
    <m/>
    <s v="19023"/>
    <s v="General Treviño"/>
    <x v="9"/>
    <s v="Camionetas Particulares"/>
    <n v="2.1939784620042899E-2"/>
    <n v="1.9413001789573291E-2"/>
    <n v="2.6567959940692843E-3"/>
    <n v="5.2226211995285459"/>
    <n v="1.1587572612305115"/>
    <n v="0.56881627791424261"/>
    <n v="8.0909265685173357E-3"/>
    <s v="Estatal"/>
  </r>
  <r>
    <x v="2"/>
    <s v="Nuevo León"/>
    <s v="19"/>
    <m/>
    <m/>
    <s v="19023"/>
    <s v="General Treviño"/>
    <x v="9"/>
    <s v="Combi"/>
    <n v="4.0946934547573316E-3"/>
    <n v="3.6137639775399525E-3"/>
    <n v="3.4471344808019672E-4"/>
    <n v="0.64564962081919597"/>
    <n v="0.16213859214157525"/>
    <n v="5.673172895888378E-2"/>
    <n v="1.270096463022508E-3"/>
    <s v="Estatal"/>
  </r>
  <r>
    <x v="2"/>
    <s v="Nuevo León"/>
    <s v="19"/>
    <m/>
    <m/>
    <s v="19023"/>
    <s v="General Treviño"/>
    <x v="9"/>
    <s v="Autobús"/>
    <n v="0"/>
    <n v="0"/>
    <n v="0"/>
    <n v="0"/>
    <n v="0"/>
    <n v="0"/>
    <n v="0"/>
    <s v="Federal"/>
  </r>
  <r>
    <x v="2"/>
    <s v="Nuevo León"/>
    <s v="19"/>
    <m/>
    <m/>
    <s v="19023"/>
    <s v="General Treviño"/>
    <x v="9"/>
    <s v="Veh&gt;3.8Ton"/>
    <n v="4.8567294764939595E-2"/>
    <n v="4.4579733474406559E-2"/>
    <n v="1.949130431899284E-3"/>
    <n v="4.9238260551449322"/>
    <n v="0.93606081662098273"/>
    <n v="2.2215117875927994"/>
    <n v="4.04382390270652E-3"/>
    <s v="Federal"/>
  </r>
  <r>
    <x v="2"/>
    <s v="Nuevo León"/>
    <s v="19"/>
    <m/>
    <m/>
    <s v="19023"/>
    <s v="General Treviño"/>
    <x v="9"/>
    <s v="Tractocamiones"/>
    <n v="0"/>
    <n v="0"/>
    <n v="0"/>
    <n v="0"/>
    <n v="0"/>
    <n v="0"/>
    <n v="0"/>
    <s v="Federal"/>
  </r>
  <r>
    <x v="2"/>
    <s v="Nuevo León"/>
    <s v="19"/>
    <m/>
    <m/>
    <s v="19023"/>
    <s v="General Treviño"/>
    <x v="9"/>
    <s v="Pickup y Veh&lt;3.8Ton"/>
    <n v="0.1653830974340473"/>
    <n v="0.14607495575781249"/>
    <n v="1.171412046739565E-2"/>
    <n v="31.6666761747713"/>
    <n v="6.4666233403620987"/>
    <n v="3.7011566882697342"/>
    <n v="4.0318869734829101E-2"/>
    <s v="Estatal"/>
  </r>
  <r>
    <x v="2"/>
    <s v="Nuevo León"/>
    <s v="19"/>
    <m/>
    <m/>
    <s v="19024"/>
    <s v="General Zaragoza"/>
    <x v="9"/>
    <s v="Motocicletas"/>
    <n v="1.2956161137440757E-3"/>
    <n v="1.1461295418641391E-3"/>
    <n v="3.6433649289099531E-4"/>
    <n v="1.328251579778831"/>
    <n v="5.6131187467087951E-2"/>
    <n v="0.10131595576619271"/>
    <n v="1.3068720379146922E-3"/>
    <s v="Estatal"/>
  </r>
  <r>
    <x v="2"/>
    <s v="Nuevo León"/>
    <s v="19"/>
    <m/>
    <m/>
    <s v="19024"/>
    <s v="General Zaragoza"/>
    <x v="9"/>
    <s v="Autos Particulares"/>
    <n v="0.1591546539067174"/>
    <n v="0.14079300559521837"/>
    <n v="8.3934889620831989E-3"/>
    <n v="21.882065429570769"/>
    <n v="5.8310857542412586"/>
    <n v="1.9278167226730059"/>
    <n v="3.1957221924729474E-2"/>
    <s v="Estatal"/>
  </r>
  <r>
    <x v="2"/>
    <s v="Nuevo León"/>
    <s v="19"/>
    <m/>
    <m/>
    <s v="19024"/>
    <s v="General Zaragoza"/>
    <x v="9"/>
    <s v="Taxi"/>
    <n v="0"/>
    <n v="0"/>
    <n v="0"/>
    <n v="0"/>
    <n v="0"/>
    <n v="0"/>
    <n v="0"/>
    <s v="Estatal"/>
  </r>
  <r>
    <x v="2"/>
    <s v="Nuevo León"/>
    <s v="19"/>
    <m/>
    <m/>
    <s v="19024"/>
    <s v="General Zaragoza"/>
    <x v="9"/>
    <s v="Camionetas Particulares"/>
    <n v="3.4966531738193377E-2"/>
    <n v="3.093947160213243E-2"/>
    <n v="4.2342686155479219E-3"/>
    <n v="8.3235525367486201"/>
    <n v="1.8467693850861275"/>
    <n v="0.90655094292582417"/>
    <n v="1.2894914218574501E-2"/>
    <s v="Estatal"/>
  </r>
  <r>
    <x v="2"/>
    <s v="Nuevo León"/>
    <s v="19"/>
    <m/>
    <m/>
    <s v="19024"/>
    <s v="General Zaragoza"/>
    <x v="9"/>
    <s v="Combi"/>
    <n v="0"/>
    <n v="0"/>
    <n v="0"/>
    <n v="0"/>
    <n v="0"/>
    <n v="0"/>
    <n v="0"/>
    <s v="Estatal"/>
  </r>
  <r>
    <x v="2"/>
    <s v="Nuevo León"/>
    <s v="19"/>
    <m/>
    <m/>
    <s v="19024"/>
    <s v="General Zaragoza"/>
    <x v="9"/>
    <s v="Autobús"/>
    <n v="0"/>
    <n v="0"/>
    <n v="0"/>
    <n v="0"/>
    <n v="0"/>
    <n v="0"/>
    <n v="0"/>
    <s v="Federal"/>
  </r>
  <r>
    <x v="2"/>
    <s v="Nuevo León"/>
    <s v="19"/>
    <m/>
    <m/>
    <s v="19024"/>
    <s v="General Zaragoza"/>
    <x v="9"/>
    <s v="Veh&gt;3.8Ton"/>
    <n v="0.11699891199674588"/>
    <n v="0.10753989203451049"/>
    <n v="3.7008663341875007E-3"/>
    <n v="6.7106663453146815"/>
    <n v="2.1886693750492872"/>
    <n v="3.9611575338605673"/>
    <n v="8.2439158152274195E-3"/>
    <s v="Federal"/>
  </r>
  <r>
    <x v="2"/>
    <s v="Nuevo León"/>
    <s v="19"/>
    <m/>
    <m/>
    <s v="19024"/>
    <s v="General Zaragoza"/>
    <x v="9"/>
    <s v="Tractocamiones"/>
    <n v="0.25627849391886975"/>
    <n v="0.23576651372806059"/>
    <n v="5.3561284684291019E-3"/>
    <n v="10.276758429830311"/>
    <n v="4.5162144053601327"/>
    <n v="8.4778654140266543"/>
    <n v="1.2684800815672565E-2"/>
    <s v="Federal"/>
  </r>
  <r>
    <x v="2"/>
    <s v="Nuevo León"/>
    <s v="19"/>
    <m/>
    <m/>
    <s v="19024"/>
    <s v="General Zaragoza"/>
    <x v="9"/>
    <s v="Pickup y Veh&lt;3.8Ton"/>
    <n v="0.30353827687967844"/>
    <n v="0.26827087272929617"/>
    <n v="2.1386400245517561E-2"/>
    <n v="55.998961202648836"/>
    <n v="11.493888950736061"/>
    <n v="6.4120102874062379"/>
    <n v="7.3722478257292862E-2"/>
    <s v="Estatal"/>
  </r>
  <r>
    <x v="2"/>
    <s v="Nuevo León"/>
    <s v="19"/>
    <s v="19.01"/>
    <s v="Monterrey"/>
    <s v="19025"/>
    <s v="General Zuazua"/>
    <x v="9"/>
    <s v="Motocicletas"/>
    <n v="7.5577606635071098E-2"/>
    <n v="6.6857556608741445E-2"/>
    <n v="2.1252962085308063E-2"/>
    <n v="77.481342153765141"/>
    <n v="3.2743192689134641"/>
    <n v="5.9100974196945746"/>
    <n v="7.6234202211690374E-2"/>
    <s v="Estatal"/>
  </r>
  <r>
    <x v="2"/>
    <s v="Nuevo León"/>
    <s v="19"/>
    <s v="19.01"/>
    <s v="Monterrey"/>
    <s v="19025"/>
    <s v="General Zuazua"/>
    <x v="9"/>
    <s v="Autos Particulares"/>
    <n v="3.0595700631619702"/>
    <n v="2.7065879284573326"/>
    <n v="0.16135542959945012"/>
    <n v="420.65821303413662"/>
    <n v="112.09609629048867"/>
    <n v="37.060118489594501"/>
    <n v="0.61434181849330693"/>
    <s v="Estatal"/>
  </r>
  <r>
    <x v="2"/>
    <s v="Nuevo León"/>
    <s v="19"/>
    <s v="19.01"/>
    <s v="Monterrey"/>
    <s v="19025"/>
    <s v="General Zuazua"/>
    <x v="9"/>
    <s v="Taxi"/>
    <n v="0.27228778578418289"/>
    <n v="0.24088515256649765"/>
    <n v="4.7026688017080334E-2"/>
    <n v="118.49064261492903"/>
    <n v="58.257868660732179"/>
    <n v="5.4557081813599018"/>
    <n v="0.13183156996246606"/>
    <s v="Estatal"/>
  </r>
  <r>
    <x v="2"/>
    <s v="Nuevo León"/>
    <s v="19"/>
    <s v="19.01"/>
    <s v="Monterrey"/>
    <s v="19025"/>
    <s v="General Zuazua"/>
    <x v="9"/>
    <s v="Camionetas Particulares"/>
    <n v="0.40999972508705168"/>
    <n v="0.36278047094265081"/>
    <n v="4.9648875139169754E-2"/>
    <n v="97.597733666189711"/>
    <n v="21.654276319245181"/>
    <n v="10.629754193522409"/>
    <n v="0.1511991902491677"/>
    <s v="Estatal"/>
  </r>
  <r>
    <x v="2"/>
    <s v="Nuevo León"/>
    <s v="19"/>
    <s v="19.01"/>
    <s v="Monterrey"/>
    <s v="19025"/>
    <s v="General Zuazua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25"/>
    <s v="General Zuazua"/>
    <x v="9"/>
    <s v="Autobús"/>
    <n v="0.42618939984411547"/>
    <n v="0.39208807482462987"/>
    <n v="6.5705378020265012E-3"/>
    <n v="10.794625487139516"/>
    <n v="5.9802053780202646"/>
    <n v="7.6924910366328927"/>
    <n v="1.1733437256430237E-2"/>
    <s v="Federal"/>
  </r>
  <r>
    <x v="2"/>
    <s v="Nuevo León"/>
    <s v="19"/>
    <s v="19.01"/>
    <s v="Monterrey"/>
    <s v="19025"/>
    <s v="General Zuazua"/>
    <x v="9"/>
    <s v="Veh&gt;3.8Ton"/>
    <n v="1.6210666620979775"/>
    <n v="1.4897843578317869"/>
    <n v="5.2790829705276564E-2"/>
    <n v="100.81891379441248"/>
    <n v="30.425811953218147"/>
    <n v="56.999819472120599"/>
    <n v="0.11650231603106208"/>
    <s v="Federal"/>
  </r>
  <r>
    <x v="2"/>
    <s v="Nuevo León"/>
    <s v="19"/>
    <s v="19.01"/>
    <s v="Monterrey"/>
    <s v="19025"/>
    <s v="General Zuazua"/>
    <x v="9"/>
    <s v="Tractocamiones"/>
    <n v="5.561243318039474"/>
    <n v="5.1161333478989146"/>
    <n v="0.11622798776491151"/>
    <n v="223.00565792731774"/>
    <n v="98.001852596314862"/>
    <n v="183.96967948437842"/>
    <n v="0.2752601777000947"/>
    <s v="Federal"/>
  </r>
  <r>
    <x v="2"/>
    <s v="Nuevo León"/>
    <s v="19"/>
    <s v="19.01"/>
    <s v="Monterrey"/>
    <s v="19025"/>
    <s v="General Zuazua"/>
    <x v="9"/>
    <s v="Pickup y Veh&lt;3.8Ton"/>
    <n v="1.4308452492284283"/>
    <n v="1.2689466003979459"/>
    <n v="9.192390816267304E-2"/>
    <n v="240.98065117711721"/>
    <n v="50.094970235509081"/>
    <n v="27.658489317347797"/>
    <n v="0.31758059528650417"/>
    <s v="Estatal"/>
  </r>
  <r>
    <x v="2"/>
    <s v="Nuevo León"/>
    <s v="19"/>
    <s v="19.01"/>
    <s v="Monterrey"/>
    <s v="19026"/>
    <s v="Guadalupe"/>
    <x v="9"/>
    <s v="Motocicletas"/>
    <n v="2.7052464454976302"/>
    <n v="2.393118483412322"/>
    <n v="0.76073459715639835"/>
    <n v="2773.389298578199"/>
    <n v="117.20191943127965"/>
    <n v="211.54771563981035"/>
    <n v="2.7287488151658765"/>
    <s v="Estatal"/>
  </r>
  <r>
    <x v="2"/>
    <s v="Nuevo León"/>
    <s v="19"/>
    <s v="19.01"/>
    <s v="Monterrey"/>
    <s v="19026"/>
    <s v="Guadalupe"/>
    <x v="9"/>
    <s v="Autos Particulares"/>
    <n v="137.68564029811205"/>
    <n v="121.80180375696145"/>
    <n v="7.2628710273140999"/>
    <n v="18939.530874230335"/>
    <n v="5047.4058792201213"/>
    <n v="1667.5410678222429"/>
    <n v="27.648855418709157"/>
    <s v="Estatal"/>
  </r>
  <r>
    <x v="2"/>
    <s v="Nuevo León"/>
    <s v="19"/>
    <s v="19.01"/>
    <s v="Monterrey"/>
    <s v="19026"/>
    <s v="Guadalupe"/>
    <x v="9"/>
    <s v="Taxi"/>
    <n v="8.2532826261008818"/>
    <n v="7.3014411529223393"/>
    <n v="1.4254203362690154"/>
    <n v="3591.6174285420502"/>
    <n v="1766.0593411817695"/>
    <n v="165.36732052308514"/>
    <n v="3.9967742544431539"/>
    <s v="Estatal"/>
  </r>
  <r>
    <x v="2"/>
    <s v="Nuevo León"/>
    <s v="19"/>
    <s v="19.01"/>
    <s v="Monterrey"/>
    <s v="19026"/>
    <s v="Guadalupe"/>
    <x v="9"/>
    <s v="Camionetas Particulares"/>
    <n v="22.64189393317681"/>
    <n v="20.073789805927998"/>
    <n v="2.6156163938912216"/>
    <n v="5131.4822126926383"/>
    <n v="1145.055453911634"/>
    <n v="558.70413401144924"/>
    <n v="7.9862597459887876"/>
    <s v="Estatal"/>
  </r>
  <r>
    <x v="2"/>
    <s v="Nuevo León"/>
    <s v="19"/>
    <s v="19.01"/>
    <s v="Monterrey"/>
    <s v="19026"/>
    <s v="Guadalupe"/>
    <x v="9"/>
    <s v="Combi"/>
    <n v="1.2284080364271996E-2"/>
    <n v="1.0841291932619856E-2"/>
    <n v="1.03414034424059E-3"/>
    <n v="1.9369488624575883"/>
    <n v="0.48641577642472567"/>
    <n v="0.17019518687665131"/>
    <n v="3.8102893890675244E-3"/>
    <s v="Estatal"/>
  </r>
  <r>
    <x v="2"/>
    <s v="Nuevo León"/>
    <s v="19"/>
    <s v="19.01"/>
    <s v="Monterrey"/>
    <s v="19026"/>
    <s v="Guadalupe"/>
    <x v="9"/>
    <s v="Autobús"/>
    <n v="48.869717848791893"/>
    <n v="44.95943257989088"/>
    <n v="0.75342166796570542"/>
    <n v="1237.7837225253313"/>
    <n v="685.73021667965713"/>
    <n v="882.07230553390502"/>
    <n v="1.3454341387373341"/>
    <s v="Federal"/>
  </r>
  <r>
    <x v="2"/>
    <s v="Nuevo León"/>
    <s v="19"/>
    <s v="19.01"/>
    <s v="Monterrey"/>
    <s v="19026"/>
    <s v="Guadalupe"/>
    <x v="9"/>
    <s v="Veh&gt;3.8Ton"/>
    <n v="50.398099774139567"/>
    <n v="46.31403890663826"/>
    <n v="1.658581425688914"/>
    <n v="3251.5593944535294"/>
    <n v="952.51191173101006"/>
    <n v="1796.3394962574446"/>
    <n v="3.7809609100248052"/>
    <s v="Federal"/>
  </r>
  <r>
    <x v="2"/>
    <s v="Nuevo León"/>
    <s v="19"/>
    <s v="19.01"/>
    <s v="Monterrey"/>
    <s v="19026"/>
    <s v="Guadalupe"/>
    <x v="9"/>
    <s v="Tractocamiones"/>
    <n v="60.94302585390723"/>
    <n v="56.065276964532806"/>
    <n v="1.2736873497924404"/>
    <n v="2443.8131546136478"/>
    <n v="1073.9557855946396"/>
    <n v="2016.0363954555382"/>
    <n v="3.0164456339669359"/>
    <s v="Federal"/>
  </r>
  <r>
    <x v="2"/>
    <s v="Nuevo León"/>
    <s v="19"/>
    <s v="19.01"/>
    <s v="Monterrey"/>
    <s v="19026"/>
    <s v="Guadalupe"/>
    <x v="9"/>
    <s v="Pickup y Veh&lt;3.8Ton"/>
    <n v="71.817987819268083"/>
    <n v="63.778191187713503"/>
    <n v="4.4263249768743975"/>
    <n v="11387.305140123954"/>
    <n v="2397.9096661473186"/>
    <n v="1287.854551978342"/>
    <n v="15.529640580533755"/>
    <s v="Estatal"/>
  </r>
  <r>
    <x v="2"/>
    <s v="Nuevo León"/>
    <s v="19"/>
    <s v="19.01"/>
    <s v="Monterrey"/>
    <s v="19047"/>
    <s v="Hidalgo"/>
    <x v="9"/>
    <s v="Motocicletas"/>
    <n v="9.9330568720379132E-3"/>
    <n v="8.7869931542917338E-3"/>
    <n v="2.7932464454976315E-3"/>
    <n v="10.183262111637704"/>
    <n v="0.43033910391434083"/>
    <n v="0.77675566087414405"/>
    <n v="1.0019352290679306E-2"/>
    <s v="Estatal"/>
  </r>
  <r>
    <x v="2"/>
    <s v="Nuevo León"/>
    <s v="19"/>
    <s v="19.01"/>
    <s v="Monterrey"/>
    <s v="19047"/>
    <s v="Hidalgo"/>
    <x v="9"/>
    <s v="Autos Particulares"/>
    <n v="2.2008475648443833"/>
    <n v="1.946936114686117"/>
    <n v="0.11606817199059823"/>
    <n v="302.59303911190028"/>
    <n v="80.634342556783963"/>
    <n v="26.658540202336415"/>
    <n v="0.44191591213823678"/>
    <s v="Estatal"/>
  </r>
  <r>
    <x v="2"/>
    <s v="Nuevo León"/>
    <s v="19"/>
    <s v="19.01"/>
    <s v="Monterrey"/>
    <s v="19047"/>
    <s v="Hidalgo"/>
    <x v="9"/>
    <s v="Taxi"/>
    <n v="5.7843519259852316E-2"/>
    <n v="5.1172493550395881E-2"/>
    <n v="9.9901254336802782E-3"/>
    <n v="25.171587291254351"/>
    <n v="12.376023912383518"/>
    <n v="1.1589846395635028"/>
    <n v="2.80056703029073E-2"/>
    <s v="Estatal"/>
  </r>
  <r>
    <x v="2"/>
    <s v="Nuevo León"/>
    <s v="19"/>
    <s v="19.01"/>
    <s v="Monterrey"/>
    <s v="19047"/>
    <s v="Hidalgo"/>
    <x v="9"/>
    <s v="Camionetas Particulares"/>
    <n v="0.32018373179875109"/>
    <n v="0.28330849486658521"/>
    <n v="3.8772616538448622E-2"/>
    <n v="76.217628130619715"/>
    <n v="16.910613781082777"/>
    <n v="8.3011625558109792"/>
    <n v="0.11807695960929987"/>
    <s v="Estatal"/>
  </r>
  <r>
    <x v="2"/>
    <s v="Nuevo León"/>
    <s v="19"/>
    <s v="19.01"/>
    <s v="Monterrey"/>
    <s v="19047"/>
    <s v="Hidalgo"/>
    <x v="9"/>
    <s v="Combi"/>
    <n v="5.3231014911845308E-2"/>
    <n v="4.6978931708019381E-2"/>
    <n v="4.4812748250425572E-3"/>
    <n v="8.3934450706495483"/>
    <n v="2.1078016978404781"/>
    <n v="0.73751247646548901"/>
    <n v="1.6511254019292605E-2"/>
    <s v="Estatal"/>
  </r>
  <r>
    <x v="2"/>
    <s v="Nuevo León"/>
    <s v="19"/>
    <s v="19.01"/>
    <s v="Monterrey"/>
    <s v="19047"/>
    <s v="Hidalgo"/>
    <x v="9"/>
    <s v="Autobús"/>
    <n v="2.3440416991426347"/>
    <n v="2.1564844115354642"/>
    <n v="3.6137957911145754E-2"/>
    <n v="59.370440179267341"/>
    <n v="32.891129579111457"/>
    <n v="42.308700701480909"/>
    <n v="6.4533904910366313E-2"/>
    <s v="Federal"/>
  </r>
  <r>
    <x v="2"/>
    <s v="Nuevo León"/>
    <s v="19"/>
    <s v="19.01"/>
    <s v="Monterrey"/>
    <s v="19047"/>
    <s v="Hidalgo"/>
    <x v="9"/>
    <s v="Veh&gt;3.8Ton"/>
    <n v="0.8506415728856962"/>
    <n v="0.78158484706461995"/>
    <n v="2.8833895797863336E-2"/>
    <n v="58.768075432354657"/>
    <n v="16.041187144494121"/>
    <n v="31.493228522689424"/>
    <n v="6.2838729227176662E-2"/>
    <s v="Federal"/>
  </r>
  <r>
    <x v="2"/>
    <s v="Nuevo León"/>
    <s v="19"/>
    <s v="19.01"/>
    <s v="Monterrey"/>
    <s v="19047"/>
    <s v="Hidalgo"/>
    <x v="9"/>
    <s v="Tractocamiones"/>
    <n v="5.1255698783773958E-2"/>
    <n v="4.7153302745612115E-2"/>
    <n v="1.0712256936858202E-3"/>
    <n v="2.0553516859660625"/>
    <n v="0.90324288107202655"/>
    <n v="1.6955730828053308"/>
    <n v="2.5369601631345133E-3"/>
    <s v="Federal"/>
  </r>
  <r>
    <x v="2"/>
    <s v="Nuevo León"/>
    <s v="19"/>
    <s v="19.01"/>
    <s v="Monterrey"/>
    <s v="19047"/>
    <s v="Hidalgo"/>
    <x v="9"/>
    <s v="Pickup y Veh&lt;3.8Ton"/>
    <n v="1.6843653333937181"/>
    <n v="1.4940286212564775"/>
    <n v="0.10786884488258133"/>
    <n v="282.05436516969905"/>
    <n v="58.674838052238016"/>
    <n v="32.319758330535556"/>
    <n v="0.37273408862748858"/>
    <s v="Estatal"/>
  </r>
  <r>
    <x v="2"/>
    <s v="Nuevo León"/>
    <s v="19"/>
    <m/>
    <m/>
    <s v="19028"/>
    <s v="Higueras"/>
    <x v="9"/>
    <s v="Motocicletas"/>
    <n v="1.7274881516587677E-3"/>
    <n v="1.5281727224855188E-3"/>
    <n v="4.8578199052132709E-4"/>
    <n v="1.7710021063717745"/>
    <n v="7.4841583289450606E-2"/>
    <n v="0.13508794102159027"/>
    <n v="1.7424960505529228E-3"/>
    <s v="Estatal"/>
  </r>
  <r>
    <x v="2"/>
    <s v="Nuevo León"/>
    <s v="19"/>
    <m/>
    <m/>
    <s v="19028"/>
    <s v="Higueras"/>
    <x v="9"/>
    <s v="Autos Particulares"/>
    <n v="0.19359857154324578"/>
    <n v="0.17126313367179549"/>
    <n v="1.0209990304623591E-2"/>
    <n v="26.617736306119667"/>
    <n v="7.0930371488158599"/>
    <n v="2.3450307895201488"/>
    <n v="3.8873337117394817E-2"/>
    <s v="Estatal"/>
  </r>
  <r>
    <x v="2"/>
    <s v="Nuevo León"/>
    <s v="19"/>
    <m/>
    <m/>
    <s v="19028"/>
    <s v="Higueras"/>
    <x v="9"/>
    <s v="Taxi"/>
    <n v="4.2324526287696815E-3"/>
    <n v="3.74432879637043E-3"/>
    <n v="7.3098478783026419E-4"/>
    <n v="1.841823460335684"/>
    <n v="0.90556272529635506"/>
    <n v="8.4803754114402635E-2"/>
    <n v="2.0491953880176074E-3"/>
    <s v="Estatal"/>
  </r>
  <r>
    <x v="2"/>
    <s v="Nuevo León"/>
    <s v="19"/>
    <m/>
    <m/>
    <s v="19028"/>
    <s v="Higueras"/>
    <x v="9"/>
    <s v="Camionetas Particulares"/>
    <n v="3.0167203852558989E-2"/>
    <n v="2.6692877460663279E-2"/>
    <n v="3.6530944918452654E-3"/>
    <n v="7.1811041493517509"/>
    <n v="1.5932912341919534"/>
    <n v="0.78212238213208374"/>
    <n v="1.1125024031711337E-2"/>
    <s v="Estatal"/>
  </r>
  <r>
    <x v="2"/>
    <s v="Nuevo León"/>
    <s v="19"/>
    <m/>
    <m/>
    <s v="19028"/>
    <s v="Higueras"/>
    <x v="9"/>
    <s v="Combi"/>
    <n v="0"/>
    <n v="0"/>
    <n v="0"/>
    <n v="0"/>
    <n v="0"/>
    <n v="0"/>
    <n v="0"/>
    <s v="Estatal"/>
  </r>
  <r>
    <x v="2"/>
    <s v="Nuevo León"/>
    <s v="19"/>
    <m/>
    <m/>
    <s v="19028"/>
    <s v="Higueras"/>
    <x v="9"/>
    <s v="Autobús"/>
    <n v="0"/>
    <n v="0"/>
    <n v="0"/>
    <n v="0"/>
    <n v="0"/>
    <n v="0"/>
    <n v="0"/>
    <s v="Federal"/>
  </r>
  <r>
    <x v="2"/>
    <s v="Nuevo León"/>
    <s v="19"/>
    <m/>
    <m/>
    <s v="19028"/>
    <s v="Higueras"/>
    <x v="9"/>
    <s v="Veh&gt;3.8Ton"/>
    <n v="4.5621078154537524E-2"/>
    <n v="4.1973439040069283E-2"/>
    <n v="1.1678239348588116E-3"/>
    <n v="1.1912268601131661"/>
    <n v="0.83507237228553666"/>
    <n v="1.1597638308451785"/>
    <n v="2.8000612750139317E-3"/>
    <s v="Federal"/>
  </r>
  <r>
    <x v="2"/>
    <s v="Nuevo León"/>
    <s v="19"/>
    <m/>
    <m/>
    <s v="19028"/>
    <s v="Higueras"/>
    <x v="9"/>
    <s v="Tractocamiones"/>
    <n v="0"/>
    <n v="0"/>
    <n v="0"/>
    <n v="0"/>
    <n v="0"/>
    <n v="0"/>
    <n v="0"/>
    <s v="Federal"/>
  </r>
  <r>
    <x v="2"/>
    <s v="Nuevo León"/>
    <s v="19"/>
    <m/>
    <m/>
    <s v="19028"/>
    <s v="Higueras"/>
    <x v="9"/>
    <s v="Pickup y Veh&lt;3.8Ton"/>
    <n v="0.1109881411689483"/>
    <n v="9.7817971910434148E-2"/>
    <n v="8.4883570726805545E-3"/>
    <n v="22.379828518923325"/>
    <n v="4.5251163925126505"/>
    <n v="2.5712637646592524"/>
    <n v="2.9188155066207547E-2"/>
    <s v="Estatal"/>
  </r>
  <r>
    <x v="2"/>
    <s v="Nuevo León"/>
    <s v="19"/>
    <m/>
    <m/>
    <s v="19029"/>
    <s v="Hualahuises"/>
    <x v="9"/>
    <s v="Motocicletas"/>
    <n v="1.554739336492891E-2"/>
    <n v="1.375355450236967E-2"/>
    <n v="4.3720379146919442E-3"/>
    <n v="15.939018957345972"/>
    <n v="0.67357424960505541"/>
    <n v="1.2157914691943124"/>
    <n v="1.5682464454976307E-2"/>
    <s v="Estatal"/>
  </r>
  <r>
    <x v="2"/>
    <s v="Nuevo León"/>
    <s v="19"/>
    <m/>
    <m/>
    <s v="19029"/>
    <s v="Hualahuises"/>
    <x v="9"/>
    <s v="Autos Particulares"/>
    <n v="0.64730810730717137"/>
    <n v="0.57262826902532848"/>
    <n v="3.4137697644293599E-2"/>
    <n v="88.997952679970666"/>
    <n v="23.715983104936466"/>
    <n v="7.8407471183342397"/>
    <n v="0.12997526827595202"/>
    <s v="Estatal"/>
  </r>
  <r>
    <x v="2"/>
    <s v="Nuevo León"/>
    <s v="19"/>
    <m/>
    <m/>
    <s v="19029"/>
    <s v="Hualahuises"/>
    <x v="9"/>
    <s v="Taxi"/>
    <n v="1.1286540343385819E-2"/>
    <n v="9.9848767903211455E-3"/>
    <n v="1.9492927675473714E-3"/>
    <n v="4.9115292275618252"/>
    <n v="2.4148339341236134"/>
    <n v="0.22614334430507371"/>
    <n v="5.46452103471362E-3"/>
    <s v="Estatal"/>
  </r>
  <r>
    <x v="2"/>
    <s v="Nuevo León"/>
    <s v="19"/>
    <m/>
    <m/>
    <s v="19029"/>
    <s v="Hualahuises"/>
    <x v="9"/>
    <s v="Camionetas Particulares"/>
    <n v="0.12546814329587036"/>
    <n v="0.11101810398412226"/>
    <n v="1.5193552091083721E-2"/>
    <n v="29.866864984803879"/>
    <n v="6.6266430876619866"/>
    <n v="3.2529180893220753"/>
    <n v="4.6269986313708517E-2"/>
    <s v="Estatal"/>
  </r>
  <r>
    <x v="2"/>
    <s v="Nuevo León"/>
    <s v="19"/>
    <m/>
    <m/>
    <s v="19029"/>
    <s v="Hualahuises"/>
    <x v="9"/>
    <s v="Combi"/>
    <n v="0"/>
    <n v="0"/>
    <n v="0"/>
    <n v="0"/>
    <n v="0"/>
    <n v="0"/>
    <n v="0"/>
    <s v="Estatal"/>
  </r>
  <r>
    <x v="2"/>
    <s v="Nuevo León"/>
    <s v="19"/>
    <m/>
    <m/>
    <s v="19029"/>
    <s v="Hualahuises"/>
    <x v="9"/>
    <s v="Autobús"/>
    <n v="0.21309469992205773"/>
    <n v="0.19604403741231494"/>
    <n v="3.2852689010132506E-3"/>
    <n v="5.3973127435697581"/>
    <n v="2.9901026890101323"/>
    <n v="3.8462455183164463"/>
    <n v="5.8667186282151187E-3"/>
    <s v="Federal"/>
  </r>
  <r>
    <x v="2"/>
    <s v="Nuevo León"/>
    <s v="19"/>
    <m/>
    <m/>
    <s v="19029"/>
    <s v="Hualahuises"/>
    <x v="9"/>
    <s v="Veh&gt;3.8Ton"/>
    <n v="0.23399782399349175"/>
    <n v="0.21507978406902098"/>
    <n v="7.4017326683750015E-3"/>
    <n v="13.421332690629363"/>
    <n v="4.3773387500985743"/>
    <n v="7.9223150677211347"/>
    <n v="1.6487831630454839E-2"/>
    <s v="Federal"/>
  </r>
  <r>
    <x v="2"/>
    <s v="Nuevo León"/>
    <s v="19"/>
    <m/>
    <m/>
    <s v="19029"/>
    <s v="Hualahuises"/>
    <x v="9"/>
    <s v="Tractocamiones"/>
    <n v="0"/>
    <n v="0"/>
    <n v="0"/>
    <n v="0"/>
    <n v="0"/>
    <n v="0"/>
    <n v="0"/>
    <s v="Federal"/>
  </r>
  <r>
    <x v="2"/>
    <s v="Nuevo León"/>
    <s v="19"/>
    <m/>
    <m/>
    <s v="19029"/>
    <s v="Hualahuises"/>
    <x v="9"/>
    <s v="Pickup y Veh&lt;3.8Ton"/>
    <n v="0.57748846660950726"/>
    <n v="0.51196141055729505"/>
    <n v="3.7676876069974559E-2"/>
    <n v="100.89806186985736"/>
    <n v="20.80460746136114"/>
    <n v="11.739860852510422"/>
    <n v="0.12995867910640854"/>
    <s v="Estatal"/>
  </r>
  <r>
    <x v="2"/>
    <s v="Nuevo León"/>
    <s v="19"/>
    <m/>
    <m/>
    <s v="19030"/>
    <s v="Iturbide"/>
    <x v="9"/>
    <s v="Motocicletas"/>
    <n v="2.5912322274881513E-3"/>
    <n v="2.2922590837282783E-3"/>
    <n v="7.2867298578199063E-4"/>
    <n v="2.656503159557662"/>
    <n v="0.1122623749341759"/>
    <n v="0.20263191153238541"/>
    <n v="2.6137440758293843E-3"/>
    <s v="Estatal"/>
  </r>
  <r>
    <x v="2"/>
    <s v="Nuevo León"/>
    <s v="19"/>
    <m/>
    <m/>
    <s v="19030"/>
    <s v="Iturbide"/>
    <x v="9"/>
    <s v="Autos Particulares"/>
    <n v="0.1544037687154721"/>
    <n v="0.13659022930879397"/>
    <n v="8.1429370527672813E-3"/>
    <n v="21.228869446598509"/>
    <n v="5.6570234929206249"/>
    <n v="1.8702699548320205"/>
    <n v="3.1003275001603221E-2"/>
    <s v="Estatal"/>
  </r>
  <r>
    <x v="2"/>
    <s v="Nuevo León"/>
    <s v="19"/>
    <m/>
    <m/>
    <s v="19030"/>
    <s v="Iturbide"/>
    <x v="9"/>
    <s v="Taxi"/>
    <n v="2.5394715772618093E-2"/>
    <n v="2.2465972778222581E-2"/>
    <n v="4.3859087269815852E-3"/>
    <n v="11.050940762014104"/>
    <n v="5.4333763517781293"/>
    <n v="0.50882252468641576"/>
    <n v="1.2295172328105643E-2"/>
    <s v="Estatal"/>
  </r>
  <r>
    <x v="2"/>
    <s v="Nuevo León"/>
    <s v="19"/>
    <m/>
    <m/>
    <s v="19030"/>
    <s v="Iturbide"/>
    <x v="9"/>
    <s v="Camionetas Particulares"/>
    <n v="2.3996639428171922E-2"/>
    <n v="2.123297070734579E-2"/>
    <n v="2.9058706185132797E-3"/>
    <n v="5.7122419369843467"/>
    <n v="1.2673907544708716"/>
    <n v="0.62214280396870292"/>
    <n v="8.8494509343158348E-3"/>
    <s v="Estatal"/>
  </r>
  <r>
    <x v="2"/>
    <s v="Nuevo León"/>
    <s v="19"/>
    <m/>
    <m/>
    <s v="19030"/>
    <s v="Iturbide"/>
    <x v="9"/>
    <s v="Combi"/>
    <n v="0"/>
    <n v="0"/>
    <n v="0"/>
    <n v="0"/>
    <n v="0"/>
    <n v="0"/>
    <n v="0"/>
    <s v="Estatal"/>
  </r>
  <r>
    <x v="2"/>
    <s v="Nuevo León"/>
    <s v="19"/>
    <m/>
    <m/>
    <s v="19030"/>
    <s v="Iturbide"/>
    <x v="9"/>
    <s v="Autobús"/>
    <n v="0"/>
    <n v="0"/>
    <n v="0"/>
    <n v="0"/>
    <n v="0"/>
    <n v="0"/>
    <n v="0"/>
    <s v="Federal"/>
  </r>
  <r>
    <x v="2"/>
    <s v="Nuevo León"/>
    <s v="19"/>
    <m/>
    <m/>
    <s v="19030"/>
    <s v="Iturbide"/>
    <x v="9"/>
    <s v="Veh&gt;3.8Ton"/>
    <n v="0.14275566768441669"/>
    <n v="0.13113290598888241"/>
    <n v="5.06608479865738E-3"/>
    <n v="11.038878970403031"/>
    <n v="2.7071940055275019"/>
    <n v="5.6027874060307781"/>
    <n v="1.0887709080426973E-2"/>
    <s v="Federal"/>
  </r>
  <r>
    <x v="2"/>
    <s v="Nuevo León"/>
    <s v="19"/>
    <m/>
    <m/>
    <s v="19030"/>
    <s v="Iturbide"/>
    <x v="9"/>
    <s v="Tractocamiones"/>
    <n v="7.6883548175660926E-2"/>
    <n v="7.0729954118418176E-2"/>
    <n v="1.6068385405287307E-3"/>
    <n v="3.0830275289490934"/>
    <n v="1.35486432160804"/>
    <n v="2.5433596242079965"/>
    <n v="3.8054402447017695E-3"/>
    <s v="Federal"/>
  </r>
  <r>
    <x v="2"/>
    <s v="Nuevo León"/>
    <s v="19"/>
    <m/>
    <m/>
    <s v="19030"/>
    <s v="Iturbide"/>
    <x v="9"/>
    <s v="Pickup y Veh&lt;3.8Ton"/>
    <n v="0.18484683004567692"/>
    <n v="0.1628554925266599"/>
    <n v="1.4304894132749196E-2"/>
    <n v="37.57484564671168"/>
    <n v="7.5860414931281532"/>
    <n v="4.3057500186256563"/>
    <n v="4.9182033114966106E-2"/>
    <s v="Estatal"/>
  </r>
  <r>
    <x v="2"/>
    <s v="Nuevo León"/>
    <s v="19"/>
    <s v="19.01"/>
    <s v="Monterrey"/>
    <s v="19031"/>
    <s v="Juárez"/>
    <x v="9"/>
    <s v="Motocicletas"/>
    <n v="0.72727251184834119"/>
    <n v="0.64336071616640345"/>
    <n v="0.20451421800947872"/>
    <n v="745.59188678251701"/>
    <n v="31.508306564858696"/>
    <n v="56.872023170089506"/>
    <n v="0.73359083728278052"/>
    <s v="Estatal"/>
  </r>
  <r>
    <x v="2"/>
    <s v="Nuevo León"/>
    <s v="19"/>
    <s v="19.01"/>
    <s v="Monterrey"/>
    <s v="19031"/>
    <s v="Juárez"/>
    <x v="9"/>
    <s v="Autos Particulares"/>
    <n v="23.275156563721293"/>
    <n v="20.589995935986995"/>
    <n v="1.2276403418062465"/>
    <n v="3200.9800914359948"/>
    <n v="853.03299957435888"/>
    <n v="281.90673330723746"/>
    <n v="4.6737401535163325"/>
    <s v="Estatal"/>
  </r>
  <r>
    <x v="2"/>
    <s v="Nuevo León"/>
    <s v="19"/>
    <s v="19.01"/>
    <s v="Monterrey"/>
    <s v="19031"/>
    <s v="Juárez"/>
    <x v="9"/>
    <s v="Taxi"/>
    <n v="1.004502090561338"/>
    <n v="0.88865403433858214"/>
    <n v="0.17348705631171607"/>
    <n v="437.12610125300239"/>
    <n v="214.92022013700162"/>
    <n v="20.12675764315156"/>
    <n v="0.48634237208951214"/>
    <s v="Estatal"/>
  </r>
  <r>
    <x v="2"/>
    <s v="Nuevo León"/>
    <s v="19"/>
    <s v="19.01"/>
    <s v="Monterrey"/>
    <s v="19031"/>
    <s v="Juárez"/>
    <x v="9"/>
    <s v="Camionetas Particulares"/>
    <n v="3.3249471518154654"/>
    <n v="2.9442816554195375"/>
    <n v="0.39540384646450966"/>
    <n v="776.68050054583875"/>
    <n v="172.69505301655136"/>
    <n v="84.58117633494642"/>
    <n v="1.2053161183936045"/>
    <s v="Estatal"/>
  </r>
  <r>
    <x v="2"/>
    <s v="Nuevo León"/>
    <s v="19"/>
    <s v="19.01"/>
    <s v="Monterrey"/>
    <s v="19031"/>
    <s v="Juárez"/>
    <x v="9"/>
    <s v="Combi"/>
    <n v="4.0946934547573316E-3"/>
    <n v="3.6137639775399525E-3"/>
    <n v="3.4471344808019672E-4"/>
    <n v="0.64564962081919597"/>
    <n v="0.16213859214157525"/>
    <n v="5.673172895888378E-2"/>
    <n v="1.270096463022508E-3"/>
    <s v="Estatal"/>
  </r>
  <r>
    <x v="2"/>
    <s v="Nuevo León"/>
    <s v="19"/>
    <s v="19.01"/>
    <s v="Monterrey"/>
    <s v="19031"/>
    <s v="Juárez"/>
    <x v="9"/>
    <s v="Autobús"/>
    <n v="5.9666515978176156"/>
    <n v="5.4892330475448166"/>
    <n v="9.1987529228371029E-2"/>
    <n v="151.12475681995323"/>
    <n v="83.722875292283717"/>
    <n v="107.69487451286048"/>
    <n v="0.16426812159002332"/>
    <s v="Federal"/>
  </r>
  <r>
    <x v="2"/>
    <s v="Nuevo León"/>
    <s v="19"/>
    <s v="19.01"/>
    <s v="Monterrey"/>
    <s v="19031"/>
    <s v="Juárez"/>
    <x v="9"/>
    <s v="Veh&gt;3.8Ton"/>
    <n v="5.4923877954336922"/>
    <n v="5.0461469501829725"/>
    <n v="0.1885964182423743"/>
    <n v="393.23601215533682"/>
    <n v="104.0526030196812"/>
    <n v="206.73146543687898"/>
    <n v="0.41575515752525788"/>
    <s v="Federal"/>
  </r>
  <r>
    <x v="2"/>
    <s v="Nuevo León"/>
    <s v="19"/>
    <s v="19.01"/>
    <s v="Monterrey"/>
    <s v="19031"/>
    <s v="Juárez"/>
    <x v="9"/>
    <s v="Tractocamiones"/>
    <n v="4.2798508484451254"/>
    <n v="3.9373007792586119"/>
    <n v="8.9447345422766E-2"/>
    <n v="171.62186577816618"/>
    <n v="75.420780569514221"/>
    <n v="141.58035241424511"/>
    <n v="0.21183617362173185"/>
    <s v="Federal"/>
  </r>
  <r>
    <x v="2"/>
    <s v="Nuevo León"/>
    <s v="19"/>
    <s v="19.01"/>
    <s v="Monterrey"/>
    <s v="19031"/>
    <s v="Juárez"/>
    <x v="9"/>
    <s v="Pickup y Veh&lt;3.8Ton"/>
    <n v="10.547873292875977"/>
    <n v="9.3569113380183424"/>
    <n v="0.67574973331707699"/>
    <n v="1762.9741195574347"/>
    <n v="367.31977709103444"/>
    <n v="201.10133230697087"/>
    <n v="2.3676535551939772"/>
    <s v="Estatal"/>
  </r>
  <r>
    <x v="2"/>
    <s v="Nuevo León"/>
    <s v="19"/>
    <m/>
    <m/>
    <s v="19032"/>
    <s v="Lampazos de Naranjo"/>
    <x v="9"/>
    <s v="Motocicletas"/>
    <n v="0"/>
    <n v="0"/>
    <n v="0"/>
    <n v="0"/>
    <n v="0"/>
    <n v="0"/>
    <n v="0"/>
    <s v="Estatal"/>
  </r>
  <r>
    <x v="2"/>
    <s v="Nuevo León"/>
    <s v="19"/>
    <m/>
    <m/>
    <s v="19032"/>
    <s v="Lampazos de Naranjo"/>
    <x v="9"/>
    <s v="Autos Particulares"/>
    <n v="0"/>
    <n v="0"/>
    <n v="0"/>
    <n v="0"/>
    <n v="0"/>
    <n v="0"/>
    <n v="0"/>
    <s v="Estatal"/>
  </r>
  <r>
    <x v="2"/>
    <s v="Nuevo León"/>
    <s v="19"/>
    <m/>
    <m/>
    <s v="19032"/>
    <s v="Lampazos de Naranjo"/>
    <x v="9"/>
    <s v="Taxi"/>
    <n v="0"/>
    <n v="0"/>
    <n v="0"/>
    <n v="0"/>
    <n v="0"/>
    <n v="0"/>
    <n v="0"/>
    <s v="Estatal"/>
  </r>
  <r>
    <x v="2"/>
    <s v="Nuevo León"/>
    <s v="19"/>
    <m/>
    <m/>
    <s v="19032"/>
    <s v="Lampazos de Naranjo"/>
    <x v="9"/>
    <s v="Camionetas Particulares"/>
    <n v="0"/>
    <n v="0"/>
    <n v="0"/>
    <n v="0"/>
    <n v="0"/>
    <n v="0"/>
    <n v="0"/>
    <s v="Estatal"/>
  </r>
  <r>
    <x v="2"/>
    <s v="Nuevo León"/>
    <s v="19"/>
    <m/>
    <m/>
    <s v="19032"/>
    <s v="Lampazos de Naranjo"/>
    <x v="9"/>
    <s v="Combi"/>
    <n v="0"/>
    <n v="0"/>
    <n v="0"/>
    <n v="0"/>
    <n v="0"/>
    <n v="0"/>
    <n v="0"/>
    <s v="Estatal"/>
  </r>
  <r>
    <x v="2"/>
    <s v="Nuevo León"/>
    <s v="19"/>
    <m/>
    <m/>
    <s v="19032"/>
    <s v="Lampazos de Naranjo"/>
    <x v="9"/>
    <s v="Autobú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9"/>
    <s v="Veh&gt;3.8Ton"/>
    <n v="0"/>
    <n v="0"/>
    <n v="0"/>
    <n v="0"/>
    <n v="0"/>
    <n v="0"/>
    <n v="0"/>
    <s v="Federal"/>
  </r>
  <r>
    <x v="2"/>
    <s v="Nuevo León"/>
    <s v="19"/>
    <m/>
    <m/>
    <s v="19032"/>
    <s v="Lampazos de Naranjo"/>
    <x v="9"/>
    <s v="Tractocamiones"/>
    <n v="0"/>
    <n v="0"/>
    <n v="0"/>
    <n v="0"/>
    <n v="0"/>
    <n v="0"/>
    <n v="0"/>
    <s v="Federal"/>
  </r>
  <r>
    <x v="2"/>
    <s v="Nuevo León"/>
    <s v="19"/>
    <m/>
    <m/>
    <s v="19032"/>
    <s v="Lampazos de Naranjo"/>
    <x v="9"/>
    <s v="Pickup y Veh&lt;3.8Ton"/>
    <n v="0"/>
    <n v="0"/>
    <n v="0"/>
    <n v="0"/>
    <n v="0"/>
    <n v="0"/>
    <n v="0"/>
    <s v="Estatal"/>
  </r>
  <r>
    <x v="2"/>
    <s v="Nuevo León"/>
    <s v="19"/>
    <m/>
    <m/>
    <s v="19033"/>
    <s v="Linares"/>
    <x v="9"/>
    <s v="Motocicletas"/>
    <n v="0.36752310426540291"/>
    <n v="0.3251187467087942"/>
    <n v="0.10335011848341236"/>
    <n v="376.78069813059506"/>
    <n v="15.922546844830611"/>
    <n v="28.739959452343331"/>
    <n v="0.37071603475513432"/>
    <s v="Estatal"/>
  </r>
  <r>
    <x v="2"/>
    <s v="Nuevo León"/>
    <s v="19"/>
    <m/>
    <m/>
    <s v="19033"/>
    <s v="Linares"/>
    <x v="9"/>
    <s v="Autos Particulares"/>
    <n v="7.4386509380350034"/>
    <n v="6.5804945695483994"/>
    <n v="0.3923676029216267"/>
    <n v="1023.1264603388948"/>
    <n v="272.65922361845043"/>
    <n v="90.093744047767288"/>
    <n v="1.4937377256925932"/>
    <s v="Estatal"/>
  </r>
  <r>
    <x v="2"/>
    <s v="Nuevo León"/>
    <s v="19"/>
    <m/>
    <m/>
    <s v="19033"/>
    <s v="Linares"/>
    <x v="9"/>
    <s v="Taxi"/>
    <n v="9.5935592918779455E-2"/>
    <n v="8.4871452717729737E-2"/>
    <n v="1.6568988524152659E-2"/>
    <n v="41.747998434275509"/>
    <n v="20.526088440050714"/>
    <n v="1.9222184265931261"/>
    <n v="4.6448428795065763E-2"/>
    <s v="Estatal"/>
  </r>
  <r>
    <x v="2"/>
    <s v="Nuevo León"/>
    <s v="19"/>
    <m/>
    <m/>
    <s v="19033"/>
    <s v="Linares"/>
    <x v="9"/>
    <s v="Camionetas Particulares"/>
    <n v="1.4316010224395457"/>
    <n v="1.2683724757444188"/>
    <n v="0.16810118664995977"/>
    <n v="330.01863577726385"/>
    <n v="73.491828526933546"/>
    <n v="35.936241746930818"/>
    <n v="0.5127776721087226"/>
    <s v="Estatal"/>
  </r>
  <r>
    <x v="2"/>
    <s v="Nuevo León"/>
    <s v="19"/>
    <m/>
    <m/>
    <s v="19033"/>
    <s v="Linares"/>
    <x v="9"/>
    <s v="Combi"/>
    <n v="0"/>
    <n v="0"/>
    <n v="0"/>
    <n v="0"/>
    <n v="0"/>
    <n v="0"/>
    <n v="0"/>
    <s v="Estatal"/>
  </r>
  <r>
    <x v="2"/>
    <s v="Nuevo León"/>
    <s v="19"/>
    <m/>
    <m/>
    <s v="19033"/>
    <s v="Linares"/>
    <x v="9"/>
    <s v="Autobús"/>
    <n v="1.6337260327357757"/>
    <n v="1.5030042868277476"/>
    <n v="2.5187061574434923E-2"/>
    <n v="41.379397700701482"/>
    <n v="22.92412061574435"/>
    <n v="29.48788230709275"/>
    <n v="4.497817614964926E-2"/>
    <s v="Federal"/>
  </r>
  <r>
    <x v="2"/>
    <s v="Nuevo León"/>
    <s v="19"/>
    <m/>
    <m/>
    <s v="19033"/>
    <s v="Linares"/>
    <x v="9"/>
    <s v="Veh&gt;3.8Ton"/>
    <n v="3.0214387542559669"/>
    <n v="2.7746413812412287"/>
    <n v="0.11263823274812874"/>
    <n v="262.29572749874245"/>
    <n v="57.817478480635415"/>
    <n v="126.15251918062731"/>
    <n v="0.24177808718078003"/>
    <s v="Federal"/>
  </r>
  <r>
    <x v="2"/>
    <s v="Nuevo León"/>
    <s v="19"/>
    <m/>
    <m/>
    <s v="19033"/>
    <s v="Linares"/>
    <x v="9"/>
    <s v="Tractocamiones"/>
    <n v="1.6401823610807666"/>
    <n v="1.5089056878595877"/>
    <n v="3.4279222197946248E-2"/>
    <n v="65.771253950914002"/>
    <n v="28.90377219430485"/>
    <n v="54.258338649770586"/>
    <n v="8.1182725220304425E-2"/>
    <s v="Federal"/>
  </r>
  <r>
    <x v="2"/>
    <s v="Nuevo León"/>
    <s v="19"/>
    <m/>
    <m/>
    <s v="19033"/>
    <s v="Linares"/>
    <x v="9"/>
    <s v="Pickup y Veh&lt;3.8Ton"/>
    <n v="6.5117862634279895"/>
    <n v="5.7852099473129854"/>
    <n v="0.39478268532565974"/>
    <n v="1043.1121585720214"/>
    <n v="219.00227364848496"/>
    <n v="120.11742857988541"/>
    <n v="1.3821291080165838"/>
    <s v="Estatal"/>
  </r>
  <r>
    <x v="2"/>
    <s v="Nuevo León"/>
    <s v="19"/>
    <m/>
    <m/>
    <s v="19003"/>
    <s v="Los Aldamas"/>
    <x v="9"/>
    <s v="Motocicletas"/>
    <n v="2.5912322274881513E-3"/>
    <n v="2.2922590837282783E-3"/>
    <n v="7.2867298578199063E-4"/>
    <n v="2.656503159557662"/>
    <n v="0.1122623749341759"/>
    <n v="0.20263191153238541"/>
    <n v="2.6137440758293843E-3"/>
    <s v="Estatal"/>
  </r>
  <r>
    <x v="2"/>
    <s v="Nuevo León"/>
    <s v="19"/>
    <m/>
    <m/>
    <s v="19003"/>
    <s v="Los Aldamas"/>
    <x v="9"/>
    <s v="Autos Particulares"/>
    <n v="8.6703654740226635E-2"/>
    <n v="7.6700667227245847E-2"/>
    <n v="4.5725723450154724E-3"/>
    <n v="11.920826689243777"/>
    <n v="3.1766362691015817"/>
    <n v="1.0502285130979807"/>
    <n v="1.740953134705412E-2"/>
    <s v="Estatal"/>
  </r>
  <r>
    <x v="2"/>
    <s v="Nuevo León"/>
    <s v="19"/>
    <m/>
    <m/>
    <s v="19003"/>
    <s v="Los Aldamas"/>
    <x v="9"/>
    <s v="Taxi"/>
    <n v="1.4108175429232274E-3"/>
    <n v="1.2481095987901432E-3"/>
    <n v="2.4366159594342143E-4"/>
    <n v="0.61394115344522815"/>
    <n v="0.30185424176545167"/>
    <n v="2.8267918038134214E-2"/>
    <n v="6.830651293392025E-4"/>
    <s v="Estatal"/>
  </r>
  <r>
    <x v="2"/>
    <s v="Nuevo León"/>
    <s v="19"/>
    <m/>
    <m/>
    <s v="19003"/>
    <s v="Los Aldamas"/>
    <x v="9"/>
    <s v="Camionetas Particulares"/>
    <n v="1.028427404064511E-2"/>
    <n v="9.0998445888624806E-3"/>
    <n v="1.2453731222199771E-3"/>
    <n v="2.4481036872790058"/>
    <n v="0.54316746620180212"/>
    <n v="0.26663263027230127"/>
    <n v="3.7926218289925009E-3"/>
    <s v="Estatal"/>
  </r>
  <r>
    <x v="2"/>
    <s v="Nuevo León"/>
    <s v="19"/>
    <m/>
    <m/>
    <s v="19003"/>
    <s v="Los Aldamas"/>
    <x v="9"/>
    <s v="Combi"/>
    <n v="0"/>
    <n v="0"/>
    <n v="0"/>
    <n v="0"/>
    <n v="0"/>
    <n v="0"/>
    <n v="0"/>
    <s v="Estatal"/>
  </r>
  <r>
    <x v="2"/>
    <s v="Nuevo León"/>
    <s v="19"/>
    <m/>
    <m/>
    <s v="19003"/>
    <s v="Los Aldamas"/>
    <x v="9"/>
    <s v="Autobús"/>
    <n v="0"/>
    <n v="0"/>
    <n v="0"/>
    <n v="0"/>
    <n v="0"/>
    <n v="0"/>
    <n v="0"/>
    <s v="Federal"/>
  </r>
  <r>
    <x v="2"/>
    <s v="Nuevo León"/>
    <s v="19"/>
    <m/>
    <m/>
    <s v="19003"/>
    <s v="Los Aldamas"/>
    <x v="9"/>
    <s v="Veh&gt;3.8Ton"/>
    <n v="0"/>
    <n v="0"/>
    <n v="0"/>
    <n v="0"/>
    <n v="0"/>
    <n v="0"/>
    <n v="0"/>
    <s v="Federal"/>
  </r>
  <r>
    <x v="2"/>
    <s v="Nuevo León"/>
    <s v="19"/>
    <m/>
    <m/>
    <s v="19003"/>
    <s v="Los Aldamas"/>
    <x v="9"/>
    <s v="Tractocamiones"/>
    <n v="5.1255698783773958E-2"/>
    <n v="4.7153302745612115E-2"/>
    <n v="1.0712256936858202E-3"/>
    <n v="2.0553516859660625"/>
    <n v="0.90324288107202655"/>
    <n v="1.6955730828053308"/>
    <n v="2.5369601631345133E-3"/>
    <s v="Federal"/>
  </r>
  <r>
    <x v="2"/>
    <s v="Nuevo León"/>
    <s v="19"/>
    <m/>
    <m/>
    <s v="19003"/>
    <s v="Los Aldamas"/>
    <x v="9"/>
    <s v="Pickup y Veh&lt;3.8Ton"/>
    <n v="0.14187614939966886"/>
    <n v="0.12530446366121148"/>
    <n v="1.0072522675015089E-2"/>
    <n v="27.207808671919427"/>
    <n v="5.5544006099287824"/>
    <n v="3.1783510683052327"/>
    <n v="3.4667605699206787E-2"/>
    <s v="Estatal"/>
  </r>
  <r>
    <x v="2"/>
    <s v="Nuevo León"/>
    <s v="19"/>
    <m/>
    <m/>
    <s v="19027"/>
    <s v="Los Herreras"/>
    <x v="9"/>
    <s v="Motocicletas"/>
    <n v="0"/>
    <n v="0"/>
    <n v="0"/>
    <n v="0"/>
    <n v="0"/>
    <n v="0"/>
    <n v="0"/>
    <s v="Estatal"/>
  </r>
  <r>
    <x v="2"/>
    <s v="Nuevo León"/>
    <s v="19"/>
    <m/>
    <m/>
    <s v="19027"/>
    <s v="Los Herreras"/>
    <x v="9"/>
    <s v="Autos Particulares"/>
    <n v="0.14846516222641545"/>
    <n v="0.13133675895076341"/>
    <n v="7.8297471661223864E-3"/>
    <n v="20.412374467883183"/>
    <n v="5.4394456662698314"/>
    <n v="1.7983364950307887"/>
    <n v="2.9810841347695412E-2"/>
    <s v="Estatal"/>
  </r>
  <r>
    <x v="2"/>
    <s v="Nuevo León"/>
    <s v="19"/>
    <m/>
    <m/>
    <s v="19027"/>
    <s v="Los Herreras"/>
    <x v="9"/>
    <s v="Taxi"/>
    <n v="0"/>
    <n v="0"/>
    <n v="0"/>
    <n v="0"/>
    <n v="0"/>
    <n v="0"/>
    <n v="0"/>
    <s v="Estatal"/>
  </r>
  <r>
    <x v="2"/>
    <s v="Nuevo León"/>
    <s v="19"/>
    <m/>
    <m/>
    <s v="19027"/>
    <s v="Los Herreras"/>
    <x v="9"/>
    <s v="Camionetas Particulares"/>
    <n v="2.5367875966924604E-2"/>
    <n v="2.244628331919412E-2"/>
    <n v="3.0719203681426103E-3"/>
    <n v="6.0386557619548817"/>
    <n v="1.3398130832977786"/>
    <n v="0.65769382133834309"/>
    <n v="9.3551338448481687E-3"/>
    <s v="Estatal"/>
  </r>
  <r>
    <x v="2"/>
    <s v="Nuevo León"/>
    <s v="19"/>
    <m/>
    <m/>
    <s v="19027"/>
    <s v="Los Herreras"/>
    <x v="9"/>
    <s v="Combi"/>
    <n v="0"/>
    <n v="0"/>
    <n v="0"/>
    <n v="0"/>
    <n v="0"/>
    <n v="0"/>
    <n v="0"/>
    <s v="Estatal"/>
  </r>
  <r>
    <x v="2"/>
    <s v="Nuevo León"/>
    <s v="19"/>
    <m/>
    <m/>
    <s v="19027"/>
    <s v="Los Herreras"/>
    <x v="9"/>
    <s v="Autobús"/>
    <n v="0"/>
    <n v="0"/>
    <n v="0"/>
    <n v="0"/>
    <n v="0"/>
    <n v="0"/>
    <n v="0"/>
    <s v="Federal"/>
  </r>
  <r>
    <x v="2"/>
    <s v="Nuevo León"/>
    <s v="19"/>
    <m/>
    <m/>
    <s v="19027"/>
    <s v="Los Herreras"/>
    <x v="9"/>
    <s v="Veh&gt;3.8Ton"/>
    <n v="2.9462166104020711E-3"/>
    <n v="2.6062944343372817E-3"/>
    <n v="7.8130649704047264E-4"/>
    <n v="3.7325991950317663"/>
    <n v="0.10098844433544597"/>
    <n v="1.0617479567476211"/>
    <n v="1.2437626276925889E-3"/>
    <s v="Federal"/>
  </r>
  <r>
    <x v="2"/>
    <s v="Nuevo León"/>
    <s v="19"/>
    <m/>
    <m/>
    <s v="19027"/>
    <s v="Los Herreras"/>
    <x v="9"/>
    <s v="Tractocamiones"/>
    <n v="0"/>
    <n v="0"/>
    <n v="0"/>
    <n v="0"/>
    <n v="0"/>
    <n v="0"/>
    <n v="0"/>
    <s v="Federal"/>
  </r>
  <r>
    <x v="2"/>
    <s v="Nuevo León"/>
    <s v="19"/>
    <m/>
    <m/>
    <s v="19027"/>
    <s v="Los Herreras"/>
    <x v="9"/>
    <s v="Pickup y Veh&lt;3.8Ton"/>
    <n v="0.24817306090387067"/>
    <n v="0.21923511695985909"/>
    <n v="1.7602152609348883E-2"/>
    <n v="46.923024655915341"/>
    <n v="9.5971352778928658"/>
    <n v="5.4355616352366694"/>
    <n v="6.0619673017725514E-2"/>
    <s v="Estatal"/>
  </r>
  <r>
    <x v="2"/>
    <s v="Nuevo León"/>
    <s v="19"/>
    <m/>
    <m/>
    <s v="19042"/>
    <s v="Los Ramones"/>
    <x v="9"/>
    <s v="Motocicletas"/>
    <n v="7.3418246445497619E-3"/>
    <n v="6.4947340705634547E-3"/>
    <n v="2.0645734597156402E-3"/>
    <n v="7.5267589520800424"/>
    <n v="0.31807672898016504"/>
    <n v="0.57412374934175869"/>
    <n v="7.4056082148499227E-3"/>
    <s v="Estatal"/>
  </r>
  <r>
    <x v="2"/>
    <s v="Nuevo León"/>
    <s v="19"/>
    <m/>
    <m/>
    <s v="19042"/>
    <s v="Los Ramones"/>
    <x v="9"/>
    <s v="Autos Particulares"/>
    <n v="0.42876738850988783"/>
    <n v="0.37930055984980482"/>
    <n v="2.2612309815761445E-2"/>
    <n v="58.950937463246625"/>
    <n v="15.709119084187273"/>
    <n v="5.1935957976489178"/>
    <n v="8.6093709812144342E-2"/>
    <s v="Estatal"/>
  </r>
  <r>
    <x v="2"/>
    <s v="Nuevo León"/>
    <s v="19"/>
    <m/>
    <m/>
    <s v="19042"/>
    <s v="Los Ramones"/>
    <x v="9"/>
    <s v="Taxi"/>
    <n v="0"/>
    <n v="0"/>
    <n v="0"/>
    <n v="0"/>
    <n v="0"/>
    <n v="0"/>
    <n v="0"/>
    <s v="Estatal"/>
  </r>
  <r>
    <x v="2"/>
    <s v="Nuevo León"/>
    <s v="19"/>
    <m/>
    <m/>
    <s v="19042"/>
    <s v="Los Ramones"/>
    <x v="9"/>
    <s v="Camionetas Particulares"/>
    <n v="7.9531719247655508E-2"/>
    <n v="7.0372131487203171E-2"/>
    <n v="9.6308854785011576E-3"/>
    <n v="18.932001848290977"/>
    <n v="4.2004950719606038"/>
    <n v="2.0619590074391296"/>
    <n v="2.9329608810875343E-2"/>
    <s v="Estatal"/>
  </r>
  <r>
    <x v="2"/>
    <s v="Nuevo León"/>
    <s v="19"/>
    <m/>
    <m/>
    <s v="19042"/>
    <s v="Los Ramones"/>
    <x v="9"/>
    <s v="Combi"/>
    <n v="0"/>
    <n v="0"/>
    <n v="0"/>
    <n v="0"/>
    <n v="0"/>
    <n v="0"/>
    <n v="0"/>
    <s v="Estatal"/>
  </r>
  <r>
    <x v="2"/>
    <s v="Nuevo León"/>
    <s v="19"/>
    <m/>
    <m/>
    <s v="19042"/>
    <s v="Los Ramones"/>
    <x v="9"/>
    <s v="Autobús"/>
    <n v="0.49722096648480135"/>
    <n v="0.45743608729540147"/>
    <n v="7.6656274356975826E-3"/>
    <n v="12.593729734996105"/>
    <n v="6.9769062743569767"/>
    <n v="8.9745728760717061"/>
    <n v="1.3689010132501947E-2"/>
    <s v="Federal"/>
  </r>
  <r>
    <x v="2"/>
    <s v="Nuevo León"/>
    <s v="19"/>
    <m/>
    <m/>
    <s v="19042"/>
    <s v="Los Ramones"/>
    <x v="9"/>
    <s v="Veh&gt;3.8Ton"/>
    <n v="0.44223889229931268"/>
    <n v="0.40656655418367005"/>
    <n v="1.3438246872280126E-2"/>
    <n v="22.514452756170378"/>
    <n v="8.2361528697189375"/>
    <n v="14.203000263272061"/>
    <n v="3.0331869995710116E-2"/>
    <s v="Federal"/>
  </r>
  <r>
    <x v="2"/>
    <s v="Nuevo León"/>
    <s v="19"/>
    <m/>
    <m/>
    <s v="19042"/>
    <s v="Los Ramones"/>
    <x v="9"/>
    <s v="Tractocamiones"/>
    <n v="0.20502279513509583"/>
    <n v="0.18861321098244846"/>
    <n v="4.284902774743281E-3"/>
    <n v="8.2214067438642502"/>
    <n v="3.6129715242881062"/>
    <n v="6.7822923312213232"/>
    <n v="1.0147840652538053E-2"/>
    <s v="Federal"/>
  </r>
  <r>
    <x v="2"/>
    <s v="Nuevo León"/>
    <s v="19"/>
    <m/>
    <m/>
    <s v="19042"/>
    <s v="Los Ramones"/>
    <x v="9"/>
    <s v="Pickup y Veh&lt;3.8Ton"/>
    <n v="0.89211512747527622"/>
    <n v="0.79138057092988701"/>
    <n v="5.6931783977858794E-2"/>
    <n v="153.11074201607099"/>
    <n v="31.672398856555183"/>
    <n v="17.869390037115402"/>
    <n v="0.196462421203243"/>
    <s v="Estatal"/>
  </r>
  <r>
    <x v="2"/>
    <s v="Nuevo León"/>
    <s v="19"/>
    <m/>
    <m/>
    <s v="19034"/>
    <s v="Marín"/>
    <x v="9"/>
    <s v="Motocicletas"/>
    <n v="1.6843009478672986E-2"/>
    <n v="1.4899684044233809E-2"/>
    <n v="4.7363744075829394E-3"/>
    <n v="17.267270537124801"/>
    <n v="0.7297054370721433"/>
    <n v="1.3171074249605053"/>
    <n v="1.6989336492891E-2"/>
    <s v="Estatal"/>
  </r>
  <r>
    <x v="2"/>
    <s v="Nuevo León"/>
    <s v="19"/>
    <m/>
    <m/>
    <s v="19034"/>
    <s v="Marín"/>
    <x v="9"/>
    <s v="Autos Particulares"/>
    <n v="0.82546630197887005"/>
    <n v="0.73023237976624455"/>
    <n v="4.3533394243640458E-2"/>
    <n v="113.49280204143048"/>
    <n v="30.243317904460259"/>
    <n v="9.998750912371186"/>
    <n v="0.16574827789318647"/>
    <s v="Estatal"/>
  </r>
  <r>
    <x v="2"/>
    <s v="Nuevo León"/>
    <s v="19"/>
    <m/>
    <m/>
    <s v="19034"/>
    <s v="Marín"/>
    <x v="9"/>
    <s v="Taxi"/>
    <n v="4.2324526287696815E-3"/>
    <n v="3.74432879637043E-3"/>
    <n v="7.3098478783026419E-4"/>
    <n v="1.841823460335684"/>
    <n v="0.90556272529635506"/>
    <n v="8.4803754114402635E-2"/>
    <n v="2.0491953880176074E-3"/>
    <s v="Estatal"/>
  </r>
  <r>
    <x v="2"/>
    <s v="Nuevo León"/>
    <s v="19"/>
    <m/>
    <m/>
    <s v="19034"/>
    <s v="Marín"/>
    <x v="9"/>
    <s v="Camionetas Particulares"/>
    <n v="9.1187229827053309E-2"/>
    <n v="8.0685288687913997E-2"/>
    <n v="1.1042308350350463E-2"/>
    <n v="21.706519360540522"/>
    <n v="4.8160848669893124"/>
    <n v="2.3641426550810714"/>
    <n v="3.3627913550400172E-2"/>
    <s v="Estatal"/>
  </r>
  <r>
    <x v="2"/>
    <s v="Nuevo León"/>
    <s v="19"/>
    <m/>
    <m/>
    <s v="19034"/>
    <s v="Marín"/>
    <x v="9"/>
    <s v="Combi"/>
    <n v="0"/>
    <n v="0"/>
    <n v="0"/>
    <n v="0"/>
    <n v="0"/>
    <n v="0"/>
    <n v="0"/>
    <s v="Estatal"/>
  </r>
  <r>
    <x v="2"/>
    <s v="Nuevo León"/>
    <s v="19"/>
    <m/>
    <m/>
    <s v="19034"/>
    <s v="Marín"/>
    <x v="9"/>
    <s v="Autobús"/>
    <n v="0.14206313328137182"/>
    <n v="0.13069602494154328"/>
    <n v="2.1901792673421671E-3"/>
    <n v="3.5982084957131724"/>
    <n v="1.9934017926734218"/>
    <n v="2.5641636788776307"/>
    <n v="3.9111457521434131E-3"/>
    <s v="Federal"/>
  </r>
  <r>
    <x v="2"/>
    <s v="Nuevo León"/>
    <s v="19"/>
    <m/>
    <m/>
    <s v="19034"/>
    <s v="Marín"/>
    <x v="9"/>
    <s v="Veh&gt;3.8Ton"/>
    <n v="0.54821213166039795"/>
    <n v="0.50354490443549493"/>
    <n v="1.9680427227200113E-2"/>
    <n v="43.559902451555544"/>
    <n v="10.411239835967239"/>
    <n v="21.831267708700523"/>
    <n v="4.2150805684200925E-2"/>
    <s v="Federal"/>
  </r>
  <r>
    <x v="2"/>
    <s v="Nuevo León"/>
    <s v="19"/>
    <m/>
    <m/>
    <s v="19034"/>
    <s v="Marín"/>
    <x v="9"/>
    <s v="Tractocamiones"/>
    <n v="0.3075341927026437"/>
    <n v="0.2829198164736727"/>
    <n v="6.4273541621149228E-3"/>
    <n v="12.332110115796374"/>
    <n v="5.4194572864321602"/>
    <n v="10.173438496831986"/>
    <n v="1.5221760978807078E-2"/>
    <s v="Federal"/>
  </r>
  <r>
    <x v="2"/>
    <s v="Nuevo León"/>
    <s v="19"/>
    <m/>
    <m/>
    <s v="19034"/>
    <s v="Marín"/>
    <x v="9"/>
    <s v="Pickup y Veh&lt;3.8Ton"/>
    <n v="0.47516617236175857"/>
    <n v="0.4199796184106287"/>
    <n v="3.3324021545235658E-2"/>
    <n v="87.828551112032983"/>
    <n v="18.026252334923011"/>
    <n v="10.100689146252"/>
    <n v="0.11485620553336851"/>
    <s v="Estatal"/>
  </r>
  <r>
    <x v="2"/>
    <s v="Nuevo León"/>
    <s v="19"/>
    <m/>
    <m/>
    <s v="19035"/>
    <s v="Melchor Ocampo"/>
    <x v="9"/>
    <s v="Motocicletas"/>
    <n v="8.6374407582938384E-4"/>
    <n v="7.6408636124275942E-4"/>
    <n v="2.4289099526066354E-4"/>
    <n v="0.88550105318588723"/>
    <n v="3.7420791644725303E-2"/>
    <n v="6.7543970510795137E-2"/>
    <n v="8.712480252764614E-4"/>
    <s v="Estatal"/>
  </r>
  <r>
    <x v="2"/>
    <s v="Nuevo León"/>
    <s v="19"/>
    <m/>
    <m/>
    <s v="19035"/>
    <s v="Melchor Ocampo"/>
    <x v="9"/>
    <s v="Autos Particulares"/>
    <n v="0.14727744092860412"/>
    <n v="0.13028606487915731"/>
    <n v="7.7671091887934057E-3"/>
    <n v="20.249075472140117"/>
    <n v="5.3959301009396725"/>
    <n v="1.7839498030705427"/>
    <n v="2.9572354616913848E-2"/>
    <s v="Estatal"/>
  </r>
  <r>
    <x v="2"/>
    <s v="Nuevo León"/>
    <s v="19"/>
    <m/>
    <m/>
    <s v="19035"/>
    <s v="Melchor Ocampo"/>
    <x v="9"/>
    <s v="Taxi"/>
    <n v="0"/>
    <n v="0"/>
    <n v="0"/>
    <n v="0"/>
    <n v="0"/>
    <n v="0"/>
    <n v="0"/>
    <s v="Estatal"/>
  </r>
  <r>
    <x v="2"/>
    <s v="Nuevo León"/>
    <s v="19"/>
    <m/>
    <m/>
    <s v="19035"/>
    <s v="Melchor Ocampo"/>
    <x v="9"/>
    <s v="Camionetas Particulares"/>
    <n v="1.9197311542537541E-2"/>
    <n v="1.6986376565876631E-2"/>
    <n v="2.3246964948106237E-3"/>
    <n v="4.5697935495874775"/>
    <n v="1.0139126035766974"/>
    <n v="0.49771424317496232"/>
    <n v="7.0795607474526678E-3"/>
    <s v="Estatal"/>
  </r>
  <r>
    <x v="2"/>
    <s v="Nuevo León"/>
    <s v="19"/>
    <m/>
    <m/>
    <s v="19035"/>
    <s v="Melchor Ocampo"/>
    <x v="9"/>
    <s v="Combi"/>
    <n v="0"/>
    <n v="0"/>
    <n v="0"/>
    <n v="0"/>
    <n v="0"/>
    <n v="0"/>
    <n v="0"/>
    <s v="Estatal"/>
  </r>
  <r>
    <x v="2"/>
    <s v="Nuevo León"/>
    <s v="19"/>
    <m/>
    <m/>
    <s v="19035"/>
    <s v="Melchor Ocampo"/>
    <x v="9"/>
    <s v="Autobús"/>
    <n v="0"/>
    <n v="0"/>
    <n v="0"/>
    <n v="0"/>
    <n v="0"/>
    <n v="0"/>
    <n v="0"/>
    <s v="Federal"/>
  </r>
  <r>
    <x v="2"/>
    <s v="Nuevo León"/>
    <s v="19"/>
    <m/>
    <m/>
    <s v="19035"/>
    <s v="Melchor Ocampo"/>
    <x v="9"/>
    <s v="Veh&gt;3.8Ton"/>
    <n v="2.5756755687670833E-2"/>
    <n v="2.3593013954371925E-2"/>
    <n v="1.3652184644698784E-3"/>
    <n v="4.3282126250883488"/>
    <n v="0.51852463047821429"/>
    <n v="1.6416298721702105"/>
    <n v="2.6437932651995552E-3"/>
    <s v="Federal"/>
  </r>
  <r>
    <x v="2"/>
    <s v="Nuevo León"/>
    <s v="19"/>
    <m/>
    <m/>
    <s v="19035"/>
    <s v="Melchor Ocampo"/>
    <x v="9"/>
    <s v="Tractocamiones"/>
    <n v="0"/>
    <n v="0"/>
    <n v="0"/>
    <n v="0"/>
    <n v="0"/>
    <n v="0"/>
    <n v="0"/>
    <s v="Federal"/>
  </r>
  <r>
    <x v="2"/>
    <s v="Nuevo León"/>
    <s v="19"/>
    <m/>
    <m/>
    <s v="19035"/>
    <s v="Melchor Ocampo"/>
    <x v="9"/>
    <s v="Pickup y Veh&lt;3.8Ton"/>
    <n v="9.1063161861319034E-2"/>
    <n v="8.0365947363567697E-2"/>
    <n v="6.6440849463828486E-3"/>
    <n v="17.785517841061917"/>
    <n v="3.6180227195332191"/>
    <n v="2.0649868412607586"/>
    <n v="2.2859647954440305E-2"/>
    <s v="Estatal"/>
  </r>
  <r>
    <x v="2"/>
    <s v="Nuevo León"/>
    <s v="19"/>
    <m/>
    <m/>
    <s v="19036"/>
    <s v="Mier y Noriega"/>
    <x v="9"/>
    <s v="Motocicletas"/>
    <n v="6.4780805687203796E-3"/>
    <n v="5.7306477093206952E-3"/>
    <n v="1.8216824644549767E-3"/>
    <n v="6.6412578988941551"/>
    <n v="0.2806559373354397"/>
    <n v="0.5065797788309635"/>
    <n v="6.5343601895734606E-3"/>
    <s v="Estatal"/>
  </r>
  <r>
    <x v="2"/>
    <s v="Nuevo León"/>
    <s v="19"/>
    <m/>
    <m/>
    <s v="19036"/>
    <s v="Mier y Noriega"/>
    <x v="9"/>
    <s v="Autos Particulares"/>
    <n v="0.11402124458988709"/>
    <n v="0.10086663087418631"/>
    <n v="6.0132458235819912E-3"/>
    <n v="15.676703591334283"/>
    <n v="4.177494271695231"/>
    <n v="1.3811224281836456"/>
    <n v="2.2894726155030073E-2"/>
    <s v="Estatal"/>
  </r>
  <r>
    <x v="2"/>
    <s v="Nuevo León"/>
    <s v="19"/>
    <m/>
    <m/>
    <s v="19036"/>
    <s v="Mier y Noriega"/>
    <x v="9"/>
    <s v="Taxi"/>
    <n v="0"/>
    <n v="0"/>
    <n v="0"/>
    <n v="0"/>
    <n v="0"/>
    <n v="0"/>
    <n v="0"/>
    <s v="Estatal"/>
  </r>
  <r>
    <x v="2"/>
    <s v="Nuevo León"/>
    <s v="19"/>
    <m/>
    <m/>
    <s v="19036"/>
    <s v="Mier y Noriega"/>
    <x v="9"/>
    <s v="Camionetas Particulares"/>
    <n v="4.182271443195678E-2"/>
    <n v="3.7006034661374088E-2"/>
    <n v="5.0645173636945737E-3"/>
    <n v="9.9556216616012918"/>
    <n v="2.2088810292206627"/>
    <n v="1.0843060297740252"/>
    <n v="1.5423328771236172E-2"/>
    <s v="Estatal"/>
  </r>
  <r>
    <x v="2"/>
    <s v="Nuevo León"/>
    <s v="19"/>
    <m/>
    <m/>
    <s v="19036"/>
    <s v="Mier y Noriega"/>
    <x v="9"/>
    <s v="Combi"/>
    <n v="0"/>
    <n v="0"/>
    <n v="0"/>
    <n v="0"/>
    <n v="0"/>
    <n v="0"/>
    <n v="0"/>
    <s v="Estatal"/>
  </r>
  <r>
    <x v="2"/>
    <s v="Nuevo León"/>
    <s v="19"/>
    <m/>
    <m/>
    <s v="19036"/>
    <s v="Mier y Noriega"/>
    <x v="9"/>
    <s v="Autobús"/>
    <n v="0"/>
    <n v="0"/>
    <n v="0"/>
    <n v="0"/>
    <n v="0"/>
    <n v="0"/>
    <n v="0"/>
    <s v="Federal"/>
  </r>
  <r>
    <x v="2"/>
    <s v="Nuevo León"/>
    <s v="19"/>
    <m/>
    <m/>
    <s v="19036"/>
    <s v="Mier y Noriega"/>
    <x v="9"/>
    <s v="Veh&gt;3.8Ton"/>
    <n v="9.7134589529879189E-2"/>
    <n v="8.9159466948813118E-2"/>
    <n v="3.898260863798568E-3"/>
    <n v="9.8476521102898644"/>
    <n v="1.8721216332419655"/>
    <n v="4.4430235751855989"/>
    <n v="8.08764780541304E-3"/>
    <s v="Federal"/>
  </r>
  <r>
    <x v="2"/>
    <s v="Nuevo León"/>
    <s v="19"/>
    <m/>
    <m/>
    <s v="19036"/>
    <s v="Mier y Noriega"/>
    <x v="9"/>
    <s v="Tractocamiones"/>
    <n v="0"/>
    <n v="0"/>
    <n v="0"/>
    <n v="0"/>
    <n v="0"/>
    <n v="0"/>
    <n v="0"/>
    <s v="Federal"/>
  </r>
  <r>
    <x v="2"/>
    <s v="Nuevo León"/>
    <s v="19"/>
    <m/>
    <m/>
    <s v="19036"/>
    <s v="Mier y Noriega"/>
    <x v="9"/>
    <s v="Pickup y Veh&lt;3.8Ton"/>
    <n v="0.45665890201999271"/>
    <n v="0.40465458278268274"/>
    <n v="2.9948951564898622E-2"/>
    <n v="80.548952266856929"/>
    <n v="16.608777340163293"/>
    <n v="9.3964897178363991"/>
    <n v="0.10328335280021714"/>
    <s v="Estatal"/>
  </r>
  <r>
    <x v="2"/>
    <s v="Nuevo León"/>
    <s v="19"/>
    <m/>
    <m/>
    <s v="19037"/>
    <s v="Mina"/>
    <x v="9"/>
    <s v="Motocicletas"/>
    <n v="6.4780805687203796E-3"/>
    <n v="5.7306477093206952E-3"/>
    <n v="1.8216824644549767E-3"/>
    <n v="6.6412578988941551"/>
    <n v="0.2806559373354397"/>
    <n v="0.5065797788309635"/>
    <n v="6.5343601895734606E-3"/>
    <s v="Estatal"/>
  </r>
  <r>
    <x v="2"/>
    <s v="Nuevo León"/>
    <s v="19"/>
    <m/>
    <m/>
    <s v="19037"/>
    <s v="Mina"/>
    <x v="9"/>
    <s v="Autos Particulares"/>
    <n v="0.55229040348226555"/>
    <n v="0.48857274329683986"/>
    <n v="2.9126659457975271E-2"/>
    <n v="75.934033020525433"/>
    <n v="20.23473787852377"/>
    <n v="6.6898117615145338"/>
    <n v="0.11089632981342692"/>
    <s v="Estatal"/>
  </r>
  <r>
    <x v="2"/>
    <s v="Nuevo León"/>
    <s v="19"/>
    <m/>
    <m/>
    <s v="19037"/>
    <s v="Mina"/>
    <x v="9"/>
    <s v="Taxi"/>
    <n v="1.2697357886309046E-2"/>
    <n v="1.123298638911129E-2"/>
    <n v="2.1929543634907926E-3"/>
    <n v="5.525470381007052"/>
    <n v="2.7166881758890646"/>
    <n v="0.25441126234320788"/>
    <n v="6.1475861640528217E-3"/>
    <s v="Estatal"/>
  </r>
  <r>
    <x v="2"/>
    <s v="Nuevo León"/>
    <s v="19"/>
    <m/>
    <m/>
    <s v="19037"/>
    <s v="Mina"/>
    <x v="9"/>
    <s v="Camionetas Particulares"/>
    <n v="7.6103627900773796E-2"/>
    <n v="6.7338849957582353E-2"/>
    <n v="9.2157611044278304E-3"/>
    <n v="18.115967285864642"/>
    <n v="4.0194392498933373"/>
    <n v="1.9730814640150294"/>
    <n v="2.806540153454451E-2"/>
    <s v="Estatal"/>
  </r>
  <r>
    <x v="2"/>
    <s v="Nuevo León"/>
    <s v="19"/>
    <m/>
    <m/>
    <s v="19037"/>
    <s v="Mina"/>
    <x v="9"/>
    <s v="Combi"/>
    <n v="0"/>
    <n v="0"/>
    <n v="0"/>
    <n v="0"/>
    <n v="0"/>
    <n v="0"/>
    <n v="0"/>
    <s v="Estatal"/>
  </r>
  <r>
    <x v="2"/>
    <s v="Nuevo León"/>
    <s v="19"/>
    <m/>
    <m/>
    <s v="19037"/>
    <s v="Mina"/>
    <x v="9"/>
    <s v="Autobús"/>
    <n v="7.1031566640685911E-2"/>
    <n v="6.5348012470771641E-2"/>
    <n v="1.0950896336710835E-3"/>
    <n v="1.7991042478565862"/>
    <n v="0.99670089633671088"/>
    <n v="1.2820818394388154"/>
    <n v="1.9555728760717065E-3"/>
    <s v="Federal"/>
  </r>
  <r>
    <x v="2"/>
    <s v="Nuevo León"/>
    <s v="19"/>
    <m/>
    <m/>
    <s v="19037"/>
    <s v="Mina"/>
    <x v="9"/>
    <s v="Veh&gt;3.8Ton"/>
    <n v="0.1883767458389542"/>
    <n v="0.17310634502895167"/>
    <n v="6.2339087335161912E-3"/>
    <n v="12.230105830516196"/>
    <n v="3.5422663778130379"/>
    <n v="6.7625512368759573"/>
    <n v="1.3687770355440906E-2"/>
    <s v="Federal"/>
  </r>
  <r>
    <x v="2"/>
    <s v="Nuevo León"/>
    <s v="19"/>
    <m/>
    <m/>
    <s v="19037"/>
    <s v="Mina"/>
    <x v="9"/>
    <s v="Tractocamiones"/>
    <n v="0.25627849391886975"/>
    <n v="0.23576651372806059"/>
    <n v="5.3561284684291019E-3"/>
    <n v="10.276758429830311"/>
    <n v="4.5162144053601327"/>
    <n v="8.4778654140266543"/>
    <n v="1.2684800815672565E-2"/>
    <s v="Federal"/>
  </r>
  <r>
    <x v="2"/>
    <s v="Nuevo León"/>
    <s v="19"/>
    <m/>
    <m/>
    <s v="19037"/>
    <s v="Mina"/>
    <x v="9"/>
    <s v="Pickup y Veh&lt;3.8Ton"/>
    <n v="0.4638072018225422"/>
    <n v="0.41049714877674209"/>
    <n v="3.1528855130934896E-2"/>
    <n v="83.856754870165986"/>
    <n v="17.23353548046212"/>
    <n v="9.706889736192803"/>
    <n v="0.10868944036318501"/>
    <s v="Estatal"/>
  </r>
  <r>
    <x v="2"/>
    <s v="Nuevo León"/>
    <s v="19"/>
    <m/>
    <m/>
    <s v="19038"/>
    <s v="Montemorelos"/>
    <x v="9"/>
    <s v="Motocicletas"/>
    <n v="0.49017476303317536"/>
    <n v="0.43361901000526593"/>
    <n v="0.13784063981042657"/>
    <n v="502.52184768299111"/>
    <n v="21.23629925838161"/>
    <n v="38.331203264876237"/>
    <n v="0.49443325434439189"/>
    <s v="Estatal"/>
  </r>
  <r>
    <x v="2"/>
    <s v="Nuevo León"/>
    <s v="19"/>
    <m/>
    <m/>
    <s v="19038"/>
    <s v="Montemorelos"/>
    <x v="9"/>
    <s v="Autos Particulares"/>
    <n v="9.162034541159235"/>
    <n v="8.105051667448862"/>
    <n v="0.48325530802597538"/>
    <n v="1260.0733031620828"/>
    <n v="335.80030891251067"/>
    <n v="110.96883408208468"/>
    <n v="1.8397819720566413"/>
    <s v="Estatal"/>
  </r>
  <r>
    <x v="2"/>
    <s v="Nuevo León"/>
    <s v="19"/>
    <m/>
    <m/>
    <s v="19038"/>
    <s v="Montemorelos"/>
    <x v="9"/>
    <s v="Taxi"/>
    <n v="0.24689307001156477"/>
    <n v="0.2184191797882751"/>
    <n v="4.2640779290098754E-2"/>
    <n v="107.43970185291491"/>
    <n v="52.824492308954035"/>
    <n v="4.9468856566734862"/>
    <n v="0.11953639763436043"/>
    <s v="Estatal"/>
  </r>
  <r>
    <x v="2"/>
    <s v="Nuevo León"/>
    <s v="19"/>
    <m/>
    <m/>
    <s v="19038"/>
    <s v="Montemorelos"/>
    <x v="9"/>
    <s v="Camionetas Particulares"/>
    <n v="1.7175113597649163"/>
    <n v="1.5217666825584863"/>
    <n v="0.20140887145690986"/>
    <n v="395.38656891062692"/>
    <n v="88.062613395254317"/>
    <n v="43.053873771757416"/>
    <n v="0.61442373733295585"/>
    <s v="Estatal"/>
  </r>
  <r>
    <x v="2"/>
    <s v="Nuevo León"/>
    <s v="19"/>
    <m/>
    <m/>
    <s v="19038"/>
    <s v="Montemorelos"/>
    <x v="9"/>
    <s v="Combi"/>
    <n v="0"/>
    <n v="0"/>
    <n v="0"/>
    <n v="0"/>
    <n v="0"/>
    <n v="0"/>
    <n v="0"/>
    <s v="Estatal"/>
  </r>
  <r>
    <x v="2"/>
    <s v="Nuevo León"/>
    <s v="19"/>
    <m/>
    <m/>
    <s v="19038"/>
    <s v="Montemorelos"/>
    <x v="9"/>
    <s v="Autobús"/>
    <n v="0.63928409976617306"/>
    <n v="0.58813211223694473"/>
    <n v="9.8558067030397514E-3"/>
    <n v="16.191938230709273"/>
    <n v="8.9703080670303983"/>
    <n v="11.538736554949338"/>
    <n v="1.760015588464536E-2"/>
    <s v="Federal"/>
  </r>
  <r>
    <x v="2"/>
    <s v="Nuevo León"/>
    <s v="19"/>
    <m/>
    <m/>
    <s v="19038"/>
    <s v="Montemorelos"/>
    <x v="9"/>
    <s v="Veh&gt;3.8Ton"/>
    <n v="4.8949397338157965"/>
    <n v="4.4950069257027243"/>
    <n v="0.18318517411291751"/>
    <n v="429.12446262420951"/>
    <n v="93.854676433317067"/>
    <n v="205.35924319951317"/>
    <n v="0.39556002419789554"/>
    <s v="Federal"/>
  </r>
  <r>
    <x v="2"/>
    <s v="Nuevo León"/>
    <s v="19"/>
    <m/>
    <m/>
    <s v="19038"/>
    <s v="Montemorelos"/>
    <x v="9"/>
    <s v="Tractocamiones"/>
    <n v="3.3828761197290813"/>
    <n v="3.1121179812103996"/>
    <n v="7.0700895783264148E-2"/>
    <n v="135.65321127376009"/>
    <n v="59.614030150753756"/>
    <n v="111.90782346515182"/>
    <n v="0.16743937076687787"/>
    <s v="Federal"/>
  </r>
  <r>
    <x v="2"/>
    <s v="Nuevo León"/>
    <s v="19"/>
    <m/>
    <m/>
    <s v="19038"/>
    <s v="Montemorelos"/>
    <x v="9"/>
    <s v="Pickup y Veh&lt;3.8Ton"/>
    <n v="7.1929919279583494"/>
    <n v="6.3837044342686573"/>
    <n v="0.4525210285638685"/>
    <n v="1196.3437453309441"/>
    <n v="249.35551512680524"/>
    <n v="137.77783436079446"/>
    <n v="1.5800491939107033"/>
    <s v="Estatal"/>
  </r>
  <r>
    <x v="2"/>
    <s v="Nuevo León"/>
    <s v="19"/>
    <s v="19.01"/>
    <s v="Monterrey"/>
    <s v="19039"/>
    <s v="Monterrey"/>
    <x v="9"/>
    <s v="Motocicletas"/>
    <n v="6.422800947867298"/>
    <n v="5.6817461822011586"/>
    <n v="1.8061374407582942"/>
    <n v="6584.5858314902589"/>
    <n v="278.26100667017727"/>
    <n v="502.25696471827263"/>
    <n v="6.4786003159557666"/>
    <s v="Estatal"/>
  </r>
  <r>
    <x v="2"/>
    <s v="Nuevo León"/>
    <s v="19"/>
    <s v="19.01"/>
    <s v="Monterrey"/>
    <s v="19039"/>
    <s v="Monterrey"/>
    <x v="9"/>
    <s v="Autos Particulares"/>
    <n v="283.33257601289552"/>
    <n v="250.64683444920809"/>
    <n v="14.946337878407105"/>
    <n v="38977.848295068274"/>
    <n v="10387.814220472726"/>
    <n v="3431.4140008014069"/>
    <n v="56.897411003956726"/>
    <s v="Estatal"/>
  </r>
  <r>
    <x v="2"/>
    <s v="Nuevo León"/>
    <s v="19"/>
    <s v="19.01"/>
    <s v="Monterrey"/>
    <s v="19039"/>
    <s v="Monterrey"/>
    <x v="9"/>
    <s v="Taxi"/>
    <n v="18.013318388043764"/>
    <n v="15.935863357352551"/>
    <n v="3.1110712570056047"/>
    <n v="7838.903448667781"/>
    <n v="3854.4283369510817"/>
    <n v="360.92477751089768"/>
    <n v="8.7295269668881925"/>
    <s v="Estatal"/>
  </r>
  <r>
    <x v="2"/>
    <s v="Nuevo León"/>
    <s v="19"/>
    <s v="19.01"/>
    <s v="Monterrey"/>
    <s v="19039"/>
    <s v="Monterrey"/>
    <x v="9"/>
    <s v="Camionetas Particulares"/>
    <n v="54.363232334453862"/>
    <n v="48.245606008613564"/>
    <n v="6.1256298286440432"/>
    <n v="12004.502106576778"/>
    <n v="2687.0794149516978"/>
    <n v="1306.791983426634"/>
    <n v="18.730143517008511"/>
    <s v="Estatal"/>
  </r>
  <r>
    <x v="2"/>
    <s v="Nuevo León"/>
    <s v="19"/>
    <s v="19.01"/>
    <s v="Monterrey"/>
    <s v="19039"/>
    <s v="Monterrey"/>
    <x v="9"/>
    <s v="Combi"/>
    <n v="1.0277680571440904"/>
    <n v="0.90705475836252802"/>
    <n v="8.6523075468129373E-2"/>
    <n v="162.05805482561823"/>
    <n v="40.696786627535388"/>
    <n v="14.239663968679825"/>
    <n v="0.31879421221864956"/>
    <s v="Estatal"/>
  </r>
  <r>
    <x v="2"/>
    <s v="Nuevo León"/>
    <s v="19"/>
    <s v="19.01"/>
    <s v="Monterrey"/>
    <s v="19039"/>
    <s v="Monterrey"/>
    <x v="9"/>
    <s v="Autobús"/>
    <n v="157.33492010911928"/>
    <n v="144.74584762275919"/>
    <n v="2.42562353858145"/>
    <n v="3985.0159090023385"/>
    <n v="2207.6924853858145"/>
    <n v="2839.8112743569759"/>
    <n v="4.3315939204988299"/>
    <s v="Federal"/>
  </r>
  <r>
    <x v="2"/>
    <s v="Nuevo León"/>
    <s v="19"/>
    <s v="19.01"/>
    <s v="Monterrey"/>
    <s v="19039"/>
    <s v="Monterrey"/>
    <x v="9"/>
    <s v="Veh&gt;3.8Ton"/>
    <n v="137.89427137765793"/>
    <n v="126.73220960870539"/>
    <n v="4.454578231738207"/>
    <n v="8476.0738606283085"/>
    <n v="2602.2547121571047"/>
    <n v="4798.2759583625184"/>
    <n v="10.273000329424653"/>
    <s v="Federal"/>
  </r>
  <r>
    <x v="2"/>
    <s v="Nuevo León"/>
    <s v="19"/>
    <s v="19.01"/>
    <s v="Monterrey"/>
    <s v="19039"/>
    <s v="Monterrey"/>
    <x v="9"/>
    <s v="Tractocamiones"/>
    <n v="194.1822148423276"/>
    <n v="178.64028745175148"/>
    <n v="4.0583385405287302"/>
    <n v="7786.6998622824258"/>
    <n v="3421.9356549413724"/>
    <n v="6423.6786242079961"/>
    <n v="9.6112735780351013"/>
    <s v="Federal"/>
  </r>
  <r>
    <x v="2"/>
    <s v="Nuevo León"/>
    <s v="19"/>
    <s v="19.01"/>
    <s v="Monterrey"/>
    <s v="19039"/>
    <s v="Monterrey"/>
    <x v="9"/>
    <s v="Pickup y Veh&lt;3.8Ton"/>
    <n v="181.24213575010543"/>
    <n v="161.09717730154864"/>
    <n v="10.796012345557479"/>
    <n v="27565.986699111352"/>
    <n v="5854.010096446782"/>
    <n v="3105.1725827879309"/>
    <n v="37.839923777360539"/>
    <s v="Estatal"/>
  </r>
  <r>
    <x v="2"/>
    <s v="Nuevo León"/>
    <s v="19"/>
    <m/>
    <m/>
    <s v="19040"/>
    <s v="Parás"/>
    <x v="9"/>
    <s v="Motocicletas"/>
    <n v="0"/>
    <n v="0"/>
    <n v="0"/>
    <n v="0"/>
    <n v="0"/>
    <n v="0"/>
    <n v="0"/>
    <s v="Estatal"/>
  </r>
  <r>
    <x v="2"/>
    <s v="Nuevo León"/>
    <s v="19"/>
    <m/>
    <m/>
    <s v="19040"/>
    <s v="Parás"/>
    <x v="9"/>
    <s v="Autos Particulares"/>
    <n v="9.1454539931471915E-2"/>
    <n v="8.0903443513670278E-2"/>
    <n v="4.8231242543313891E-3"/>
    <n v="12.574022672216039"/>
    <n v="3.3506985304222154"/>
    <n v="1.1077752809389658"/>
    <n v="1.836347827018037E-2"/>
    <s v="Estatal"/>
  </r>
  <r>
    <x v="2"/>
    <s v="Nuevo León"/>
    <s v="19"/>
    <m/>
    <m/>
    <s v="19040"/>
    <s v="Parás"/>
    <x v="9"/>
    <s v="Taxi"/>
    <n v="0"/>
    <n v="0"/>
    <n v="0"/>
    <n v="0"/>
    <n v="0"/>
    <n v="0"/>
    <n v="0"/>
    <s v="Estatal"/>
  </r>
  <r>
    <x v="2"/>
    <s v="Nuevo León"/>
    <s v="19"/>
    <m/>
    <m/>
    <s v="19040"/>
    <s v="Parás"/>
    <x v="9"/>
    <s v="Camionetas Particulares"/>
    <n v="8.9130375018924273E-3"/>
    <n v="7.8865319770141488E-3"/>
    <n v="1.0793233725906466E-3"/>
    <n v="2.1216898623084717"/>
    <n v="0.47074513737489515"/>
    <n v="0.23108161290266108"/>
    <n v="3.2869389184601678E-3"/>
    <s v="Estatal"/>
  </r>
  <r>
    <x v="2"/>
    <s v="Nuevo León"/>
    <s v="19"/>
    <m/>
    <m/>
    <s v="19040"/>
    <s v="Parás"/>
    <x v="9"/>
    <s v="Combi"/>
    <n v="0"/>
    <n v="0"/>
    <n v="0"/>
    <n v="0"/>
    <n v="0"/>
    <n v="0"/>
    <n v="0"/>
    <s v="Estatal"/>
  </r>
  <r>
    <x v="2"/>
    <s v="Nuevo León"/>
    <s v="19"/>
    <m/>
    <m/>
    <s v="19040"/>
    <s v="Parás"/>
    <x v="9"/>
    <s v="Autobús"/>
    <n v="0"/>
    <n v="0"/>
    <n v="0"/>
    <n v="0"/>
    <n v="0"/>
    <n v="0"/>
    <n v="0"/>
    <s v="Federal"/>
  </r>
  <r>
    <x v="2"/>
    <s v="Nuevo León"/>
    <s v="19"/>
    <m/>
    <m/>
    <s v="19040"/>
    <s v="Parás"/>
    <x v="9"/>
    <s v="Veh&gt;3.8Ton"/>
    <n v="6.8431617231806297E-2"/>
    <n v="6.2960158560103924E-2"/>
    <n v="1.7517359022882172E-3"/>
    <n v="1.7868402901697493"/>
    <n v="1.2526085584283049"/>
    <n v="1.7396457462677679"/>
    <n v="4.2000919125208978E-3"/>
    <s v="Federal"/>
  </r>
  <r>
    <x v="2"/>
    <s v="Nuevo León"/>
    <s v="19"/>
    <m/>
    <m/>
    <s v="19040"/>
    <s v="Parás"/>
    <x v="9"/>
    <s v="Tractocamiones"/>
    <n v="0"/>
    <n v="0"/>
    <n v="0"/>
    <n v="0"/>
    <n v="0"/>
    <n v="0"/>
    <n v="0"/>
    <s v="Federal"/>
  </r>
  <r>
    <x v="2"/>
    <s v="Nuevo León"/>
    <s v="19"/>
    <m/>
    <m/>
    <s v="19040"/>
    <s v="Parás"/>
    <x v="9"/>
    <s v="Pickup y Veh&lt;3.8Ton"/>
    <n v="0.12590635331618746"/>
    <n v="0.11118092996766631"/>
    <n v="8.995013674587814E-3"/>
    <n v="24.246517267935637"/>
    <n v="4.9458247015187489"/>
    <n v="2.8284365969483982"/>
    <n v="3.0956533265137323E-2"/>
    <s v="Estatal"/>
  </r>
  <r>
    <x v="2"/>
    <s v="Nuevo León"/>
    <s v="19"/>
    <s v="19.01"/>
    <s v="Monterrey"/>
    <s v="19041"/>
    <s v="Pesquería"/>
    <x v="9"/>
    <s v="Motocicletas"/>
    <n v="7.9032582938388621E-2"/>
    <n v="6.9913902053712493E-2"/>
    <n v="2.2224526066350715E-2"/>
    <n v="81.023346366508704"/>
    <n v="3.424002435492365"/>
    <n v="6.1802733017377554"/>
    <n v="7.9719194312796227E-2"/>
    <s v="Estatal"/>
  </r>
  <r>
    <x v="2"/>
    <s v="Nuevo León"/>
    <s v="19"/>
    <s v="19.01"/>
    <s v="Monterrey"/>
    <s v="19041"/>
    <s v="Pesquería"/>
    <x v="9"/>
    <s v="Autos Particulares"/>
    <n v="2.1533387129319301"/>
    <n v="1.9049083518218726"/>
    <n v="0.11356265289743908"/>
    <n v="296.06107928217773"/>
    <n v="78.893719943577622"/>
    <n v="26.083072523926564"/>
    <n v="0.43237644290697419"/>
    <s v="Estatal"/>
  </r>
  <r>
    <x v="2"/>
    <s v="Nuevo León"/>
    <s v="19"/>
    <s v="19.01"/>
    <s v="Monterrey"/>
    <s v="19041"/>
    <s v="Pesquería"/>
    <x v="9"/>
    <s v="Taxi"/>
    <n v="0.11286540343385819"/>
    <n v="9.9848767903211469E-2"/>
    <n v="1.9492927675473712E-2"/>
    <n v="49.115292275618238"/>
    <n v="24.148339341236134"/>
    <n v="2.2614334430507368"/>
    <n v="5.4645210347136201E-2"/>
    <s v="Estatal"/>
  </r>
  <r>
    <x v="2"/>
    <s v="Nuevo León"/>
    <s v="19"/>
    <s v="19.01"/>
    <s v="Monterrey"/>
    <s v="19041"/>
    <s v="Pesquería"/>
    <x v="9"/>
    <s v="Camionetas Particulares"/>
    <n v="0.31949811352937479"/>
    <n v="0.28270183856066106"/>
    <n v="3.8689591663633956E-2"/>
    <n v="76.054421218134465"/>
    <n v="16.874402616669318"/>
    <n v="8.2833870471261601"/>
    <n v="0.11782411815403369"/>
    <s v="Estatal"/>
  </r>
  <r>
    <x v="2"/>
    <s v="Nuevo León"/>
    <s v="19"/>
    <s v="19.01"/>
    <s v="Monterrey"/>
    <s v="19041"/>
    <s v="Pesquería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41"/>
    <s v="Pesquería"/>
    <x v="9"/>
    <s v="Autobús"/>
    <n v="3.8357045985970384"/>
    <n v="3.5287926734216688"/>
    <n v="5.9134840218238512E-2"/>
    <n v="97.151629384255656"/>
    <n v="53.82184840218239"/>
    <n v="69.232419329696029"/>
    <n v="0.10560093530787217"/>
    <s v="Federal"/>
  </r>
  <r>
    <x v="2"/>
    <s v="Nuevo León"/>
    <s v="19"/>
    <s v="19.01"/>
    <s v="Monterrey"/>
    <s v="19041"/>
    <s v="Pesquería"/>
    <x v="9"/>
    <s v="Veh&gt;3.8Ton"/>
    <n v="4.0522870583419701"/>
    <n v="3.7245290766021353"/>
    <n v="0.12914380425874422"/>
    <n v="237.7239322009448"/>
    <n v="75.948592603712129"/>
    <n v="138.54249781102232"/>
    <n v="0.2885738026207747"/>
    <s v="Federal"/>
  </r>
  <r>
    <x v="2"/>
    <s v="Nuevo León"/>
    <s v="19"/>
    <s v="19.01"/>
    <s v="Monterrey"/>
    <s v="19041"/>
    <s v="Pesquería"/>
    <x v="9"/>
    <s v="Tractocamiones"/>
    <n v="3.2547368727696462"/>
    <n v="2.9942347243463696"/>
    <n v="6.8022831549049603E-2"/>
    <n v="130.51483205884495"/>
    <n v="57.355922948073683"/>
    <n v="107.66889075813853"/>
    <n v="0.16109697035904161"/>
    <s v="Federal"/>
  </r>
  <r>
    <x v="2"/>
    <s v="Nuevo León"/>
    <s v="19"/>
    <s v="19.01"/>
    <s v="Monterrey"/>
    <s v="19041"/>
    <s v="Pesquería"/>
    <x v="9"/>
    <s v="Pickup y Veh&lt;3.8Ton"/>
    <n v="1.9594715218572727"/>
    <n v="1.7387157632748904"/>
    <n v="0.12402535499230752"/>
    <n v="320.5635347377729"/>
    <n v="67.024150366534272"/>
    <n v="36.429847959311147"/>
    <n v="0.43059023456253354"/>
    <s v="Estatal"/>
  </r>
  <r>
    <x v="2"/>
    <s v="Nuevo León"/>
    <s v="19"/>
    <m/>
    <m/>
    <s v="19043"/>
    <s v="Rayones"/>
    <x v="9"/>
    <s v="Motocicletas"/>
    <n v="8.6374407582938384E-4"/>
    <n v="7.6408636124275942E-4"/>
    <n v="2.4289099526066354E-4"/>
    <n v="0.88550105318588723"/>
    <n v="3.7420791644725303E-2"/>
    <n v="6.7543970510795137E-2"/>
    <n v="8.712480252764614E-4"/>
    <s v="Estatal"/>
  </r>
  <r>
    <x v="2"/>
    <s v="Nuevo León"/>
    <s v="19"/>
    <m/>
    <m/>
    <s v="19043"/>
    <s v="Rayones"/>
    <x v="9"/>
    <s v="Autos Particulares"/>
    <n v="6.5324671379622792E-2"/>
    <n v="5.77881739383359E-2"/>
    <n v="3.4450887530938501E-3"/>
    <n v="8.9814447658686003"/>
    <n v="2.3933560931587259"/>
    <n v="0.79126805781354714"/>
    <n v="1.3116770192985981E-2"/>
    <s v="Estatal"/>
  </r>
  <r>
    <x v="2"/>
    <s v="Nuevo León"/>
    <s v="19"/>
    <m/>
    <m/>
    <s v="19043"/>
    <s v="Rayones"/>
    <x v="9"/>
    <s v="Taxi"/>
    <n v="0"/>
    <n v="0"/>
    <n v="0"/>
    <n v="0"/>
    <n v="0"/>
    <n v="0"/>
    <n v="0"/>
    <s v="Estatal"/>
  </r>
  <r>
    <x v="2"/>
    <s v="Nuevo León"/>
    <s v="19"/>
    <m/>
    <m/>
    <s v="19043"/>
    <s v="Rayones"/>
    <x v="9"/>
    <s v="Camionetas Particulares"/>
    <n v="1.7826075003784855E-2"/>
    <n v="1.5773063954028298E-2"/>
    <n v="2.1586467451812931E-3"/>
    <n v="4.2433797246169433"/>
    <n v="0.9414902747497903"/>
    <n v="0.46216322580532215"/>
    <n v="6.5738778369203357E-3"/>
    <s v="Estatal"/>
  </r>
  <r>
    <x v="2"/>
    <s v="Nuevo León"/>
    <s v="19"/>
    <m/>
    <m/>
    <s v="19043"/>
    <s v="Rayones"/>
    <x v="9"/>
    <s v="Combi"/>
    <n v="0"/>
    <n v="0"/>
    <n v="0"/>
    <n v="0"/>
    <n v="0"/>
    <n v="0"/>
    <n v="0"/>
    <s v="Estatal"/>
  </r>
  <r>
    <x v="2"/>
    <s v="Nuevo León"/>
    <s v="19"/>
    <m/>
    <m/>
    <s v="19043"/>
    <s v="Rayones"/>
    <x v="9"/>
    <s v="Autobús"/>
    <n v="0"/>
    <n v="0"/>
    <n v="0"/>
    <n v="0"/>
    <n v="0"/>
    <n v="0"/>
    <n v="0"/>
    <s v="Federal"/>
  </r>
  <r>
    <x v="2"/>
    <s v="Nuevo León"/>
    <s v="19"/>
    <m/>
    <m/>
    <s v="19043"/>
    <s v="Rayones"/>
    <x v="9"/>
    <s v="Veh&gt;3.8Ton"/>
    <n v="6.8431617231806297E-2"/>
    <n v="6.2960158560103924E-2"/>
    <n v="1.7517359022882172E-3"/>
    <n v="1.7868402901697493"/>
    <n v="1.2526085584283049"/>
    <n v="1.7396457462677679"/>
    <n v="4.2000919125208978E-3"/>
    <s v="Federal"/>
  </r>
  <r>
    <x v="2"/>
    <s v="Nuevo León"/>
    <s v="19"/>
    <m/>
    <m/>
    <s v="19043"/>
    <s v="Rayones"/>
    <x v="9"/>
    <s v="Tractocamiones"/>
    <n v="0"/>
    <n v="0"/>
    <n v="0"/>
    <n v="0"/>
    <n v="0"/>
    <n v="0"/>
    <n v="0"/>
    <s v="Federal"/>
  </r>
  <r>
    <x v="2"/>
    <s v="Nuevo León"/>
    <s v="19"/>
    <m/>
    <m/>
    <s v="19043"/>
    <s v="Rayones"/>
    <x v="9"/>
    <s v="Pickup y Veh&lt;3.8Ton"/>
    <n v="0.18212632372263807"/>
    <n v="0.16073189472713539"/>
    <n v="1.3288169892765697E-2"/>
    <n v="35.571035682123835"/>
    <n v="7.2360454390664382"/>
    <n v="4.1299736825215172"/>
    <n v="4.571929590888061E-2"/>
    <s v="Estatal"/>
  </r>
  <r>
    <x v="2"/>
    <s v="Nuevo León"/>
    <s v="19"/>
    <m/>
    <m/>
    <s v="19044"/>
    <s v="Sabinas Hidalgo"/>
    <x v="9"/>
    <s v="Motocicletas"/>
    <n v="8.4215047393364925E-2"/>
    <n v="7.4498420221169051E-2"/>
    <n v="2.3681872037914695E-2"/>
    <n v="86.336352685624021"/>
    <n v="3.6485271853607166"/>
    <n v="6.5855371248025261"/>
    <n v="8.4946682464454984E-2"/>
    <s v="Estatal"/>
  </r>
  <r>
    <x v="2"/>
    <s v="Nuevo León"/>
    <s v="19"/>
    <m/>
    <m/>
    <s v="19044"/>
    <s v="Sabinas Hidalgo"/>
    <x v="9"/>
    <s v="Autos Particulares"/>
    <n v="4.8246664146622456"/>
    <n v="4.2680680460624369"/>
    <n v="0.25448209842720609"/>
    <n v="663.56376342205294"/>
    <n v="176.83572171224694"/>
    <n v="58.4350221560832"/>
    <n v="0.96882164471491439"/>
    <s v="Estatal"/>
  </r>
  <r>
    <x v="2"/>
    <s v="Nuevo León"/>
    <s v="19"/>
    <m/>
    <m/>
    <s v="19044"/>
    <s v="Sabinas Hidalgo"/>
    <x v="9"/>
    <s v="Taxi"/>
    <n v="6.2075971888622003E-2"/>
    <n v="5.4916822346766314E-2"/>
    <n v="1.0721110221510543E-2"/>
    <n v="27.01341075159004"/>
    <n v="13.281586637679874"/>
    <n v="1.2437883936779055"/>
    <n v="3.0054865690924904E-2"/>
    <s v="Estatal"/>
  </r>
  <r>
    <x v="2"/>
    <s v="Nuevo León"/>
    <s v="19"/>
    <m/>
    <m/>
    <s v="19044"/>
    <s v="Sabinas Hidalgo"/>
    <x v="9"/>
    <s v="Camionetas Particulares"/>
    <n v="0.87383928180873771"/>
    <n v="0.77422978000957476"/>
    <n v="0.10253098297437756"/>
    <n v="201.28383652998926"/>
    <n v="44.827952314723134"/>
    <n v="21.917998076944752"/>
    <n v="0.31277438068233354"/>
    <s v="Estatal"/>
  </r>
  <r>
    <x v="2"/>
    <s v="Nuevo León"/>
    <s v="19"/>
    <m/>
    <m/>
    <s v="19044"/>
    <s v="Sabinas Hidalgo"/>
    <x v="9"/>
    <s v="Combi"/>
    <n v="0"/>
    <n v="0"/>
    <n v="0"/>
    <n v="0"/>
    <n v="0"/>
    <n v="0"/>
    <n v="0"/>
    <s v="Estatal"/>
  </r>
  <r>
    <x v="2"/>
    <s v="Nuevo León"/>
    <s v="19"/>
    <m/>
    <m/>
    <s v="19044"/>
    <s v="Sabinas Hidalgo"/>
    <x v="9"/>
    <s v="Autobús"/>
    <n v="0.35515783320342953"/>
    <n v="0.32674006235385822"/>
    <n v="5.4754481683554172E-3"/>
    <n v="8.9955212392829313"/>
    <n v="4.9835044816835543"/>
    <n v="6.4104091971940766"/>
    <n v="9.7778643803585336E-3"/>
    <s v="Federal"/>
  </r>
  <r>
    <x v="2"/>
    <s v="Nuevo León"/>
    <s v="19"/>
    <m/>
    <m/>
    <s v="19044"/>
    <s v="Sabinas Hidalgo"/>
    <x v="9"/>
    <s v="Veh&gt;3.8Ton"/>
    <n v="3.6306716823154717"/>
    <n v="3.3362065834588259"/>
    <n v="0.12117470286574739"/>
    <n v="241.95614937002151"/>
    <n v="68.577855654215625"/>
    <n v="131.77173324498358"/>
    <n v="0.27013436648918571"/>
    <s v="Federal"/>
  </r>
  <r>
    <x v="2"/>
    <s v="Nuevo León"/>
    <s v="19"/>
    <m/>
    <m/>
    <s v="19044"/>
    <s v="Sabinas Hidalgo"/>
    <x v="9"/>
    <s v="Tractocamiones"/>
    <n v="10.789324593984418"/>
    <n v="9.9257702279513502"/>
    <n v="0.22549300852086515"/>
    <n v="432.65152989585602"/>
    <n v="190.13262646566159"/>
    <n v="356.91813393052217"/>
    <n v="0.53403011433981507"/>
    <s v="Federal"/>
  </r>
  <r>
    <x v="2"/>
    <s v="Nuevo León"/>
    <s v="19"/>
    <m/>
    <m/>
    <s v="19044"/>
    <s v="Sabinas Hidalgo"/>
    <x v="9"/>
    <s v="Pickup y Veh&lt;3.8Ton"/>
    <n v="4.9712841425159038"/>
    <n v="4.4154495566046332"/>
    <n v="0.30408188029180655"/>
    <n v="803.41214702135642"/>
    <n v="168.34068948936019"/>
    <n v="92.600270401234198"/>
    <n v="1.0611531318367633"/>
    <s v="Estatal"/>
  </r>
  <r>
    <x v="2"/>
    <s v="Nuevo León"/>
    <s v="19"/>
    <s v="19.01"/>
    <s v="Monterrey"/>
    <s v="19045"/>
    <s v="Salinas Victoria"/>
    <x v="9"/>
    <s v="Motocicletas"/>
    <n v="6.1757701421800953E-2"/>
    <n v="5.4632174828857301E-2"/>
    <n v="1.7366706161137446E-2"/>
    <n v="63.31332530279095"/>
    <n v="2.6755866025978592"/>
    <n v="4.8293938915218524"/>
    <n v="6.2294233807266987E-2"/>
    <s v="Estatal"/>
  </r>
  <r>
    <x v="2"/>
    <s v="Nuevo León"/>
    <s v="19"/>
    <s v="19.01"/>
    <s v="Monterrey"/>
    <s v="19045"/>
    <s v="Salinas Victoria"/>
    <x v="9"/>
    <s v="Autos Particulares"/>
    <n v="3.1759667503474796"/>
    <n v="2.8095559474747316"/>
    <n v="0.16749395137769008"/>
    <n v="436.66151461695699"/>
    <n v="116.36062169284422"/>
    <n v="38.47001430169864"/>
    <n v="0.63771351810990018"/>
    <s v="Estatal"/>
  </r>
  <r>
    <x v="2"/>
    <s v="Nuevo León"/>
    <s v="19"/>
    <s v="19.01"/>
    <s v="Monterrey"/>
    <s v="19045"/>
    <s v="Salinas Victoria"/>
    <x v="9"/>
    <s v="Taxi"/>
    <n v="0.21021181389556087"/>
    <n v="0.18596833021973133"/>
    <n v="3.6305577795569796E-2"/>
    <n v="91.477231863338972"/>
    <n v="44.976282023052299"/>
    <n v="4.2119197876819978"/>
    <n v="0.10177670427154116"/>
    <s v="Estatal"/>
  </r>
  <r>
    <x v="2"/>
    <s v="Nuevo León"/>
    <s v="19"/>
    <s v="19.01"/>
    <s v="Monterrey"/>
    <s v="19045"/>
    <s v="Salinas Victoria"/>
    <x v="9"/>
    <s v="Camionetas Particulares"/>
    <n v="0.51078561068537376"/>
    <n v="0.45195894791350322"/>
    <n v="6.1853531736925531E-2"/>
    <n v="121.58914980152397"/>
    <n v="26.977317488022845"/>
    <n v="13.242753970190963"/>
    <n v="0.18836688417329422"/>
    <s v="Estatal"/>
  </r>
  <r>
    <x v="2"/>
    <s v="Nuevo León"/>
    <s v="19"/>
    <s v="19.01"/>
    <s v="Monterrey"/>
    <s v="19045"/>
    <s v="Salinas Victoria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45"/>
    <s v="Salinas Victoria"/>
    <x v="9"/>
    <s v="Autobús"/>
    <n v="3.9067361652377248"/>
    <n v="3.5941406858924405"/>
    <n v="6.0229929851909586E-2"/>
    <n v="98.950733632112247"/>
    <n v="54.818549298519102"/>
    <n v="70.514501169134846"/>
    <n v="0.10755650818394388"/>
    <s v="Federal"/>
  </r>
  <r>
    <x v="2"/>
    <s v="Nuevo León"/>
    <s v="19"/>
    <s v="19.01"/>
    <s v="Monterrey"/>
    <s v="19045"/>
    <s v="Salinas Victoria"/>
    <x v="9"/>
    <s v="Veh&gt;3.8Ton"/>
    <n v="2.6630311974330301"/>
    <n v="2.4470818443596953"/>
    <n v="8.8639940733696562E-2"/>
    <n v="176.16816981233981"/>
    <n v="50.268750729735061"/>
    <n v="96.317347188433601"/>
    <n v="0.19745867371164513"/>
    <s v="Federal"/>
  </r>
  <r>
    <x v="2"/>
    <s v="Nuevo León"/>
    <s v="19"/>
    <s v="19.01"/>
    <s v="Monterrey"/>
    <s v="19045"/>
    <s v="Salinas Victoria"/>
    <x v="9"/>
    <s v="Tractocamiones"/>
    <n v="2.332134294661715"/>
    <n v="2.1454752749253512"/>
    <n v="4.8740769062704831E-2"/>
    <n v="93.518501711455826"/>
    <n v="41.097551088777216"/>
    <n v="77.148575267642556"/>
    <n v="0.11543168742262035"/>
    <s v="Federal"/>
  </r>
  <r>
    <x v="2"/>
    <s v="Nuevo León"/>
    <s v="19"/>
    <s v="19.01"/>
    <s v="Monterrey"/>
    <s v="19045"/>
    <s v="Salinas Victoria"/>
    <x v="9"/>
    <s v="Pickup y Veh&lt;3.8Ton"/>
    <n v="2.6531164558240921"/>
    <n v="2.3540175548707438"/>
    <n v="0.16774606223963279"/>
    <n v="436.72417716453674"/>
    <n v="91.267389641819562"/>
    <n v="49.857621410818574"/>
    <n v="0.58329256980131627"/>
    <s v="Estatal"/>
  </r>
  <r>
    <x v="2"/>
    <s v="Nuevo León"/>
    <s v="19"/>
    <s v="19.01"/>
    <s v="Monterrey"/>
    <s v="19046"/>
    <s v="San Nicolás de los Garza"/>
    <x v="9"/>
    <s v="Motocicletas"/>
    <n v="2.0656439573459715"/>
    <n v="1.8273125329120592"/>
    <n v="0.58087381516587688"/>
    <n v="2117.6757686940496"/>
    <n v="89.491823218360551"/>
    <n v="161.53140547656659"/>
    <n v="2.0835896524486572"/>
    <s v="Estatal"/>
  </r>
  <r>
    <x v="2"/>
    <s v="Nuevo León"/>
    <s v="19"/>
    <s v="19.01"/>
    <s v="Monterrey"/>
    <s v="19046"/>
    <s v="San Nicolás de los Garza"/>
    <x v="9"/>
    <s v="Autos Particulares"/>
    <n v="119.7774161729802"/>
    <n v="105.95959207432429"/>
    <n v="6.3183303378441851"/>
    <n v="16476.782159129958"/>
    <n v="4391.1112046017979"/>
    <n v="1450.6350212577224"/>
    <n v="24.05285037464963"/>
    <s v="Estatal"/>
  </r>
  <r>
    <x v="2"/>
    <s v="Nuevo León"/>
    <s v="19"/>
    <s v="19.01"/>
    <s v="Monterrey"/>
    <s v="19046"/>
    <s v="San Nicolás de los Garza"/>
    <x v="9"/>
    <s v="Taxi"/>
    <n v="6.8029621919758014"/>
    <n v="6.018384485366072"/>
    <n v="1.1749362156391783"/>
    <n v="2960.42424191289"/>
    <n v="1455.5411537930081"/>
    <n v="136.30790077988314"/>
    <n v="3.2937400536736345"/>
    <s v="Estatal"/>
  </r>
  <r>
    <x v="2"/>
    <s v="Nuevo León"/>
    <s v="19"/>
    <s v="19.01"/>
    <s v="Monterrey"/>
    <s v="19046"/>
    <s v="San Nicolás de los Garza"/>
    <x v="9"/>
    <s v="Camionetas Particulares"/>
    <n v="19.657736656218571"/>
    <n v="17.433108970771219"/>
    <n v="2.2549074702557741"/>
    <n v="4422.4420732064791"/>
    <n v="987.6796426002079"/>
    <n v="481.4836100091415"/>
    <n v="6.8872584783307103"/>
    <s v="Estatal"/>
  </r>
  <r>
    <x v="2"/>
    <s v="Nuevo León"/>
    <s v="19"/>
    <s v="19.01"/>
    <s v="Monterrey"/>
    <s v="19046"/>
    <s v="San Nicolás de los Garza"/>
    <x v="9"/>
    <s v="Combi"/>
    <n v="1.6378773819029326E-2"/>
    <n v="1.445505591015981E-2"/>
    <n v="1.3788537923207869E-3"/>
    <n v="2.5825984832767839"/>
    <n v="0.648554368566301"/>
    <n v="0.22692691583553512"/>
    <n v="5.080385852090032E-3"/>
    <s v="Estatal"/>
  </r>
  <r>
    <x v="2"/>
    <s v="Nuevo León"/>
    <s v="19"/>
    <s v="19.01"/>
    <s v="Monterrey"/>
    <s v="19046"/>
    <s v="San Nicolás de los Garza"/>
    <x v="9"/>
    <s v="Autobús"/>
    <n v="48.230433749025728"/>
    <n v="44.371300467653938"/>
    <n v="0.74356586126266566"/>
    <n v="1221.5917842946221"/>
    <n v="676.75990861262665"/>
    <n v="870.5335689789556"/>
    <n v="1.3278339828526888"/>
    <s v="Federal"/>
  </r>
  <r>
    <x v="2"/>
    <s v="Nuevo León"/>
    <s v="19"/>
    <s v="19.01"/>
    <s v="Monterrey"/>
    <s v="19046"/>
    <s v="San Nicolás de los Garza"/>
    <x v="9"/>
    <s v="Veh&gt;3.8Ton"/>
    <n v="52.23749286614629"/>
    <n v="48.012311441644087"/>
    <n v="1.6654312084913949"/>
    <n v="3091.2152221816982"/>
    <n v="983.49875478445324"/>
    <n v="1786.849471280018"/>
    <n v="3.8332691363469404"/>
    <s v="Federal"/>
  </r>
  <r>
    <x v="2"/>
    <s v="Nuevo León"/>
    <s v="19"/>
    <s v="19.01"/>
    <s v="Monterrey"/>
    <s v="19046"/>
    <s v="San Nicolás de los Garza"/>
    <x v="9"/>
    <s v="Tractocamiones"/>
    <n v="61.122420799650442"/>
    <n v="56.230313524142453"/>
    <n v="1.2774366397203409"/>
    <n v="2451.0068855145291"/>
    <n v="1077.1171356783918"/>
    <n v="2021.9709012453568"/>
    <n v="3.025324994537907"/>
    <s v="Federal"/>
  </r>
  <r>
    <x v="2"/>
    <s v="Nuevo León"/>
    <s v="19"/>
    <s v="19.01"/>
    <s v="Monterrey"/>
    <s v="19046"/>
    <s v="San Nicolás de los Garza"/>
    <x v="9"/>
    <s v="Pickup y Veh&lt;3.8Ton"/>
    <n v="63.277507209910695"/>
    <n v="56.228630619457817"/>
    <n v="3.8079570540281908"/>
    <n v="9774.0779157685902"/>
    <n v="2069.1985257677047"/>
    <n v="1104.3946618321413"/>
    <n v="13.356424236614178"/>
    <s v="Estatal"/>
  </r>
  <r>
    <x v="2"/>
    <s v="Nuevo León"/>
    <s v="19"/>
    <s v="19.01"/>
    <s v="Monterrey"/>
    <s v="19019"/>
    <s v="San Pedro Garza García"/>
    <x v="9"/>
    <s v="Motocicletas"/>
    <n v="1.2597707345971565"/>
    <n v="1.1144199578725646"/>
    <n v="0.35425651658767776"/>
    <n v="1291.5032860716167"/>
    <n v="54.578224613831857"/>
    <n v="98.512880989994699"/>
    <n v="1.2707152448657189"/>
    <s v="Estatal"/>
  </r>
  <r>
    <x v="2"/>
    <s v="Nuevo León"/>
    <s v="19"/>
    <s v="19.01"/>
    <s v="Monterrey"/>
    <s v="19019"/>
    <s v="San Pedro Garza García"/>
    <x v="9"/>
    <s v="Autos Particulares"/>
    <n v="49.850610212801726"/>
    <n v="44.099851489602152"/>
    <n v="2.6298792298915719"/>
    <n v="6858.8468920425757"/>
    <n v="1827.9656588465632"/>
    <n v="603.71322197795644"/>
    <n v="10.010997578335925"/>
    <s v="Estatal"/>
  </r>
  <r>
    <x v="2"/>
    <s v="Nuevo León"/>
    <s v="19"/>
    <s v="19.01"/>
    <s v="Monterrey"/>
    <s v="19019"/>
    <s v="San Pedro Garza García"/>
    <x v="9"/>
    <s v="Taxi"/>
    <n v="2.086599145983453"/>
    <n v="1.845954096610622"/>
    <n v="0.36037550040032029"/>
    <n v="908.01896594549248"/>
    <n v="446.44242357110295"/>
    <n v="41.808250778400499"/>
    <n v="1.0102533262926805"/>
    <s v="Estatal"/>
  </r>
  <r>
    <x v="2"/>
    <s v="Nuevo León"/>
    <s v="19"/>
    <s v="19.01"/>
    <s v="Monterrey"/>
    <s v="19019"/>
    <s v="San Pedro Garza García"/>
    <x v="9"/>
    <s v="Camionetas Particulares"/>
    <n v="13.837696104377855"/>
    <n v="12.292829716385858"/>
    <n v="1.5198944841664808"/>
    <n v="2975.0724036216957"/>
    <n v="668.07703759752587"/>
    <n v="323.80794955860614"/>
    <n v="4.6537444672757795"/>
    <s v="Estatal"/>
  </r>
  <r>
    <x v="2"/>
    <s v="Nuevo León"/>
    <s v="19"/>
    <s v="19.01"/>
    <s v="Monterrey"/>
    <s v="19019"/>
    <s v="San Pedro Garza García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19"/>
    <s v="San Pedro Garza García"/>
    <x v="9"/>
    <s v="Autobús"/>
    <n v="9.8733877630553408"/>
    <n v="9.0833737334372575"/>
    <n v="0.15221745908028059"/>
    <n v="250.07549045206548"/>
    <n v="138.54142459080282"/>
    <n v="178.20937568199534"/>
    <n v="0.27182462977396721"/>
    <s v="Federal"/>
  </r>
  <r>
    <x v="2"/>
    <s v="Nuevo León"/>
    <s v="19"/>
    <s v="19.01"/>
    <s v="Monterrey"/>
    <s v="19019"/>
    <s v="San Pedro Garza García"/>
    <x v="9"/>
    <s v="Veh&gt;3.8Ton"/>
    <n v="15.005413460300881"/>
    <n v="13.788017374145033"/>
    <n v="0.50340880928494192"/>
    <n v="1013.948734396528"/>
    <n v="283.72953914861114"/>
    <n v="548.24030289911479"/>
    <n v="1.1229180378263879"/>
    <s v="Federal"/>
  </r>
  <r>
    <x v="2"/>
    <s v="Nuevo León"/>
    <s v="19"/>
    <s v="19.01"/>
    <s v="Monterrey"/>
    <s v="19019"/>
    <s v="San Pedro Garza García"/>
    <x v="9"/>
    <s v="Tractocamiones"/>
    <n v="32.701135824047782"/>
    <n v="30.083807151700533"/>
    <n v="0.68344199257155347"/>
    <n v="1311.3143756463478"/>
    <n v="576.26895812395276"/>
    <n v="1081.775626829801"/>
    <n v="1.6185805840798195"/>
    <s v="Federal"/>
  </r>
  <r>
    <x v="2"/>
    <s v="Nuevo León"/>
    <s v="19"/>
    <s v="19.01"/>
    <s v="Monterrey"/>
    <s v="19019"/>
    <s v="San Pedro Garza García"/>
    <x v="9"/>
    <s v="Pickup y Veh&lt;3.8Ton"/>
    <n v="23.957896178322656"/>
    <n v="21.295421552455124"/>
    <n v="1.4250361535452116"/>
    <n v="3623.4531605726365"/>
    <n v="770.14596856345975"/>
    <n v="407.3780001716674"/>
    <n v="4.974254146858831"/>
    <s v="Estatal"/>
  </r>
  <r>
    <x v="2"/>
    <s v="Nuevo León"/>
    <s v="19"/>
    <s v="19.01"/>
    <s v="Monterrey"/>
    <s v="19048"/>
    <s v="Santa Catarina"/>
    <x v="9"/>
    <s v="Motocicletas"/>
    <n v="0.80371386255924171"/>
    <n v="0.71098235913638774"/>
    <n v="0.22601007109004742"/>
    <n v="823.95872998946811"/>
    <n v="34.820046625416893"/>
    <n v="62.849664560294862"/>
    <n v="0.81069628751974721"/>
    <s v="Estatal"/>
  </r>
  <r>
    <x v="2"/>
    <s v="Nuevo León"/>
    <s v="19"/>
    <s v="19.01"/>
    <s v="Monterrey"/>
    <s v="19048"/>
    <s v="Santa Catarina"/>
    <x v="9"/>
    <s v="Autos Particulares"/>
    <n v="42.873032889104103"/>
    <n v="37.927038224440182"/>
    <n v="2.2614854076224353"/>
    <n v="5897.1561920516115"/>
    <n v="1571.5842847978804"/>
    <n v="519.25205290704162"/>
    <n v="8.6093160501482693"/>
    <s v="Estatal"/>
  </r>
  <r>
    <x v="2"/>
    <s v="Nuevo León"/>
    <s v="19"/>
    <s v="19.01"/>
    <s v="Monterrey"/>
    <s v="19048"/>
    <s v="Santa Catarina"/>
    <x v="9"/>
    <s v="Taxi"/>
    <n v="3.1715178364914149"/>
    <n v="2.8057503780802429"/>
    <n v="0.54775126768081128"/>
    <n v="1380.1397129448726"/>
    <n v="678.56833548873522"/>
    <n v="63.54627974972572"/>
    <n v="1.5355304107545273"/>
    <s v="Estatal"/>
  </r>
  <r>
    <x v="2"/>
    <s v="Nuevo León"/>
    <s v="19"/>
    <s v="19.01"/>
    <s v="Monterrey"/>
    <s v="19048"/>
    <s v="Santa Catarina"/>
    <x v="9"/>
    <s v="Camionetas Particulares"/>
    <n v="7.0699520380532057"/>
    <n v="6.2666274704948277"/>
    <n v="0.82129826489614011"/>
    <n v="1611.6403197075058"/>
    <n v="359.36574850895835"/>
    <n v="175.48114773982275"/>
    <n v="2.5067708930004819"/>
    <s v="Estatal"/>
  </r>
  <r>
    <x v="2"/>
    <s v="Nuevo León"/>
    <s v="19"/>
    <s v="19.01"/>
    <s v="Monterrey"/>
    <s v="19048"/>
    <s v="Santa Catarina"/>
    <x v="9"/>
    <s v="Combi"/>
    <n v="0.24082297848464579"/>
    <n v="0.21784973844603345"/>
    <n v="9.0672404009835457E-3"/>
    <n v="15.890558824890702"/>
    <n v="4.7362240553679111"/>
    <n v="1.3989937888003614"/>
    <n v="3.5482315112540193E-2"/>
    <s v="Estatal"/>
  </r>
  <r>
    <x v="2"/>
    <s v="Nuevo León"/>
    <s v="19"/>
    <s v="19.01"/>
    <s v="Monterrey"/>
    <s v="19048"/>
    <s v="Santa Catarina"/>
    <x v="9"/>
    <s v="Autobús"/>
    <n v="12.856713561964147"/>
    <n v="11.827990257209668"/>
    <n v="0.19821122369446612"/>
    <n v="325.63786886204213"/>
    <n v="180.40286223694466"/>
    <n v="232.05681293842554"/>
    <n v="0.35395869056897888"/>
    <s v="Federal"/>
  </r>
  <r>
    <x v="2"/>
    <s v="Nuevo León"/>
    <s v="19"/>
    <s v="19.01"/>
    <s v="Monterrey"/>
    <s v="19048"/>
    <s v="Santa Catarina"/>
    <x v="9"/>
    <s v="Veh&gt;3.8Ton"/>
    <n v="22.891480029849284"/>
    <n v="21.03489085140663"/>
    <n v="0.76386775762815207"/>
    <n v="1530.3607326023337"/>
    <n v="433.48498070597327"/>
    <n v="830.62582497573476"/>
    <n v="1.7300146862782866"/>
    <s v="Federal"/>
  </r>
  <r>
    <x v="2"/>
    <s v="Nuevo León"/>
    <s v="19"/>
    <s v="19.01"/>
    <s v="Monterrey"/>
    <s v="19048"/>
    <s v="Santa Catarina"/>
    <x v="9"/>
    <s v="Tractocamiones"/>
    <n v="61.327443594785528"/>
    <n v="56.418926735124913"/>
    <n v="1.2817215424950841"/>
    <n v="2459.2282922583931"/>
    <n v="1080.7301072026798"/>
    <n v="2028.7531935765785"/>
    <n v="3.0354728351904452"/>
    <s v="Federal"/>
  </r>
  <r>
    <x v="2"/>
    <s v="Nuevo León"/>
    <s v="19"/>
    <s v="19.01"/>
    <s v="Monterrey"/>
    <s v="19048"/>
    <s v="Santa Catarina"/>
    <x v="9"/>
    <s v="Pickup y Veh&lt;3.8Ton"/>
    <n v="25.540898836705811"/>
    <n v="22.696006627049307"/>
    <n v="1.5388303917555981"/>
    <n v="3947.4999569706579"/>
    <n v="835.38560002345503"/>
    <n v="445.80963173668931"/>
    <n v="5.3977717604347628"/>
    <s v="Estatal"/>
  </r>
  <r>
    <x v="2"/>
    <s v="Nuevo León"/>
    <s v="19"/>
    <s v="19.01"/>
    <s v="Monterrey"/>
    <s v="19049"/>
    <s v="Santiago"/>
    <x v="9"/>
    <s v="Motocicletas"/>
    <n v="0.20211611374407581"/>
    <n v="0.17879620853080569"/>
    <n v="5.6836492890995273E-2"/>
    <n v="207.20724644549765"/>
    <n v="8.7564652448657192"/>
    <n v="15.80528909952606"/>
    <n v="0.20387203791469197"/>
    <s v="Estatal"/>
  </r>
  <r>
    <x v="2"/>
    <s v="Nuevo León"/>
    <s v="19"/>
    <s v="19.01"/>
    <s v="Monterrey"/>
    <s v="19049"/>
    <s v="Santiago"/>
    <x v="9"/>
    <s v="Autos Particulares"/>
    <n v="10.443063212325072"/>
    <n v="9.2382995872752627"/>
    <n v="0.55083368383372577"/>
    <n v="1436.3128914278395"/>
    <n v="382.769593791658"/>
    <n v="126.48302106799169"/>
    <n v="2.0970341833446597"/>
    <s v="Estatal"/>
  </r>
  <r>
    <x v="2"/>
    <s v="Nuevo León"/>
    <s v="19"/>
    <s v="19.01"/>
    <s v="Monterrey"/>
    <s v="19049"/>
    <s v="Santiago"/>
    <x v="9"/>
    <s v="Taxi"/>
    <n v="0.19751445600925185"/>
    <n v="0.17473534383062003"/>
    <n v="3.4112623432078992E-2"/>
    <n v="85.951761482331932"/>
    <n v="42.259593847163224"/>
    <n v="3.9575085253387896"/>
    <n v="9.5629118107488351E-2"/>
    <s v="Estatal"/>
  </r>
  <r>
    <x v="2"/>
    <s v="Nuevo León"/>
    <s v="19"/>
    <s v="19.01"/>
    <s v="Monterrey"/>
    <s v="19049"/>
    <s v="Santiago"/>
    <x v="9"/>
    <s v="Camionetas Particulares"/>
    <n v="1.8584322306057826"/>
    <n v="1.6478993987788189"/>
    <n v="0.21387257526364511"/>
    <n v="419.51286662087216"/>
    <n v="93.651560259906375"/>
    <n v="45.675097967886117"/>
    <n v="0.65312178071399885"/>
    <s v="Estatal"/>
  </r>
  <r>
    <x v="2"/>
    <s v="Nuevo León"/>
    <s v="19"/>
    <s v="19.01"/>
    <s v="Monterrey"/>
    <s v="19049"/>
    <s v="Santiago"/>
    <x v="9"/>
    <s v="Combi"/>
    <n v="0"/>
    <n v="0"/>
    <n v="0"/>
    <n v="0"/>
    <n v="0"/>
    <n v="0"/>
    <n v="0"/>
    <s v="Estatal"/>
  </r>
  <r>
    <x v="2"/>
    <s v="Nuevo León"/>
    <s v="19"/>
    <s v="19.01"/>
    <s v="Monterrey"/>
    <s v="19049"/>
    <s v="Santiago"/>
    <x v="9"/>
    <s v="Autobús"/>
    <n v="3.1964204988308653"/>
    <n v="2.9406605611847243"/>
    <n v="4.9279033515198759E-2"/>
    <n v="80.959691153546387"/>
    <n v="44.851540335151988"/>
    <n v="57.693682774746698"/>
    <n v="8.8000779423226802E-2"/>
    <s v="Federal"/>
  </r>
  <r>
    <x v="2"/>
    <s v="Nuevo León"/>
    <s v="19"/>
    <s v="19.01"/>
    <s v="Monterrey"/>
    <s v="19049"/>
    <s v="Santiago"/>
    <x v="9"/>
    <s v="Veh&gt;3.8Ton"/>
    <n v="5.8713283099160556"/>
    <n v="5.3951022987205492"/>
    <n v="0.19617900219755277"/>
    <n v="393.09135622124046"/>
    <n v="111.08549806591337"/>
    <n v="213.40421412882012"/>
    <n v="0.44060353368520788"/>
    <s v="Federal"/>
  </r>
  <r>
    <x v="2"/>
    <s v="Nuevo León"/>
    <s v="19"/>
    <s v="19.01"/>
    <s v="Monterrey"/>
    <s v="19049"/>
    <s v="Santiago"/>
    <x v="9"/>
    <s v="Tractocamiones"/>
    <n v="26.217289927900374"/>
    <n v="24.1189143543806"/>
    <n v="0.54793194232029707"/>
    <n v="1051.3123873716409"/>
    <n v="462.00873366834156"/>
    <n v="867.28563185492692"/>
    <n v="1.2976551234433036"/>
    <s v="Federal"/>
  </r>
  <r>
    <x v="2"/>
    <s v="Nuevo León"/>
    <s v="19"/>
    <s v="19.01"/>
    <s v="Monterrey"/>
    <s v="19049"/>
    <s v="Santiago"/>
    <x v="9"/>
    <s v="Pickup y Veh&lt;3.8Ton"/>
    <n v="6.7355948006515689"/>
    <n v="5.9814304941474719"/>
    <n v="0.4147663575187871"/>
    <n v="1088.9672963858432"/>
    <n v="228.19284707841405"/>
    <n v="124.9739997416943"/>
    <n v="1.4470586957048388"/>
    <s v="Estatal"/>
  </r>
  <r>
    <x v="2"/>
    <s v="Nuevo León"/>
    <s v="19"/>
    <m/>
    <m/>
    <s v="19050"/>
    <s v="Vallecillo"/>
    <x v="9"/>
    <s v="Motocicletas"/>
    <n v="1.2956161137440757E-3"/>
    <n v="1.1461295418641391E-3"/>
    <n v="3.6433649289099531E-4"/>
    <n v="1.328251579778831"/>
    <n v="5.6131187467087951E-2"/>
    <n v="0.10131595576619271"/>
    <n v="1.3068720379146922E-3"/>
    <s v="Estatal"/>
  </r>
  <r>
    <x v="2"/>
    <s v="Nuevo León"/>
    <s v="19"/>
    <m/>
    <m/>
    <s v="19050"/>
    <s v="Vallecillo"/>
    <x v="9"/>
    <s v="Autos Particulares"/>
    <n v="0.16034237520452871"/>
    <n v="0.14184369966682453"/>
    <n v="8.4561269394121761E-3"/>
    <n v="22.045364425313835"/>
    <n v="5.8746013195714184"/>
    <n v="1.9422034146332521"/>
    <n v="3.2195708655511045E-2"/>
    <s v="Estatal"/>
  </r>
  <r>
    <x v="2"/>
    <s v="Nuevo León"/>
    <s v="19"/>
    <m/>
    <m/>
    <s v="19050"/>
    <s v="Vallecillo"/>
    <x v="9"/>
    <s v="Taxi"/>
    <n v="0"/>
    <n v="0"/>
    <n v="0"/>
    <n v="0"/>
    <n v="0"/>
    <n v="0"/>
    <n v="0"/>
    <s v="Estatal"/>
  </r>
  <r>
    <x v="2"/>
    <s v="Nuevo León"/>
    <s v="19"/>
    <m/>
    <m/>
    <s v="19050"/>
    <s v="Vallecillo"/>
    <x v="9"/>
    <s v="Camionetas Particulares"/>
    <n v="2.5367875966924604E-2"/>
    <n v="2.244628331919412E-2"/>
    <n v="3.0719203681426103E-3"/>
    <n v="6.0386557619548817"/>
    <n v="1.3398130832977786"/>
    <n v="0.65769382133834309"/>
    <n v="9.3551338448481687E-3"/>
    <s v="Estatal"/>
  </r>
  <r>
    <x v="2"/>
    <s v="Nuevo León"/>
    <s v="19"/>
    <m/>
    <m/>
    <s v="19050"/>
    <s v="Vallecillo"/>
    <x v="9"/>
    <s v="Combi"/>
    <n v="0"/>
    <n v="0"/>
    <n v="0"/>
    <n v="0"/>
    <n v="0"/>
    <n v="0"/>
    <n v="0"/>
    <s v="Estatal"/>
  </r>
  <r>
    <x v="2"/>
    <s v="Nuevo León"/>
    <s v="19"/>
    <m/>
    <m/>
    <s v="19050"/>
    <s v="Vallecillo"/>
    <x v="9"/>
    <s v="Autobús"/>
    <n v="0"/>
    <n v="0"/>
    <n v="0"/>
    <n v="0"/>
    <n v="0"/>
    <n v="0"/>
    <n v="0"/>
    <s v="Federal"/>
  </r>
  <r>
    <x v="2"/>
    <s v="Nuevo León"/>
    <s v="19"/>
    <m/>
    <m/>
    <s v="19050"/>
    <s v="Vallecillo"/>
    <x v="9"/>
    <s v="Veh&gt;3.8Ton"/>
    <n v="2.9462166104020711E-3"/>
    <n v="2.6062944343372817E-3"/>
    <n v="7.8130649704047264E-4"/>
    <n v="3.7325991950317663"/>
    <n v="0.10098844433544597"/>
    <n v="1.0617479567476211"/>
    <n v="1.2437626276925889E-3"/>
    <s v="Federal"/>
  </r>
  <r>
    <x v="2"/>
    <s v="Nuevo León"/>
    <s v="19"/>
    <m/>
    <m/>
    <s v="19050"/>
    <s v="Vallecillo"/>
    <x v="9"/>
    <s v="Tractocamiones"/>
    <n v="0"/>
    <n v="0"/>
    <n v="0"/>
    <n v="0"/>
    <n v="0"/>
    <n v="0"/>
    <n v="0"/>
    <s v="Federal"/>
  </r>
  <r>
    <x v="2"/>
    <s v="Nuevo León"/>
    <s v="19"/>
    <m/>
    <m/>
    <s v="19050"/>
    <s v="Vallecillo"/>
    <x v="9"/>
    <s v="Pickup y Veh&lt;3.8Ton"/>
    <n v="0.21150150132111684"/>
    <n v="0.18678632306358073"/>
    <n v="1.5047984635636051E-2"/>
    <n v="40.618271974227426"/>
    <n v="8.2897865368652575"/>
    <n v="4.7426357540572353"/>
    <n v="5.1790708575109951E-2"/>
    <s v="Estatal"/>
  </r>
  <r>
    <x v="2"/>
    <s v="Nuevo León"/>
    <s v="19"/>
    <m/>
    <m/>
    <s v="19051"/>
    <s v="Villaldama"/>
    <x v="9"/>
    <s v="Motocicletas"/>
    <n v="4.3187203791469194E-3"/>
    <n v="3.8204318062137971E-3"/>
    <n v="1.2144549763033179E-3"/>
    <n v="4.4275052659294376"/>
    <n v="0.18710395822362649"/>
    <n v="0.33771985255397574"/>
    <n v="4.3562401263823065E-3"/>
    <s v="Estatal"/>
  </r>
  <r>
    <x v="2"/>
    <s v="Nuevo León"/>
    <s v="19"/>
    <m/>
    <m/>
    <s v="19051"/>
    <s v="Villaldama"/>
    <x v="9"/>
    <s v="Autos Particulares"/>
    <n v="0.57842027203411472"/>
    <n v="0.51168801287217425"/>
    <n v="3.0504694959212819E-2"/>
    <n v="79.526610926872877"/>
    <n v="21.192080315787265"/>
    <n v="7.0063189846399521"/>
    <n v="0.11614303789062133"/>
    <s v="Estatal"/>
  </r>
  <r>
    <x v="2"/>
    <s v="Nuevo León"/>
    <s v="19"/>
    <m/>
    <m/>
    <s v="19051"/>
    <s v="Villaldama"/>
    <x v="9"/>
    <s v="Taxi"/>
    <n v="4.2324526287696815E-3"/>
    <n v="3.74432879637043E-3"/>
    <n v="7.3098478783026419E-4"/>
    <n v="1.841823460335684"/>
    <n v="0.90556272529635506"/>
    <n v="8.4803754114402635E-2"/>
    <n v="2.0491953880176074E-3"/>
    <s v="Estatal"/>
  </r>
  <r>
    <x v="2"/>
    <s v="Nuevo León"/>
    <s v="19"/>
    <m/>
    <m/>
    <s v="19051"/>
    <s v="Villaldama"/>
    <x v="9"/>
    <s v="Camionetas Particulares"/>
    <n v="7.8160482708902856E-2"/>
    <n v="6.9158818875354855E-2"/>
    <n v="9.4648357288718253E-3"/>
    <n v="18.605588023320443"/>
    <n v="4.1280727431336963"/>
    <n v="2.0264079900694894"/>
    <n v="2.8823925900343009E-2"/>
    <s v="Estatal"/>
  </r>
  <r>
    <x v="2"/>
    <s v="Nuevo León"/>
    <s v="19"/>
    <m/>
    <m/>
    <s v="19051"/>
    <s v="Villaldama"/>
    <x v="9"/>
    <s v="Combi"/>
    <n v="0"/>
    <n v="0"/>
    <n v="0"/>
    <n v="0"/>
    <n v="0"/>
    <n v="0"/>
    <n v="0"/>
    <s v="Estatal"/>
  </r>
  <r>
    <x v="2"/>
    <s v="Nuevo León"/>
    <s v="19"/>
    <m/>
    <m/>
    <s v="19051"/>
    <s v="Villaldama"/>
    <x v="9"/>
    <s v="Autobús"/>
    <n v="0"/>
    <n v="0"/>
    <n v="0"/>
    <n v="0"/>
    <n v="0"/>
    <n v="0"/>
    <n v="0"/>
    <s v="Federal"/>
  </r>
  <r>
    <x v="2"/>
    <s v="Nuevo León"/>
    <s v="19"/>
    <m/>
    <m/>
    <s v="19051"/>
    <s v="Villaldama"/>
    <x v="9"/>
    <s v="Veh&gt;3.8Ton"/>
    <n v="0.11699891199674588"/>
    <n v="0.10753989203451049"/>
    <n v="3.7008663341875007E-3"/>
    <n v="6.7106663453146815"/>
    <n v="2.1886693750492872"/>
    <n v="3.9611575338605673"/>
    <n v="8.2439158152274195E-3"/>
    <s v="Federal"/>
  </r>
  <r>
    <x v="2"/>
    <s v="Nuevo León"/>
    <s v="19"/>
    <m/>
    <m/>
    <s v="19051"/>
    <s v="Villaldama"/>
    <x v="9"/>
    <s v="Tractocamiones"/>
    <n v="0.10251139756754792"/>
    <n v="9.430660549122423E-2"/>
    <n v="2.1424513873716405E-3"/>
    <n v="4.1107033719321251"/>
    <n v="1.8064857621440531"/>
    <n v="3.3911461656106616"/>
    <n v="5.0739203262690265E-3"/>
    <s v="Federal"/>
  </r>
  <r>
    <x v="2"/>
    <s v="Nuevo León"/>
    <s v="19"/>
    <m/>
    <m/>
    <s v="19051"/>
    <s v="Villaldama"/>
    <x v="9"/>
    <s v="Pickup y Veh&lt;3.8Ton"/>
    <n v="0.50705366321831358"/>
    <n v="0.44819328833712291"/>
    <n v="3.5495698972340527E-2"/>
    <n v="95.048744422285054"/>
    <n v="19.447020150629768"/>
    <n v="11.044896711059689"/>
    <n v="0.12224704662716522"/>
    <s v="Estatal"/>
  </r>
  <r>
    <x v="3"/>
    <s v="Nuevo León"/>
    <s v="19"/>
    <s v="19.01"/>
    <s v="Monterrey"/>
    <s v="001"/>
    <s v="Abasolo"/>
    <x v="10"/>
    <s v="Extracción/Beneficio minerales no metálicos"/>
    <n v="3.9502080000000009E-2"/>
    <n v="9.8949983431952677E-3"/>
    <n v="0.22439051360946749"/>
    <n v="0.19751040000000003"/>
    <n v="0.79004160000000012"/>
    <n v="7.9082073372781069E-3"/>
    <n v="3.15938726627219E-2"/>
    <s v="Estatal"/>
  </r>
  <r>
    <x v="3"/>
    <s v="Nuevo León"/>
    <s v="19"/>
    <s v="19.01"/>
    <s v="Monterrey"/>
    <s v="001"/>
    <s v="Abasolo"/>
    <x v="10"/>
    <s v="Plástico y hule"/>
    <n v="0.33290259999999999"/>
    <n v="0.25108930000000002"/>
    <n v="0"/>
    <n v="0.5494"/>
    <n v="0.96450000000000002"/>
    <n v="2.3800000000000002E-2"/>
    <n v="0"/>
    <s v="Estatal"/>
  </r>
  <r>
    <x v="3"/>
    <s v="Nuevo León"/>
    <s v="19"/>
    <m/>
    <m/>
    <s v="002"/>
    <s v="Agualeguas"/>
    <x v="10"/>
    <s v="Accesorios, aparatos eléctricos y equipos de generación eléctrica"/>
    <n v="6.2497439999999998E-3"/>
    <n v="6.2497439999999998E-3"/>
    <n v="3.2431103999999995E-6"/>
    <n v="6.6382416E-2"/>
    <n v="0.11654927999999999"/>
    <n v="1.2909217803152102"/>
    <n v="0"/>
    <s v="Estatal"/>
  </r>
  <r>
    <x v="3"/>
    <s v="Nuevo León"/>
    <s v="19"/>
    <m/>
    <m/>
    <s v="005"/>
    <s v="Anáhuac"/>
    <x v="10"/>
    <s v="Plástico y hule"/>
    <n v="7.2757747200000004E-4"/>
    <n v="7.2757747200000004E-4"/>
    <n v="3.7755371520000006E-7"/>
    <n v="7.7280526080000019E-3"/>
    <n v="1.3568336640000003E-2"/>
    <n v="3.3432451983314744E-4"/>
    <n v="0"/>
    <s v="Estatal"/>
  </r>
  <r>
    <x v="3"/>
    <s v="Nuevo León"/>
    <s v="19"/>
    <s v="19.01"/>
    <s v="Monterrey"/>
    <s v="006"/>
    <s v="Apodaca"/>
    <x v="10"/>
    <s v="Accesorios, aparatos eléctricos y equipos de generación eléctrica"/>
    <n v="49.924619325619361"/>
    <n v="38.324904931539933"/>
    <n v="0.2707660950098853"/>
    <n v="25.457045602712785"/>
    <n v="31.603009471814918"/>
    <n v="549.65037225212063"/>
    <n v="0.84206685165358719"/>
    <s v="Estatal"/>
  </r>
  <r>
    <x v="3"/>
    <s v="Nuevo León"/>
    <s v="19"/>
    <s v="19.01"/>
    <s v="Monterrey"/>
    <s v="006"/>
    <s v="Apodaca"/>
    <x v="10"/>
    <s v="Alimentos y Bebidas"/>
    <n v="5.5713913801732255"/>
    <n v="2.6597993374083817"/>
    <n v="0.23608507926445016"/>
    <n v="14.675735976187671"/>
    <n v="23.336242154033318"/>
    <n v="0.91084196156546204"/>
    <n v="0.3336572293660246"/>
    <s v="Estatal"/>
  </r>
  <r>
    <x v="3"/>
    <s v="Nuevo León"/>
    <s v="19"/>
    <s v="19.01"/>
    <s v="Monterrey"/>
    <s v="006"/>
    <s v="Apodaca"/>
    <x v="10"/>
    <s v="Almacenamiento de combustibles"/>
    <n v="8.8581121721869208E-5"/>
    <n v="8.2285263733703525E-5"/>
    <n v="5.4072476940744182E-5"/>
    <n v="9.2806272968165755E-4"/>
    <n v="1.2227887897166894E-3"/>
    <n v="5.9670785171036901E-5"/>
    <n v="4.0563921001368226E-5"/>
    <s v="Federal"/>
  </r>
  <r>
    <x v="3"/>
    <s v="Nuevo León"/>
    <s v="19"/>
    <s v="19.01"/>
    <s v="Monterrey"/>
    <s v="006"/>
    <s v="Apodaca"/>
    <x v="10"/>
    <s v="Extracción/Beneficio minerales no metálicos"/>
    <n v="1.9711029950000005"/>
    <n v="1.1949884700000002"/>
    <n v="1.9422720000000001E-6"/>
    <n v="3.9755880000000007E-2"/>
    <n v="6.9800399999999999E-2"/>
    <n v="1.7198854828945063E-3"/>
    <n v="0"/>
    <s v="Estatal"/>
  </r>
  <r>
    <x v="3"/>
    <s v="Nuevo León"/>
    <s v="19"/>
    <s v="19.01"/>
    <s v="Monterrey"/>
    <s v="006"/>
    <s v="Apodaca"/>
    <x v="10"/>
    <s v="Impresión"/>
    <n v="8.7226267382129741E-2"/>
    <n v="7.3599067382129735E-2"/>
    <n v="1.0930176000000001E-7"/>
    <n v="3.0372704E-3"/>
    <n v="4.7280320000000001E-3"/>
    <n v="1.1336035786395842"/>
    <n v="0"/>
    <s v="Estatal"/>
  </r>
  <r>
    <x v="3"/>
    <s v="Nuevo León"/>
    <s v="19"/>
    <s v="19.01"/>
    <s v="Monterrey"/>
    <s v="006"/>
    <s v="Apodaca"/>
    <x v="10"/>
    <s v="Industria de la madera"/>
    <n v="2.8822358153747264E-3"/>
    <n v="2.8822358153747264E-3"/>
    <n v="1.7886149749150764E-5"/>
    <n v="3.0703328395910834E-2"/>
    <n v="5.2606521374856531E-2"/>
    <n v="1.3792820298163123E-3"/>
    <n v="8.7847258367495734E-5"/>
    <s v="Estatal"/>
  </r>
  <r>
    <x v="3"/>
    <s v="Nuevo León"/>
    <s v="19"/>
    <s v="19.01"/>
    <s v="Monterrey"/>
    <s v="006"/>
    <s v="Apodaca"/>
    <x v="10"/>
    <s v="Industria textil"/>
    <n v="6.8700000000000011E-2"/>
    <n v="6.8700000000000011E-2"/>
    <n v="5.4000000000000003E-3"/>
    <n v="0.75880000000000003"/>
    <n v="1.0977999999999999"/>
    <n v="4.9600000000000005E-2"/>
    <n v="2.8899999999999995E-2"/>
    <s v="Estatal"/>
  </r>
  <r>
    <x v="3"/>
    <s v="Nuevo León"/>
    <s v="19"/>
    <s v="19.01"/>
    <s v="Monterrey"/>
    <s v="006"/>
    <s v="Apodaca"/>
    <x v="10"/>
    <s v="Manejo de desechos y remediación"/>
    <n v="6.8879999999999994E-4"/>
    <n v="4.8839999999999995E-4"/>
    <n v="0"/>
    <n v="0"/>
    <n v="0"/>
    <n v="4.002E-2"/>
    <n v="0"/>
    <s v="Estatal"/>
  </r>
  <r>
    <x v="3"/>
    <s v="Nuevo León"/>
    <s v="19"/>
    <s v="19.01"/>
    <s v="Monterrey"/>
    <s v="006"/>
    <s v="Apodaca"/>
    <x v="10"/>
    <s v="Metálico"/>
    <n v="44.242797301754763"/>
    <n v="35.34061105535897"/>
    <n v="0.38113992333873115"/>
    <n v="23.238371457744709"/>
    <n v="29.072508040807573"/>
    <n v="201.69346599088092"/>
    <n v="0.81873342734298793"/>
    <s v="Estatal"/>
  </r>
  <r>
    <x v="3"/>
    <s v="Nuevo León"/>
    <s v="19"/>
    <s v="19.01"/>
    <s v="Monterrey"/>
    <s v="006"/>
    <s v="Apodaca"/>
    <x v="10"/>
    <s v="Mezclas químicas"/>
    <n v="3.3681240049771972"/>
    <n v="1.8759827627151757"/>
    <n v="0.10233514095656084"/>
    <n v="5.6712049440390757"/>
    <n v="0.96752270956142716"/>
    <n v="0.24121161326393706"/>
    <n v="3.1813798700039891E-2"/>
    <s v="Estatal"/>
  </r>
  <r>
    <x v="3"/>
    <s v="Nuevo León"/>
    <s v="19"/>
    <s v="19.01"/>
    <s v="Monterrey"/>
    <s v="006"/>
    <s v="Apodaca"/>
    <x v="10"/>
    <s v="Minerales no metálicos"/>
    <n v="69.442916427562423"/>
    <n v="43.797983892347858"/>
    <n v="2.3099225824643428"/>
    <n v="48.034873921211634"/>
    <n v="77.145536368281469"/>
    <n v="4.4315898491383203"/>
    <n v="1.6542534207997672"/>
    <s v="Estatal"/>
  </r>
  <r>
    <x v="3"/>
    <s v="Nuevo León"/>
    <s v="19"/>
    <s v="19.01"/>
    <s v="Monterrey"/>
    <s v="006"/>
    <s v="Apodaca"/>
    <x v="10"/>
    <s v="Otras Industrias"/>
    <n v="12.787476631396236"/>
    <n v="9.121188723585588"/>
    <n v="1.9996966008373918E-2"/>
    <n v="2.0746948203631699"/>
    <n v="2.5250439771855189"/>
    <n v="0.75323416061294224"/>
    <n v="0.87706839556410576"/>
    <s v="Estatal"/>
  </r>
  <r>
    <x v="3"/>
    <s v="Nuevo León"/>
    <s v="19"/>
    <s v="19.01"/>
    <s v="Monterrey"/>
    <s v="006"/>
    <s v="Apodaca"/>
    <x v="10"/>
    <s v="Papel y cartón "/>
    <n v="27.218435416110712"/>
    <n v="20.716493656110714"/>
    <n v="6.5865452244410457E-3"/>
    <n v="1.3849983097083063"/>
    <n v="1.9100838158784414"/>
    <n v="34.607625850783194"/>
    <n v="3.5259142904489935E-2"/>
    <s v="Estatal"/>
  </r>
  <r>
    <x v="3"/>
    <s v="Nuevo León"/>
    <s v="19"/>
    <s v="19.01"/>
    <s v="Monterrey"/>
    <s v="006"/>
    <s v="Apodaca"/>
    <x v="10"/>
    <s v="Plástico y hule"/>
    <n v="34.362149837084701"/>
    <n v="15.994070233913101"/>
    <n v="2.5889630465807799E-2"/>
    <n v="3.3504802629516806"/>
    <n v="4.1969128910077655"/>
    <n v="126.73631104056861"/>
    <n v="0.11631135211275383"/>
    <s v="Estatal"/>
  </r>
  <r>
    <x v="3"/>
    <s v="Nuevo León"/>
    <s v="19"/>
    <s v="19.01"/>
    <s v="Monterrey"/>
    <s v="009"/>
    <s v="Cadereyta Jiménez"/>
    <x v="10"/>
    <s v="Alimentos y Bebidas"/>
    <n v="1.8373440000000001E-2"/>
    <n v="4.6024198816568039E-3"/>
    <n v="0.10436983668639054"/>
    <n v="9.1867199999999996E-2"/>
    <n v="0.36746879999999998"/>
    <n v="3.6783119526627218E-3"/>
    <n v="1.469512804733728E-2"/>
    <s v="Estatal"/>
  </r>
  <r>
    <x v="3"/>
    <s v="Nuevo León"/>
    <s v="19"/>
    <s v="19.01"/>
    <s v="Monterrey"/>
    <s v="009"/>
    <s v="Cadereyta Jiménez"/>
    <x v="10"/>
    <s v="Manejo de desechos y remediación"/>
    <n v="0.1964060856"/>
    <n v="0.1486538871420639"/>
    <n v="0.4204965777521894"/>
    <n v="0.39717028199999999"/>
    <n v="3.1843280562"/>
    <n v="1.6381176228745561E-2"/>
    <n v="4.6068639053254437E-2"/>
    <s v="Estatal"/>
  </r>
  <r>
    <x v="3"/>
    <s v="Nuevo León"/>
    <s v="19"/>
    <s v="19.01"/>
    <s v="Monterrey"/>
    <s v="010"/>
    <s v="El Carmen"/>
    <x v="10"/>
    <s v="Accesorios, aparatos eléctricos y equipos de generación eléctrica"/>
    <n v="0"/>
    <n v="0"/>
    <n v="0"/>
    <n v="0"/>
    <n v="0"/>
    <n v="33.52384"/>
    <n v="0"/>
    <s v="Estatal"/>
  </r>
  <r>
    <x v="3"/>
    <s v="Nuevo León"/>
    <s v="19"/>
    <s v="19.01"/>
    <s v="Monterrey"/>
    <s v="010"/>
    <s v="El Carmen"/>
    <x v="10"/>
    <s v="Alimentos y Bebidas"/>
    <n v="1.0961392779475914"/>
    <n v="1.0961392779475914"/>
    <n v="8.5838927630057793E-2"/>
    <n v="12.112017758742775"/>
    <n v="14.451939698135446"/>
    <n v="0.79175137258632144"/>
    <n v="0.46058427763527321"/>
    <s v="Estatal"/>
  </r>
  <r>
    <x v="3"/>
    <s v="Nuevo León"/>
    <s v="19"/>
    <s v="19.01"/>
    <s v="Monterrey"/>
    <s v="010"/>
    <s v="El Carmen"/>
    <x v="10"/>
    <s v="Cuero, piel y materiales sucedáneos"/>
    <n v="15.480543752896869"/>
    <n v="10.91631827909687"/>
    <n v="21.381032599343815"/>
    <n v="0.48309384754233953"/>
    <n v="2.5046650834843893"/>
    <n v="2.318173243970488E-2"/>
    <n v="2.8670496E-2"/>
    <s v="Estatal"/>
  </r>
  <r>
    <x v="3"/>
    <s v="Nuevo León"/>
    <s v="19"/>
    <s v="19.01"/>
    <s v="Monterrey"/>
    <s v="010"/>
    <s v="El Carmen"/>
    <x v="10"/>
    <s v="Industria textil"/>
    <n v="0.52519495062228128"/>
    <n v="0.49850835062228127"/>
    <n v="3.4213318199541078E-2"/>
    <n v="4.7907933290255018"/>
    <n v="5.8946398279010408"/>
    <n v="0.99291185024142736"/>
    <n v="0.18309898374667927"/>
    <s v="Estatal"/>
  </r>
  <r>
    <x v="3"/>
    <s v="Nuevo León"/>
    <s v="19"/>
    <s v="19.01"/>
    <s v="Monterrey"/>
    <s v="012"/>
    <s v="Ciénega de Flores"/>
    <x v="10"/>
    <s v="Accesorios, aparatos eléctricos y equipos de generación eléctrica"/>
    <n v="1.7114858653751552"/>
    <n v="1.1822422405230846"/>
    <n v="2.249019609883363"/>
    <n v="7.5969747815084752"/>
    <n v="14.840277861771581"/>
    <n v="9.5339500066668794"/>
    <n v="0.50537178986655773"/>
    <s v="Estatal"/>
  </r>
  <r>
    <x v="3"/>
    <s v="Nuevo León"/>
    <s v="19"/>
    <s v="19.01"/>
    <s v="Monterrey"/>
    <s v="012"/>
    <s v="Ciénega de Flores"/>
    <x v="10"/>
    <s v="Alimentos y Bebidas"/>
    <n v="4.4679911780639996"/>
    <n v="2.8963799839101543"/>
    <n v="79.9267593401147"/>
    <n v="0.84853089599999998"/>
    <n v="8.0571436799999994"/>
    <n v="4.4660088157062371E-2"/>
    <n v="0.13473489846153847"/>
    <s v="Estatal"/>
  </r>
  <r>
    <x v="3"/>
    <s v="Nuevo León"/>
    <s v="19"/>
    <s v="19.01"/>
    <s v="Monterrey"/>
    <s v="012"/>
    <s v="Ciénega de Flores"/>
    <x v="10"/>
    <s v="Extracción/Beneficio minerales no metálicos"/>
    <n v="2.2092407369605165"/>
    <n v="2.1767916349723508"/>
    <n v="0.16972490430641424"/>
    <n v="23.511283177436148"/>
    <n v="28.061209504553201"/>
    <n v="1.5316246420105402"/>
    <n v="0.89432073356842279"/>
    <s v="Estatal"/>
  </r>
  <r>
    <x v="3"/>
    <s v="Nuevo León"/>
    <s v="19"/>
    <s v="19.01"/>
    <s v="Monterrey"/>
    <s v="012"/>
    <s v="Ciénega de Flores"/>
    <x v="10"/>
    <s v="Industria de la madera"/>
    <n v="1.317790087077549"/>
    <n v="0.93862148471068518"/>
    <n v="1.4934229121497777E-3"/>
    <n v="0.1603499790346275"/>
    <n v="0.27368123592912996"/>
    <n v="7.3460669164128198E-3"/>
    <n v="9.0199651351425777E-4"/>
    <s v="Estatal"/>
  </r>
  <r>
    <x v="3"/>
    <s v="Nuevo León"/>
    <s v="19"/>
    <s v="19.01"/>
    <s v="Monterrey"/>
    <s v="012"/>
    <s v="Ciénega de Flores"/>
    <x v="10"/>
    <s v="Industria textil"/>
    <n v="5.04164E-2"/>
    <n v="4.5640200000000006E-2"/>
    <n v="2.7000000000000001E-3"/>
    <n v="0.37630000000000002"/>
    <n v="0.44800000000000001"/>
    <n v="2.46E-2"/>
    <n v="1.44E-2"/>
    <s v="Estatal"/>
  </r>
  <r>
    <x v="3"/>
    <s v="Nuevo León"/>
    <s v="19"/>
    <s v="19.01"/>
    <s v="Monterrey"/>
    <s v="012"/>
    <s v="Ciénega de Flores"/>
    <x v="10"/>
    <s v="Metálico"/>
    <n v="9.1650716182419831"/>
    <n v="7.3064390647626922"/>
    <n v="0.78230128684122913"/>
    <n v="21.028854052432987"/>
    <n v="27.049570677245764"/>
    <n v="492.37379221090356"/>
    <n v="0.84280463831862562"/>
    <s v="Estatal"/>
  </r>
  <r>
    <x v="3"/>
    <s v="Nuevo León"/>
    <s v="19"/>
    <s v="19.01"/>
    <s v="Monterrey"/>
    <s v="012"/>
    <s v="Ciénega de Flores"/>
    <x v="10"/>
    <s v="Minerales no metálicos"/>
    <n v="9.4586719911114709"/>
    <n v="4.2223365999872113"/>
    <n v="8.2927714350243653E-2"/>
    <n v="11.633449609303973"/>
    <n v="13.86131550059963"/>
    <n v="0.76077301218253834"/>
    <n v="0.44347863584554781"/>
    <s v="Estatal"/>
  </r>
  <r>
    <x v="3"/>
    <s v="Nuevo León"/>
    <s v="19"/>
    <s v="19.01"/>
    <s v="Monterrey"/>
    <s v="012"/>
    <s v="Ciénega de Flores"/>
    <x v="10"/>
    <s v="Otras Industrias"/>
    <n v="9.1690219815751844E-2"/>
    <n v="9.1686920786166054E-2"/>
    <n v="7.2935589967685014E-3"/>
    <n v="1.0132204344718445"/>
    <n v="1.2062219841469941"/>
    <n v="6.6310513277443792E-2"/>
    <n v="3.870539221778798E-2"/>
    <s v="Estatal"/>
  </r>
  <r>
    <x v="3"/>
    <s v="Nuevo León"/>
    <s v="19"/>
    <s v="19.01"/>
    <s v="Monterrey"/>
    <s v="012"/>
    <s v="Ciénega de Flores"/>
    <x v="10"/>
    <s v="Papel y cartón "/>
    <n v="1.2448979096478158E-2"/>
    <n v="1.2448979096478158E-2"/>
    <n v="4.4413054215048734E-6"/>
    <n v="0.13223098631446459"/>
    <n v="0.23216035829832424"/>
    <n v="116.24628040138292"/>
    <n v="0"/>
    <s v="Estatal"/>
  </r>
  <r>
    <x v="3"/>
    <s v="Nuevo León"/>
    <s v="19"/>
    <s v="19.01"/>
    <s v="Monterrey"/>
    <s v="012"/>
    <s v="Ciénega de Flores"/>
    <x v="10"/>
    <s v="Plástico y hule"/>
    <n v="0.23847601256746842"/>
    <n v="0.22799736713371696"/>
    <n v="9.8890265090214632E-2"/>
    <n v="2.4917382123562293"/>
    <n v="3.3734173015673981"/>
    <n v="273.28764491189366"/>
    <n v="9.2754568279604599E-2"/>
    <s v="Estatal"/>
  </r>
  <r>
    <x v="3"/>
    <s v="Nuevo León"/>
    <s v="19"/>
    <m/>
    <m/>
    <s v="014"/>
    <s v="Doctor Arroyo"/>
    <x v="10"/>
    <s v="Plástico y hule"/>
    <n v="6.8589119999999996E-4"/>
    <n v="6.8589119999999996E-4"/>
    <n v="3.5592192E-7"/>
    <n v="7.2852768000000005E-3"/>
    <n v="1.2790943999999999E-2"/>
    <n v="3.1516952478949389E-4"/>
    <n v="0"/>
    <s v="Estatal"/>
  </r>
  <r>
    <x v="3"/>
    <s v="Nuevo León"/>
    <s v="19"/>
    <m/>
    <m/>
    <s v="016"/>
    <s v="Doctor González"/>
    <x v="10"/>
    <s v="Metálico"/>
    <n v="3.2032433294500837E-3"/>
    <n v="2.267858714065468E-3"/>
    <n v="7.1003058574925981E-3"/>
    <n v="2.7062673304792263E-2"/>
    <n v="6.0720900650352731E-2"/>
    <n v="1.1819754460780695E-3"/>
    <n v="1.0520744115058633E-3"/>
    <s v="Estatal"/>
  </r>
  <r>
    <x v="3"/>
    <s v="Nuevo León"/>
    <s v="19"/>
    <s v="19.01"/>
    <s v="Monterrey"/>
    <s v="018"/>
    <s v="García"/>
    <x v="10"/>
    <s v="Accesorios, aparatos eléctricos y equipos de generación eléctrica"/>
    <n v="2.6462229987374508"/>
    <n v="2.0459625987374519"/>
    <n v="9.1200670821405365E-3"/>
    <n v="1.3395719406464801"/>
    <n v="1.6335212700909358"/>
    <n v="32.783596209109085"/>
    <n v="4.8542472954125837E-2"/>
    <s v="Estatal"/>
  </r>
  <r>
    <x v="3"/>
    <s v="Nuevo León"/>
    <s v="19"/>
    <s v="19.01"/>
    <s v="Monterrey"/>
    <s v="018"/>
    <s v="García"/>
    <x v="10"/>
    <s v="Extracción/Beneficio minerales no metálicos"/>
    <n v="902.52249862897679"/>
    <n v="546.48239861404352"/>
    <n v="7.5923525635029584E-4"/>
    <n v="2.5789336884000005E-2"/>
    <n v="4.6776379536000001E-2"/>
    <n v="1.1135270853496382E-3"/>
    <n v="1.0672646172071007E-4"/>
    <s v="Estatal"/>
  </r>
  <r>
    <x v="3"/>
    <s v="Nuevo León"/>
    <s v="19"/>
    <s v="19.01"/>
    <s v="Monterrey"/>
    <s v="018"/>
    <s v="García"/>
    <x v="10"/>
    <s v="Manejo de desechos y remediación"/>
    <n v="1.052984E-2"/>
    <n v="3.9118139644970414E-3"/>
    <n v="5.0257671005917159E-2"/>
    <n v="6.3249200000000005E-2"/>
    <n v="0.1992968"/>
    <n v="32.002967709585796"/>
    <n v="7.7621304142011837E-3"/>
    <s v="Estatal"/>
  </r>
  <r>
    <x v="3"/>
    <s v="Nuevo León"/>
    <s v="19"/>
    <s v="19.01"/>
    <s v="Monterrey"/>
    <s v="018"/>
    <s v="García"/>
    <x v="10"/>
    <s v="Metálico"/>
    <n v="1.1416316137355369"/>
    <n v="0.59356500545151325"/>
    <n v="3.3408189794105785"/>
    <n v="2.9680475856491091"/>
    <n v="11.801431152678132"/>
    <n v="59.078043732033734"/>
    <n v="0.47097271981810945"/>
    <s v="Estatal"/>
  </r>
  <r>
    <x v="3"/>
    <s v="Nuevo León"/>
    <s v="19"/>
    <s v="19.01"/>
    <s v="Monterrey"/>
    <s v="018"/>
    <s v="García"/>
    <x v="10"/>
    <s v="Mezclas químicas"/>
    <n v="0.62338210855999998"/>
    <n v="0.36971848167242605"/>
    <n v="1.1785622936984994E-2"/>
    <n v="0.64010692424000015"/>
    <n v="0.8132798872"/>
    <n v="4.9412900867295481E-2"/>
    <n v="2.3081731955029584E-2"/>
    <s v="Estatal"/>
  </r>
  <r>
    <x v="3"/>
    <s v="Nuevo León"/>
    <s v="19"/>
    <s v="19.01"/>
    <s v="Monterrey"/>
    <s v="018"/>
    <s v="García"/>
    <x v="10"/>
    <s v="Minerales no metálicos"/>
    <n v="85.671964338802383"/>
    <n v="52.013781656774341"/>
    <n v="2.6248949731626343"/>
    <n v="5.6990754672673143"/>
    <n v="21.439339889735546"/>
    <n v="9.809189680472981"/>
    <n v="0.25538896313406861"/>
    <s v="Estatal"/>
  </r>
  <r>
    <x v="3"/>
    <s v="Nuevo León"/>
    <s v="19"/>
    <s v="19.01"/>
    <s v="Monterrey"/>
    <s v="018"/>
    <s v="García"/>
    <x v="10"/>
    <s v="Papel y cartón "/>
    <n v="3.2466865679999998E-3"/>
    <n v="3.0353256212544378E-3"/>
    <n v="1.6034319230730605E-3"/>
    <n v="3.2899778951999997E-2"/>
    <n v="6.0927398159999993E-2"/>
    <n v="803.20402873998466"/>
    <n v="2.2554437869822487E-4"/>
    <s v="Estatal"/>
  </r>
  <r>
    <x v="3"/>
    <s v="Nuevo León"/>
    <s v="19"/>
    <s v="19.01"/>
    <s v="Monterrey"/>
    <s v="018"/>
    <s v="García"/>
    <x v="10"/>
    <s v="Plástico y hule"/>
    <n v="4.2073300975999999"/>
    <n v="3.8355538869491124"/>
    <n v="5.580338923307929E-3"/>
    <n v="1.7952926400000003E-2"/>
    <n v="4.2542711999999996E-2"/>
    <n v="11.697149441625104"/>
    <n v="7.8561426035502954E-4"/>
    <s v="Estatal"/>
  </r>
  <r>
    <x v="3"/>
    <s v="Nuevo León"/>
    <s v="19"/>
    <s v="19.01"/>
    <s v="Monterrey"/>
    <s v="019"/>
    <s v="San Pedro Garza García"/>
    <x v="10"/>
    <s v="Alimentos y Bebidas"/>
    <n v="0.34715764523778248"/>
    <n v="0.28613364523778251"/>
    <n v="1.2210366263854591E-2"/>
    <n v="1.7684246102529804"/>
    <n v="2.1429449059177768"/>
    <n v="0.80776369576231755"/>
    <n v="6.4997463257278135E-2"/>
    <s v="Estatal"/>
  </r>
  <r>
    <x v="3"/>
    <s v="Nuevo León"/>
    <s v="19"/>
    <s v="19.01"/>
    <s v="Monterrey"/>
    <s v="019"/>
    <s v="San Pedro Garza García"/>
    <x v="10"/>
    <s v="Manejo de desechos y remediación"/>
    <n v="5.2936983062613803E-3"/>
    <n v="4.9072225666164102E-3"/>
    <n v="3.3078683350825509E-3"/>
    <n v="5.5379399266202785E-2"/>
    <n v="7.3168522517069914E-2"/>
    <n v="3.5588490633296581E-3"/>
    <n v="2.429295825691547E-3"/>
    <s v="Estatal"/>
  </r>
  <r>
    <x v="3"/>
    <s v="Nuevo León"/>
    <s v="19"/>
    <s v="19.01"/>
    <s v="Monterrey"/>
    <s v="019"/>
    <s v="San Pedro Garza García"/>
    <x v="10"/>
    <s v="Metálico"/>
    <n v="9.3902448000000014E-4"/>
    <n v="9.3902448000000014E-4"/>
    <n v="4.8727756800000003E-7"/>
    <n v="9.9739627200000017E-3"/>
    <n v="1.7511537600000002E-2"/>
    <n v="3.3226314851963799"/>
    <n v="0"/>
    <s v="Estatal"/>
  </r>
  <r>
    <x v="3"/>
    <s v="Nuevo León"/>
    <s v="19"/>
    <s v="19.01"/>
    <s v="Monterrey"/>
    <s v="019"/>
    <s v="San Pedro Garza García"/>
    <x v="10"/>
    <s v="Minerales no metálicos"/>
    <n v="97.548904192340288"/>
    <n v="71.48460351837582"/>
    <n v="44.275110197273726"/>
    <n v="88.48512155032698"/>
    <n v="105.77827268805332"/>
    <n v="5.7830616307299705"/>
    <n v="3.3847937535564192"/>
    <s v="Estatal"/>
  </r>
  <r>
    <x v="3"/>
    <s v="Nuevo León"/>
    <s v="19"/>
    <s v="19.01"/>
    <s v="Monterrey"/>
    <s v="021"/>
    <s v="General Escobedo"/>
    <x v="10"/>
    <s v="Accesorios, aparatos eléctricos y equipos de generación eléctrica"/>
    <n v="0.10813555036505489"/>
    <n v="7.7691450365054884E-2"/>
    <n v="3.7897671249144437E-5"/>
    <n v="3.7322906242797764E-2"/>
    <n v="6.2666614037991134E-2"/>
    <n v="1.7269542377546299E-3"/>
    <n v="1.9339667905167958E-4"/>
    <s v="Estatal"/>
  </r>
  <r>
    <x v="3"/>
    <s v="Nuevo León"/>
    <s v="19"/>
    <s v="19.01"/>
    <s v="Monterrey"/>
    <s v="021"/>
    <s v="General Escobedo"/>
    <x v="10"/>
    <s v="Alimentos y Bebidas"/>
    <n v="0.80135756241720046"/>
    <n v="0.59602236241720052"/>
    <n v="9.3406643807761355E-2"/>
    <n v="5.7440601328871583"/>
    <n v="6.9677673764159813"/>
    <n v="0.37475014561466513"/>
    <n v="0.2250401304500978"/>
    <s v="Estatal"/>
  </r>
  <r>
    <x v="3"/>
    <s v="Nuevo León"/>
    <s v="19"/>
    <s v="19.01"/>
    <s v="Monterrey"/>
    <s v="021"/>
    <s v="General Escobedo"/>
    <x v="10"/>
    <s v="Derivados del petróleo y carbón"/>
    <n v="1.7200048000000001"/>
    <n v="1.1313643502958579"/>
    <n v="0.4704714818840236"/>
    <n v="4.5049939999999999"/>
    <n v="5.3712900000000001"/>
    <n v="7.3375967904725616E-3"/>
    <n v="2.1978579881656808E-2"/>
    <s v="Estatal"/>
  </r>
  <r>
    <x v="3"/>
    <s v="Nuevo León"/>
    <s v="19"/>
    <s v="19.01"/>
    <s v="Monterrey"/>
    <s v="021"/>
    <s v="General Escobedo"/>
    <x v="10"/>
    <s v="Extracción/Beneficio minerales no metálicos"/>
    <n v="350.82656380200001"/>
    <n v="228.36568247052429"/>
    <n v="2.0964494331304899"/>
    <n v="1.9454443980000002"/>
    <n v="13.536902639999999"/>
    <n v="7.9630767814469067E-2"/>
    <n v="0.24775015855029589"/>
    <s v="Estatal"/>
  </r>
  <r>
    <x v="3"/>
    <s v="Nuevo León"/>
    <s v="19"/>
    <s v="19.01"/>
    <s v="Monterrey"/>
    <s v="021"/>
    <s v="General Escobedo"/>
    <x v="10"/>
    <s v="Industria de la madera"/>
    <n v="1.5542686205840095E-2"/>
    <n v="8.6988520283253004E-3"/>
    <n v="5.1871346425449452E-2"/>
    <n v="0.11375821504876099"/>
    <n v="0.30219135598111996"/>
    <n v="4.7741900013886741E-3"/>
    <n v="7.3030914710059177E-3"/>
    <s v="Estatal"/>
  </r>
  <r>
    <x v="3"/>
    <s v="Nuevo León"/>
    <s v="19"/>
    <s v="19.01"/>
    <s v="Monterrey"/>
    <s v="021"/>
    <s v="General Escobedo"/>
    <x v="10"/>
    <s v="Manejo de desechos y remediación"/>
    <n v="0.16096000000000002"/>
    <n v="0.10400800000000002"/>
    <n v="2.7000000000000001E-3"/>
    <n v="0.37280000000000002"/>
    <n v="0.44390000000000002"/>
    <n v="29.687317696000001"/>
    <n v="1.43E-2"/>
    <s v="Estatal"/>
  </r>
  <r>
    <x v="3"/>
    <s v="Nuevo León"/>
    <s v="19"/>
    <s v="19.01"/>
    <s v="Monterrey"/>
    <s v="021"/>
    <s v="General Escobedo"/>
    <x v="10"/>
    <s v="Metálico"/>
    <n v="2.3826600904982609"/>
    <n v="1.9185216998118704"/>
    <n v="0.13739175006481075"/>
    <n v="8.9775307349793252"/>
    <n v="11.516713424135629"/>
    <n v="94.955229741912149"/>
    <n v="0.30940071275780867"/>
    <s v="Estatal"/>
  </r>
  <r>
    <x v="3"/>
    <s v="Nuevo León"/>
    <s v="19"/>
    <s v="19.01"/>
    <s v="Monterrey"/>
    <s v="021"/>
    <s v="General Escobedo"/>
    <x v="10"/>
    <s v="Mezclas químicas"/>
    <n v="20.274534389656946"/>
    <n v="11.206094544585111"/>
    <n v="1.8562405503199292E-2"/>
    <n v="0.15883865216650239"/>
    <n v="0.25621187741432799"/>
    <n v="407.60935239051094"/>
    <n v="6.4207666844660893E-3"/>
    <s v="Estatal"/>
  </r>
  <r>
    <x v="3"/>
    <s v="Nuevo León"/>
    <s v="19"/>
    <s v="19.01"/>
    <s v="Monterrey"/>
    <s v="021"/>
    <s v="General Escobedo"/>
    <x v="10"/>
    <s v="Minerales no metálicos"/>
    <n v="50.250216339520001"/>
    <n v="29.83643268543932"/>
    <n v="0.22257095781570302"/>
    <n v="14.264813505599999"/>
    <n v="1.6108464012013974"/>
    <n v="63.557943558548665"/>
    <n v="5.7551087103425325E-2"/>
    <s v="Estatal"/>
  </r>
  <r>
    <x v="3"/>
    <s v="Nuevo León"/>
    <s v="19"/>
    <s v="19.01"/>
    <s v="Monterrey"/>
    <s v="021"/>
    <s v="General Escobedo"/>
    <x v="10"/>
    <s v="Plástico y hule"/>
    <n v="1.6333016906334477"/>
    <n v="0.95250317406540019"/>
    <n v="2.945063672348282E-3"/>
    <n v="1.7316172517621391"/>
    <n v="2.9757504108812571"/>
    <n v="10.847871973149024"/>
    <n v="4.9058489977493146E-3"/>
    <s v="Estatal"/>
  </r>
  <r>
    <x v="3"/>
    <s v="Nuevo León"/>
    <s v="19"/>
    <s v="19.01"/>
    <s v="Monterrey"/>
    <s v="025"/>
    <s v="General Zuazua"/>
    <x v="10"/>
    <s v="Minerales no metálicos"/>
    <n v="38.237675425759996"/>
    <n v="22.927482519777932"/>
    <n v="0.18266084733727811"/>
    <n v="0.16077959999999999"/>
    <n v="0.64311839999999998"/>
    <n v="6.4375263905325436E-3"/>
    <n v="2.5718393609467458E-2"/>
    <s v="Estatal"/>
  </r>
  <r>
    <x v="3"/>
    <s v="Nuevo León"/>
    <s v="19"/>
    <s v="19.01"/>
    <s v="Monterrey"/>
    <s v="026"/>
    <s v="Guadalupe"/>
    <x v="10"/>
    <s v="Accesorios, aparatos eléctricos y equipos de generación eléctrica"/>
    <n v="11.764308092868308"/>
    <n v="9.0434823101749338"/>
    <n v="8.8532480042820591E-2"/>
    <n v="4.44530478946323"/>
    <n v="6.0664979846385849"/>
    <n v="109.77062313005213"/>
    <n v="0.15510539439356621"/>
    <s v="Estatal"/>
  </r>
  <r>
    <x v="3"/>
    <s v="Nuevo León"/>
    <s v="19"/>
    <s v="19.01"/>
    <s v="Monterrey"/>
    <s v="026"/>
    <s v="Guadalupe"/>
    <x v="10"/>
    <s v="Alimentos y Bebidas"/>
    <n v="21.84547750350437"/>
    <n v="7.6207253431458541"/>
    <n v="0.23923850819976183"/>
    <n v="31.737956246884995"/>
    <n v="38.081478189554254"/>
    <n v="2.0666751500431539"/>
    <n v="1.1963090809737209"/>
    <s v="Estatal"/>
  </r>
  <r>
    <x v="3"/>
    <s v="Nuevo León"/>
    <s v="19"/>
    <s v="19.01"/>
    <s v="Monterrey"/>
    <s v="026"/>
    <s v="Guadalupe"/>
    <x v="10"/>
    <s v="Industria textil"/>
    <n v="1.4023500611995103E-2"/>
    <n v="1.4023500611995103E-2"/>
    <n v="8.9999999999999998E-4"/>
    <n v="0.12859999999999999"/>
    <n v="0.1532"/>
    <n v="8.3999999999999995E-3"/>
    <n v="4.8999999999999998E-3"/>
    <s v="Estatal"/>
  </r>
  <r>
    <x v="3"/>
    <s v="Nuevo León"/>
    <s v="19"/>
    <s v="19.01"/>
    <s v="Monterrey"/>
    <s v="026"/>
    <s v="Guadalupe"/>
    <x v="10"/>
    <s v="Metálico"/>
    <n v="12.096593215202738"/>
    <n v="9.1856247805956368"/>
    <n v="0.2617645747317266"/>
    <n v="17.233988203860431"/>
    <n v="22.384168811343951"/>
    <n v="34.491175381720652"/>
    <n v="0.54490001315789571"/>
    <s v="Estatal"/>
  </r>
  <r>
    <x v="3"/>
    <s v="Nuevo León"/>
    <s v="19"/>
    <s v="19.01"/>
    <s v="Monterrey"/>
    <s v="026"/>
    <s v="Guadalupe"/>
    <x v="10"/>
    <s v="Mezclas químicas"/>
    <n v="1.4393787962452369"/>
    <n v="0.92596309199523708"/>
    <n v="2.0997532413956372E-2"/>
    <n v="53.27659368679069"/>
    <n v="3.4993825416244246"/>
    <n v="513.81433930361402"/>
    <n v="0.10994956142168558"/>
    <s v="Estatal"/>
  </r>
  <r>
    <x v="3"/>
    <s v="Nuevo León"/>
    <s v="19"/>
    <s v="19.01"/>
    <s v="Monterrey"/>
    <s v="026"/>
    <s v="Guadalupe"/>
    <x v="10"/>
    <s v="Minerales no metálicos"/>
    <n v="66.149564720894645"/>
    <n v="39.93924919897195"/>
    <n v="0.28151597096155923"/>
    <n v="1.2847068180167576"/>
    <n v="2.2178965631500978"/>
    <n v="8.6575339048865771"/>
    <n v="7.7744478759392235E-2"/>
    <s v="Estatal"/>
  </r>
  <r>
    <x v="3"/>
    <s v="Nuevo León"/>
    <s v="19"/>
    <s v="19.01"/>
    <s v="Monterrey"/>
    <s v="026"/>
    <s v="Guadalupe"/>
    <x v="10"/>
    <s v="Otras Industrias"/>
    <n v="1.2000000000000002E-4"/>
    <n v="3.0059171597633135E-5"/>
    <n v="6.8165680473372778E-4"/>
    <n v="6.0000000000000006E-4"/>
    <n v="2.4000000000000002E-3"/>
    <n v="2.4023668639053254E-5"/>
    <n v="9.5976331360946756E-5"/>
    <s v="Estatal"/>
  </r>
  <r>
    <x v="3"/>
    <s v="Nuevo León"/>
    <s v="19"/>
    <s v="19.01"/>
    <s v="Monterrey"/>
    <s v="026"/>
    <s v="Guadalupe"/>
    <x v="10"/>
    <s v="Papel y cartón "/>
    <n v="0.42409221333058972"/>
    <n v="0.42327573049035305"/>
    <n v="3.9042399737980397E-2"/>
    <n v="4.676246754704497"/>
    <n v="5.6338526694285349"/>
    <n v="10.50606810594069"/>
    <n v="0.1757822580194999"/>
    <s v="Estatal"/>
  </r>
  <r>
    <x v="3"/>
    <s v="Nuevo León"/>
    <s v="19"/>
    <s v="19.01"/>
    <s v="Monterrey"/>
    <s v="026"/>
    <s v="Guadalupe"/>
    <x v="10"/>
    <s v="Plástico y hule"/>
    <n v="1.8286992712884771"/>
    <n v="1.4495092805991279"/>
    <n v="5.2876679807755511E-2"/>
    <n v="2.6385180552088801"/>
    <n v="3.7933235653642856"/>
    <n v="86.873064450803639"/>
    <n v="6.8180340207352391E-2"/>
    <s v="Estatal"/>
  </r>
  <r>
    <x v="3"/>
    <s v="Nuevo León"/>
    <s v="19"/>
    <s v="19.01"/>
    <s v="Monterrey"/>
    <s v="031"/>
    <s v="Juárez"/>
    <x v="10"/>
    <s v="Industria de la madera"/>
    <n v="3.5479001039999999E-4"/>
    <n v="3.5479001039999999E-4"/>
    <n v="1.8410724864000001E-7"/>
    <n v="3.7684452456000004E-3"/>
    <n v="6.6163542479999995E-3"/>
    <n v="1.6302731246271653E-4"/>
    <n v="0"/>
    <s v="Estatal"/>
  </r>
  <r>
    <x v="3"/>
    <s v="Nuevo León"/>
    <s v="19"/>
    <s v="19.01"/>
    <s v="Monterrey"/>
    <s v="031"/>
    <s v="Juárez"/>
    <x v="10"/>
    <s v="Manejo de desechos y remediación"/>
    <n v="9.3637843627063511E-3"/>
    <n v="7.1375689780909662E-3"/>
    <n v="1.6874650195579332E-2"/>
    <n v="8.2762365291065343E-2"/>
    <n v="0.17863767351828369"/>
    <n v="3.5325165215608317E-3"/>
    <n v="2.3756061538461539E-3"/>
    <s v="Estatal"/>
  </r>
  <r>
    <x v="3"/>
    <s v="Nuevo León"/>
    <s v="19"/>
    <s v="19.01"/>
    <s v="Monterrey"/>
    <s v="031"/>
    <s v="Juárez"/>
    <x v="10"/>
    <s v="Metálico"/>
    <n v="9.6082902391592366"/>
    <n v="7.1055291837424299"/>
    <n v="1.5355963932450574E-2"/>
    <n v="1.9705011940055834"/>
    <n v="2.3598001785557536"/>
    <n v="28.126660719382393"/>
    <n v="7.469175466603227E-2"/>
    <s v="Estatal"/>
  </r>
  <r>
    <x v="3"/>
    <s v="Nuevo León"/>
    <s v="19"/>
    <s v="19.01"/>
    <s v="Monterrey"/>
    <s v="031"/>
    <s v="Juárez"/>
    <x v="10"/>
    <s v="Minerales no metálicos"/>
    <n v="102.14213371631428"/>
    <n v="73.475772497585936"/>
    <n v="0.99042599930069586"/>
    <n v="97.638025847069372"/>
    <n v="120.67583498409451"/>
    <n v="11.08649745658453"/>
    <n v="3.7483043076645455"/>
    <s v="Estatal"/>
  </r>
  <r>
    <x v="3"/>
    <s v="Nuevo León"/>
    <s v="19"/>
    <m/>
    <m/>
    <s v="032"/>
    <s v="Lampazos de Naranjo"/>
    <x v="10"/>
    <s v="Extracción/Beneficio minerales no metálicos"/>
    <n v="372.11541573422051"/>
    <n v="224.71180598401929"/>
    <n v="333.77838120761703"/>
    <n v="2.6320409648288976"/>
    <n v="65.169230678707223"/>
    <n v="7.4826302174692022E-2"/>
    <n v="8.0525933532973368E-2"/>
    <s v="Estatal"/>
  </r>
  <r>
    <x v="3"/>
    <s v="Nuevo León"/>
    <s v="19"/>
    <m/>
    <m/>
    <s v="032"/>
    <s v="Lampazos de Naranjo"/>
    <x v="10"/>
    <s v="Minerales no metálicos"/>
    <n v="33.675785305200002"/>
    <n v="20.351720811164494"/>
    <n v="0.13806563900591715"/>
    <n v="0.12152652600000001"/>
    <n v="0.48610610400000004"/>
    <n v="4.865854985798816E-3"/>
    <n v="1.9439450214201185E-2"/>
    <s v="Estatal"/>
  </r>
  <r>
    <x v="3"/>
    <s v="Nuevo León"/>
    <s v="19"/>
    <m/>
    <m/>
    <s v="033"/>
    <s v="Linares"/>
    <x v="10"/>
    <s v="Accesorios, aparatos eléctricos y equipos de generación eléctrica"/>
    <n v="1.2667637048"/>
    <n v="0.94513646330000001"/>
    <n v="4.8193131916799995E-3"/>
    <n v="0.66030426720000013"/>
    <n v="1.204628976"/>
    <n v="7.2263542480413374"/>
    <n v="0"/>
    <s v="Estatal"/>
  </r>
  <r>
    <x v="3"/>
    <s v="Nuevo León"/>
    <s v="19"/>
    <m/>
    <m/>
    <s v="033"/>
    <s v="Linares"/>
    <x v="10"/>
    <s v="Alimentos y Bebidas"/>
    <n v="2.9120572316831184"/>
    <n v="2.000516090483119"/>
    <n v="0.95785802876064119"/>
    <n v="10.252343570224653"/>
    <n v="26.202282070770131"/>
    <n v="1.2691929830541038"/>
    <n v="5.199577330774572E-2"/>
    <s v="Estatal"/>
  </r>
  <r>
    <x v="3"/>
    <s v="Nuevo León"/>
    <s v="19"/>
    <m/>
    <m/>
    <s v="033"/>
    <s v="Linares"/>
    <x v="10"/>
    <s v="Manejo de desechos y remediación"/>
    <n v="4.1936160000000007E-3"/>
    <n v="1.9636231005917162E-3"/>
    <n v="1.6901631034168051E-2"/>
    <n v="2.7817104000000002E-2"/>
    <n v="8.2225919999999994E-2"/>
    <n v="1.1554727056059064E-3"/>
    <n v="2.3796371597633137E-3"/>
    <s v="Estatal"/>
  </r>
  <r>
    <x v="3"/>
    <s v="Nuevo León"/>
    <s v="19"/>
    <m/>
    <m/>
    <s v="033"/>
    <s v="Linares"/>
    <x v="10"/>
    <s v="Minerales no metálicos"/>
    <n v="4.2196992009600001"/>
    <n v="2.5883303338146653"/>
    <n v="6.6732837869822481E-2"/>
    <n v="5.8738800000000001E-2"/>
    <n v="0.2349552"/>
    <n v="2.351869112426035E-3"/>
    <n v="9.3958908875739645E-3"/>
    <s v="Estatal"/>
  </r>
  <r>
    <x v="3"/>
    <s v="Nuevo León"/>
    <s v="19"/>
    <m/>
    <m/>
    <s v="033"/>
    <s v="Linares"/>
    <x v="10"/>
    <s v="Otras Industrias"/>
    <n v="4.7907485600000001E-2"/>
    <n v="3.4264220452071004E-2"/>
    <n v="2.8686319494816562E-4"/>
    <n v="1.1864678400000002E-2"/>
    <n v="2.1396671999999995E-2"/>
    <n v="1.1756434678783232"/>
    <n v="4.0310059171597633E-5"/>
    <s v="Estatal"/>
  </r>
  <r>
    <x v="3"/>
    <s v="Nuevo León"/>
    <s v="19"/>
    <m/>
    <m/>
    <s v="034"/>
    <s v="Marín"/>
    <x v="10"/>
    <s v="Alimentos y Bebidas"/>
    <n v="3.0000000000000004E-5"/>
    <n v="7.5147928994082836E-6"/>
    <n v="1.7041420118343195E-4"/>
    <n v="1.5000000000000001E-4"/>
    <n v="6.0000000000000006E-4"/>
    <n v="6.0059171597633135E-6"/>
    <n v="2.3994082840236689E-5"/>
    <s v="Estatal"/>
  </r>
  <r>
    <x v="3"/>
    <s v="Nuevo León"/>
    <s v="19"/>
    <m/>
    <m/>
    <s v="037"/>
    <s v="Mina"/>
    <x v="10"/>
    <s v="Extracción/Beneficio minerales no metálicos"/>
    <n v="3.0544500000000001"/>
    <n v="2.8413000000000004"/>
    <n v="0"/>
    <n v="0"/>
    <n v="0"/>
    <n v="0"/>
    <n v="0"/>
    <s v="Estatal"/>
  </r>
  <r>
    <x v="3"/>
    <s v="Nuevo León"/>
    <s v="19"/>
    <m/>
    <m/>
    <s v="038"/>
    <s v="Montemorelos"/>
    <x v="10"/>
    <s v="Alimentos y Bebidas"/>
    <n v="1.7677403099951996"/>
    <n v="1.1630294250744897"/>
    <n v="31.122037005073235"/>
    <n v="0.65389392480000019"/>
    <n v="3.5830899840000008"/>
    <n v="3.1573859088449667E-2"/>
    <n v="4.3486027408284028E-2"/>
    <s v="Estatal"/>
  </r>
  <r>
    <x v="3"/>
    <s v="Nuevo León"/>
    <s v="19"/>
    <m/>
    <m/>
    <s v="038"/>
    <s v="Montemorelos"/>
    <x v="10"/>
    <s v="Metálico"/>
    <n v="5.6297424269909108E-2"/>
    <n v="5.6297424269909108E-2"/>
    <n v="2.0084703628223015E-5"/>
    <n v="0.5979818811230837"/>
    <n v="1.0498877127581017"/>
    <n v="2.5869098273151238E-2"/>
    <n v="0"/>
    <s v="Estatal"/>
  </r>
  <r>
    <x v="3"/>
    <s v="Nuevo León"/>
    <s v="19"/>
    <m/>
    <m/>
    <s v="038"/>
    <s v="Montemorelos"/>
    <x v="10"/>
    <s v="Minerales no metálicos"/>
    <n v="9.0906146505599992"/>
    <n v="5.4549526303447484"/>
    <n v="5.4855649704142015E-2"/>
    <n v="4.8284400000000005E-2"/>
    <n v="0.19313760000000002"/>
    <n v="1.9332807100591715E-3"/>
    <n v="7.7235992899408294E-3"/>
    <s v="Estatal"/>
  </r>
  <r>
    <x v="3"/>
    <s v="Nuevo León"/>
    <s v="19"/>
    <m/>
    <m/>
    <s v="038"/>
    <s v="Montemorelos"/>
    <x v="10"/>
    <s v="Plástico y hule"/>
    <n v="0.38452898079999998"/>
    <n v="0.29052468079999999"/>
    <n v="3.1874273280000002E-5"/>
    <n v="0.65242653120000016"/>
    <n v="1.145481696"/>
    <n v="0.19969072850974748"/>
    <n v="0"/>
    <s v="Estatal"/>
  </r>
  <r>
    <x v="3"/>
    <s v="Nuevo León"/>
    <s v="19"/>
    <s v="19.01"/>
    <s v="Monterrey"/>
    <s v="039"/>
    <s v="Monterrey"/>
    <x v="10"/>
    <s v="Accesorios, aparatos eléctricos y equipos de generación eléctrica"/>
    <n v="0.19938419999999996"/>
    <n v="0.15123809999999999"/>
    <n v="2.6999999999999997E-3"/>
    <n v="0.374"/>
    <n v="1.3575000000000002"/>
    <n v="2.4500000000000001E-2"/>
    <n v="1.43E-2"/>
    <s v="Estatal"/>
  </r>
  <r>
    <x v="3"/>
    <s v="Nuevo León"/>
    <s v="19"/>
    <s v="19.01"/>
    <s v="Monterrey"/>
    <s v="039"/>
    <s v="Monterrey"/>
    <x v="10"/>
    <s v="Alimentos y Bebidas"/>
    <n v="17.505772437913677"/>
    <n v="6.3140302510616095"/>
    <n v="0.15670443879440227"/>
    <n v="20.831448851528567"/>
    <n v="25.44899504735141"/>
    <n v="1.3310896359610274"/>
    <n v="0.7518035492647388"/>
    <s v="Estatal"/>
  </r>
  <r>
    <x v="3"/>
    <s v="Nuevo León"/>
    <s v="19"/>
    <s v="19.01"/>
    <s v="Monterrey"/>
    <s v="039"/>
    <s v="Monterrey"/>
    <x v="10"/>
    <s v="Almacenamiento de combustibles"/>
    <n v="3.834651848609076E-5"/>
    <n v="1.6442329136978329E-5"/>
    <n v="1.6673383863334605E-4"/>
    <n v="2.4692596694191109E-4"/>
    <n v="7.0449290445158473E-4"/>
    <n v="0.61471244779465362"/>
    <n v="2.7224481248029592E-5"/>
    <s v="Federal"/>
  </r>
  <r>
    <x v="3"/>
    <s v="Nuevo León"/>
    <s v="19"/>
    <s v="19.01"/>
    <s v="Monterrey"/>
    <s v="039"/>
    <s v="Monterrey"/>
    <x v="10"/>
    <s v="Derivados del petróleo y carbón"/>
    <n v="5.5476000000000009E-6"/>
    <n v="1.3896355029585798E-6"/>
    <n v="3.1512994082840234E-5"/>
    <n v="2.7738000000000001E-5"/>
    <n v="1.10952E-4"/>
    <n v="1.1106142011834319E-6"/>
    <n v="4.4369857988165681E-6"/>
    <s v="Estatal"/>
  </r>
  <r>
    <x v="3"/>
    <s v="Nuevo León"/>
    <s v="19"/>
    <s v="19.01"/>
    <s v="Monterrey"/>
    <s v="039"/>
    <s v="Monterrey"/>
    <x v="10"/>
    <s v="Impresión"/>
    <n v="0"/>
    <n v="0"/>
    <n v="0"/>
    <n v="0"/>
    <n v="0"/>
    <n v="0.23799999999999999"/>
    <n v="0"/>
    <s v="Estatal"/>
  </r>
  <r>
    <x v="3"/>
    <s v="Nuevo León"/>
    <s v="19"/>
    <s v="19.01"/>
    <s v="Monterrey"/>
    <s v="039"/>
    <s v="Monterrey"/>
    <x v="10"/>
    <s v="Industria textil"/>
    <n v="4.2282095747173204E-2"/>
    <n v="4.0240438942439477E-2"/>
    <n v="1.8609647656035413E-2"/>
    <n v="0.45076721802387298"/>
    <n v="0.5748697755558243"/>
    <n v="9.9354808472167794E-2"/>
    <n v="1.8876690620735027E-2"/>
    <s v="Estatal"/>
  </r>
  <r>
    <x v="3"/>
    <s v="Nuevo León"/>
    <s v="19"/>
    <s v="19.01"/>
    <s v="Monterrey"/>
    <s v="039"/>
    <s v="Monterrey"/>
    <x v="10"/>
    <s v="Manejo de desechos y remediación"/>
    <n v="0.42595035999999997"/>
    <n v="0.30200461088757397"/>
    <n v="2.4062485207100589E-4"/>
    <n v="2.118E-4"/>
    <n v="8.4719999999999999E-4"/>
    <n v="9.2008480355029579E-2"/>
    <n v="3.3879644970414206E-5"/>
    <s v="Estatal"/>
  </r>
  <r>
    <x v="3"/>
    <s v="Nuevo León"/>
    <s v="19"/>
    <s v="19.01"/>
    <s v="Monterrey"/>
    <s v="039"/>
    <s v="Monterrey"/>
    <x v="10"/>
    <s v="Metálico"/>
    <n v="9.8172981152502601"/>
    <n v="9.8035536152502605"/>
    <n v="0.79147838882736055"/>
    <n v="104.32228443898676"/>
    <n v="124.2560809069127"/>
    <n v="15.374210970866754"/>
    <n v="3.9796509919710275"/>
    <s v="Estatal"/>
  </r>
  <r>
    <x v="3"/>
    <s v="Nuevo León"/>
    <s v="19"/>
    <s v="19.01"/>
    <s v="Monterrey"/>
    <s v="039"/>
    <s v="Monterrey"/>
    <x v="10"/>
    <s v="Mezclas químicas"/>
    <n v="8.6646620109392981E-3"/>
    <n v="8.6646620109392981E-3"/>
    <n v="6.8690644592981904E-4"/>
    <n v="9.5751143265532926E-2"/>
    <n v="0.11398429155837182"/>
    <n v="1.8867331149453246"/>
    <n v="3.6574755498192993E-3"/>
    <s v="Estatal"/>
  </r>
  <r>
    <x v="3"/>
    <s v="Nuevo León"/>
    <s v="19"/>
    <s v="19.01"/>
    <s v="Monterrey"/>
    <s v="039"/>
    <s v="Monterrey"/>
    <x v="10"/>
    <s v="Minerales no metálicos"/>
    <n v="282.64090661482027"/>
    <n v="169.89883106735107"/>
    <n v="1.1352518383939176"/>
    <n v="23.757550580705669"/>
    <n v="30.975506303785203"/>
    <n v="3.2888974413516894"/>
    <n v="0.99274927491493026"/>
    <s v="Estatal"/>
  </r>
  <r>
    <x v="3"/>
    <s v="Nuevo León"/>
    <s v="19"/>
    <s v="19.01"/>
    <s v="Monterrey"/>
    <s v="039"/>
    <s v="Monterrey"/>
    <x v="10"/>
    <s v="Otras Industrias"/>
    <n v="1.03047192E-2"/>
    <n v="2.991180738461538E-3"/>
    <n v="5.5429206883643077E-2"/>
    <n v="5.4598168799999999E-2"/>
    <n v="0.20535530399999999"/>
    <n v="2.2047959959100548E-3"/>
    <n v="7.8043153846153856E-3"/>
    <s v="Estatal"/>
  </r>
  <r>
    <x v="3"/>
    <s v="Nuevo León"/>
    <s v="19"/>
    <s v="19.01"/>
    <s v="Monterrey"/>
    <s v="039"/>
    <s v="Monterrey"/>
    <x v="10"/>
    <s v="Papel y cartón "/>
    <n v="0.2342961327223527"/>
    <n v="0.2342961327223527"/>
    <n v="1.8005074451007536E-2"/>
    <n v="2.586056606921483"/>
    <n v="3.1218196854072904"/>
    <n v="22.118226565378638"/>
    <n v="9.5854270058688559E-2"/>
    <s v="Estatal"/>
  </r>
  <r>
    <x v="3"/>
    <s v="Nuevo León"/>
    <s v="19"/>
    <s v="19.01"/>
    <s v="Monterrey"/>
    <s v="039"/>
    <s v="Monterrey"/>
    <x v="10"/>
    <s v="Plástico y hule"/>
    <n v="1.9094601840000001E-3"/>
    <n v="1.9094601840000001E-3"/>
    <n v="9.9085501440000007E-7"/>
    <n v="2.0281563576E-2"/>
    <n v="3.5608852079999996E-2"/>
    <n v="51.564741239965528"/>
    <n v="0"/>
    <s v="Estatal"/>
  </r>
  <r>
    <x v="3"/>
    <s v="Nuevo León"/>
    <s v="19"/>
    <s v="19.01"/>
    <s v="Monterrey"/>
    <s v="041"/>
    <s v="Pesquería"/>
    <x v="10"/>
    <s v="Metálico"/>
    <n v="0.20440177831706985"/>
    <n v="0.17272162819162604"/>
    <n v="3.9690070615264139E-2"/>
    <n v="1.0185208351713806"/>
    <n v="1.3833080633034225"/>
    <n v="4.3664705492505078"/>
    <n v="3.6604938908181901E-2"/>
    <s v="Estatal"/>
  </r>
  <r>
    <x v="3"/>
    <s v="Nuevo León"/>
    <s v="19"/>
    <s v="19.01"/>
    <s v="Monterrey"/>
    <s v="041"/>
    <s v="Pesquería"/>
    <x v="10"/>
    <s v="Mezclas químicas"/>
    <n v="0.11879685501865365"/>
    <n v="0.11789951537368323"/>
    <n v="1.612380796038787E-2"/>
    <n v="1.3055519039370131"/>
    <n v="1.5709767313684777"/>
    <n v="8.5290866074835048E-2"/>
    <n v="5.0598005313010945E-2"/>
    <s v="Estatal"/>
  </r>
  <r>
    <x v="3"/>
    <s v="Nuevo León"/>
    <s v="19"/>
    <s v="19.01"/>
    <s v="Monterrey"/>
    <s v="041"/>
    <s v="Pesquería"/>
    <x v="10"/>
    <s v="Minerales no metálicos"/>
    <n v="1.2230350930338585"/>
    <n v="0.69743879303385836"/>
    <n v="0.23039853826381265"/>
    <n v="2.9704674632652597"/>
    <n v="5.9822784449045194"/>
    <n v="0.35797931580019571"/>
    <n v="8.5282374911510458E-2"/>
    <s v="Estatal"/>
  </r>
  <r>
    <x v="3"/>
    <s v="Nuevo León"/>
    <s v="19"/>
    <s v="19.01"/>
    <s v="Monterrey"/>
    <s v="041"/>
    <s v="Pesquería"/>
    <x v="10"/>
    <s v="Otras Industrias"/>
    <n v="4.3336641563566586E-3"/>
    <n v="3.5139434462974867E-3"/>
    <n v="6.3387773894949201E-3"/>
    <n v="4.0560542405468469E-2"/>
    <n v="7.3612391644644573E-2"/>
    <n v="2.124547882757343E-3"/>
    <n v="1.5418752117764443E-3"/>
    <s v="Estatal"/>
  </r>
  <r>
    <x v="3"/>
    <s v="Nuevo León"/>
    <s v="19"/>
    <s v="19.01"/>
    <s v="Monterrey"/>
    <s v="041"/>
    <s v="Pesquería"/>
    <x v="10"/>
    <s v="Plástico y hule"/>
    <n v="2.0314740320566873E-3"/>
    <n v="1.6213528486247347E-3"/>
    <n v="3.2259562711754661E-3"/>
    <n v="1.9138436060787776E-2"/>
    <n v="3.0469656292361858E-2"/>
    <n v="21.636734770821025"/>
    <n v="1.064180457697127E-3"/>
    <s v="Estatal"/>
  </r>
  <r>
    <x v="3"/>
    <s v="Nuevo León"/>
    <s v="19"/>
    <m/>
    <m/>
    <s v="044"/>
    <s v="Sabinas Hidalgo"/>
    <x v="10"/>
    <s v="Accesorios, aparatos eléctricos y equipos de generación eléctrica"/>
    <n v="6.1947745897200006"/>
    <n v="5.9631772678265094"/>
    <n v="5.0213299639400522E-2"/>
    <n v="0.20615340108000002"/>
    <n v="0.4611259164"/>
    <n v="6.0473900639263709"/>
    <n v="7.0688487573964502E-3"/>
    <s v="Estatal"/>
  </r>
  <r>
    <x v="3"/>
    <s v="Nuevo León"/>
    <s v="19"/>
    <m/>
    <m/>
    <s v="044"/>
    <s v="Sabinas Hidalgo"/>
    <x v="10"/>
    <s v="Alimentos y Bebidas"/>
    <n v="16.960671566999999"/>
    <n v="11.046908817"/>
    <n v="305.07140999999996"/>
    <n v="2.5567500000000001"/>
    <n v="28.12425"/>
    <n v="0.143178"/>
    <n v="0.40908"/>
    <s v="Estatal"/>
  </r>
  <r>
    <x v="3"/>
    <s v="Nuevo León"/>
    <s v="19"/>
    <m/>
    <m/>
    <s v="044"/>
    <s v="Sabinas Hidalgo"/>
    <x v="10"/>
    <s v="Plástico y hule"/>
    <n v="0"/>
    <n v="0"/>
    <n v="0"/>
    <n v="0"/>
    <n v="0"/>
    <n v="0.3175"/>
    <n v="0"/>
    <s v="Estatal"/>
  </r>
  <r>
    <x v="3"/>
    <s v="Nuevo León"/>
    <s v="19"/>
    <s v="19.01"/>
    <s v="Monterrey"/>
    <s v="045"/>
    <s v="Salinas Victoria"/>
    <x v="10"/>
    <s v="Accesorios, aparatos eléctricos y equipos de generación eléctrica"/>
    <n v="1.373678088E-2"/>
    <n v="1.0195856382958581E-2"/>
    <n v="4.0986569064823666E-4"/>
    <n v="1.8200722320000001E-2"/>
    <n v="3.2763405599999997E-2"/>
    <n v="7.8622454276108019E-4"/>
    <n v="5.7585798816568053E-5"/>
    <s v="Estatal"/>
  </r>
  <r>
    <x v="3"/>
    <s v="Nuevo León"/>
    <s v="19"/>
    <s v="19.01"/>
    <s v="Monterrey"/>
    <s v="045"/>
    <s v="Salinas Victoria"/>
    <x v="10"/>
    <s v="Alimentos y Bebidas"/>
    <n v="6.5608370775144609"/>
    <n v="3.581053151768776"/>
    <n v="38.298454061639752"/>
    <n v="15.166712901680491"/>
    <n v="22.067585481093136"/>
    <n v="0.9808383873352825"/>
    <n v="0.65482165584213248"/>
    <s v="Estatal"/>
  </r>
  <r>
    <x v="3"/>
    <s v="Nuevo León"/>
    <s v="19"/>
    <s v="19.01"/>
    <s v="Monterrey"/>
    <s v="045"/>
    <s v="Salinas Victoria"/>
    <x v="10"/>
    <s v="Metálico"/>
    <n v="0.85244579260161091"/>
    <n v="0.85061411260161091"/>
    <n v="7.6933387439210858E-6"/>
    <n v="0.22053685750116245"/>
    <n v="0.38720071923938693"/>
    <n v="9.5405818835003538E-3"/>
    <n v="0"/>
    <s v="Estatal"/>
  </r>
  <r>
    <x v="3"/>
    <s v="Nuevo León"/>
    <s v="19"/>
    <s v="19.01"/>
    <s v="Monterrey"/>
    <s v="045"/>
    <s v="Salinas Victoria"/>
    <x v="10"/>
    <s v="Mezclas químicas"/>
    <n v="3.4161359999999997E-3"/>
    <n v="3.4161359999999997E-3"/>
    <n v="1.7726976E-6"/>
    <n v="3.6284904E-2"/>
    <n v="6.3706319999999997E-2"/>
    <n v="1.5697270350403714E-3"/>
    <n v="0"/>
    <s v="Estatal"/>
  </r>
  <r>
    <x v="3"/>
    <s v="Nuevo León"/>
    <s v="19"/>
    <s v="19.01"/>
    <s v="Monterrey"/>
    <s v="045"/>
    <s v="Salinas Victoria"/>
    <x v="10"/>
    <s v="Minerales no metálicos"/>
    <n v="0.12975929999999999"/>
    <n v="3.8963699999999997E-2"/>
    <n v="5.8752000000000001E-7"/>
    <n v="1.2025800000000001E-2"/>
    <n v="2.1114000000000001E-2"/>
    <n v="5.2025005710332043E-4"/>
    <n v="0"/>
    <s v="Estatal"/>
  </r>
  <r>
    <x v="3"/>
    <s v="Nuevo León"/>
    <s v="19"/>
    <s v="19.01"/>
    <s v="Monterrey"/>
    <s v="045"/>
    <s v="Salinas Victoria"/>
    <x v="10"/>
    <s v="Plástico y hule"/>
    <n v="6.0129557454195952E-2"/>
    <n v="6.0129557454195952E-2"/>
    <n v="4.1540825287942826E-3"/>
    <n v="0.66113855132227251"/>
    <n v="0.83375301089528842"/>
    <n v="35.233988340025583"/>
    <n v="2.2097169180178681E-2"/>
    <s v="Estatal"/>
  </r>
  <r>
    <x v="3"/>
    <s v="Nuevo León"/>
    <s v="19"/>
    <s v="19.01"/>
    <s v="Monterrey"/>
    <s v="046"/>
    <s v="San Nicolás de los Garza"/>
    <x v="10"/>
    <s v="Accesorios, aparatos eléctricos y equipos de generación eléctrica"/>
    <n v="6.5258560735027196"/>
    <n v="5.1014294637985804"/>
    <n v="7.7453719499217038E-3"/>
    <n v="1.2647923296167676"/>
    <n v="1.6539563921645295"/>
    <n v="14.532485472533576"/>
    <n v="3.8465622715426195E-2"/>
    <s v="Estatal"/>
  </r>
  <r>
    <x v="3"/>
    <s v="Nuevo León"/>
    <s v="19"/>
    <s v="19.01"/>
    <s v="Monterrey"/>
    <s v="046"/>
    <s v="San Nicolás de los Garza"/>
    <x v="10"/>
    <s v="Alimentos y Bebidas"/>
    <n v="2.9226268610021724"/>
    <n v="1.8081186755347165"/>
    <n v="0.10877233492395619"/>
    <n v="15.054023968049849"/>
    <n v="17.957243237146276"/>
    <n v="3.1829850113883911"/>
    <n v="0.57300457069980948"/>
    <s v="Estatal"/>
  </r>
  <r>
    <x v="3"/>
    <s v="Nuevo León"/>
    <s v="19"/>
    <s v="19.01"/>
    <s v="Monterrey"/>
    <s v="046"/>
    <s v="San Nicolás de los Garza"/>
    <x v="10"/>
    <s v="Derivados del petróleo y carbón"/>
    <n v="1.8164778808189549E-2"/>
    <n v="1.8164778808189549E-2"/>
    <n v="6.4804776340312344E-6"/>
    <n v="0.1929432605980119"/>
    <n v="0.3387540073637148"/>
    <n v="1.7483468551926322"/>
    <n v="0"/>
    <s v="Estatal"/>
  </r>
  <r>
    <x v="3"/>
    <s v="Nuevo León"/>
    <s v="19"/>
    <s v="19.01"/>
    <s v="Monterrey"/>
    <s v="046"/>
    <s v="San Nicolás de los Garza"/>
    <x v="10"/>
    <s v="Impresión"/>
    <n v="5.6540304960000006E-3"/>
    <n v="4.0301524368284028E-3"/>
    <n v="1.2309096039348865E-2"/>
    <n v="4.7875194144000002E-2"/>
    <n v="0.10836785952000001"/>
    <n v="144.8829162356997"/>
    <n v="1.7328488236686393E-3"/>
    <s v="Estatal"/>
  </r>
  <r>
    <x v="3"/>
    <s v="Nuevo León"/>
    <s v="19"/>
    <s v="19.01"/>
    <s v="Monterrey"/>
    <s v="046"/>
    <s v="San Nicolás de los Garza"/>
    <x v="10"/>
    <s v="Industria de la madera"/>
    <n v="4.9945142640000001E-3"/>
    <n v="4.9945142640000001E-3"/>
    <n v="2.5917479424E-6"/>
    <n v="5.3049840696000009E-2"/>
    <n v="9.3140941679999992E-2"/>
    <n v="2.1262949976426864"/>
    <n v="0"/>
    <s v="Estatal"/>
  </r>
  <r>
    <x v="3"/>
    <s v="Nuevo León"/>
    <s v="19"/>
    <s v="19.01"/>
    <s v="Monterrey"/>
    <s v="046"/>
    <s v="San Nicolás de los Garza"/>
    <x v="10"/>
    <s v="Metálico"/>
    <n v="4.5455367040044647"/>
    <n v="3.2315963429393757"/>
    <n v="0.12538492352575351"/>
    <n v="8.2646146996089573"/>
    <n v="10.660769424323563"/>
    <n v="46.496424498469523"/>
    <n v="0.28584342593248835"/>
    <s v="Estatal"/>
  </r>
  <r>
    <x v="3"/>
    <s v="Nuevo León"/>
    <s v="19"/>
    <s v="19.01"/>
    <s v="Monterrey"/>
    <s v="046"/>
    <s v="San Nicolás de los Garza"/>
    <x v="10"/>
    <s v="Minerales no metálicos"/>
    <n v="0.86760954696496695"/>
    <n v="0.86760954696496695"/>
    <n v="6.8781285364399342E-2"/>
    <n v="9.5877491730321918"/>
    <n v="11.413469958231072"/>
    <n v="0.62747839279802886"/>
    <n v="0.3662301773350034"/>
    <s v="Estatal"/>
  </r>
  <r>
    <x v="3"/>
    <s v="Nuevo León"/>
    <s v="19"/>
    <s v="19.01"/>
    <s v="Monterrey"/>
    <s v="046"/>
    <s v="San Nicolás de los Garza"/>
    <x v="10"/>
    <s v="Muebles, colchones y persianas"/>
    <n v="7.9912978777208696E-2"/>
    <n v="6.1744217327267856E-2"/>
    <n v="1.5155286960675475E-3"/>
    <n v="0.19332454544649186"/>
    <n v="0.23933076758561389"/>
    <n v="1.2309341902732413E-2"/>
    <n v="6.8288253478411961E-3"/>
    <s v="Estatal"/>
  </r>
  <r>
    <x v="3"/>
    <s v="Nuevo León"/>
    <s v="19"/>
    <s v="19.01"/>
    <s v="Monterrey"/>
    <s v="046"/>
    <s v="San Nicolás de los Garza"/>
    <x v="10"/>
    <s v="Papel y cartón "/>
    <n v="1.0977687203102549E-2"/>
    <n v="9.7230126468895312E-3"/>
    <n v="9.5594707032145669E-3"/>
    <n v="0.10744787672861997"/>
    <n v="0.20370943541281078"/>
    <n v="4.7674315781806751E-3"/>
    <n v="1.5904645593762786E-3"/>
    <s v="Estatal"/>
  </r>
  <r>
    <x v="3"/>
    <s v="Nuevo León"/>
    <s v="19"/>
    <s v="19.01"/>
    <s v="Monterrey"/>
    <s v="046"/>
    <s v="San Nicolás de los Garza"/>
    <x v="10"/>
    <s v="Plástico y hule"/>
    <n v="5.3321596484591991"/>
    <n v="4.8621800813719576"/>
    <n v="2.9534767837853201E-4"/>
    <n v="6.2413005594312662E-2"/>
    <n v="8.6217956070408705E-2"/>
    <n v="16.590142293505643"/>
    <n v="1.5792665137111474E-3"/>
    <s v="Estatal"/>
  </r>
  <r>
    <x v="3"/>
    <s v="Nuevo León"/>
    <s v="19"/>
    <s v="19.01"/>
    <s v="Monterrey"/>
    <s v="048"/>
    <s v="Santa Catarina"/>
    <x v="10"/>
    <s v="Accesorios, aparatos eléctricos y equipos de generación eléctrica"/>
    <n v="62.78388240008271"/>
    <n v="53.450353351568943"/>
    <n v="3.8466171217398551E-2"/>
    <n v="5.7401257588908523"/>
    <n v="7.161504324902797"/>
    <n v="75.955910731235932"/>
    <n v="0.1970585067342252"/>
    <s v="Estatal"/>
  </r>
  <r>
    <x v="3"/>
    <s v="Nuevo León"/>
    <s v="19"/>
    <s v="19.01"/>
    <s v="Monterrey"/>
    <s v="048"/>
    <s v="Santa Catarina"/>
    <x v="10"/>
    <s v="Alimentos y Bebidas"/>
    <n v="18.999764805428846"/>
    <n v="6.4426340496448464"/>
    <n v="0.12929458922794121"/>
    <n v="15.703223175706849"/>
    <n v="18.800346875392215"/>
    <n v="1.041920597062318"/>
    <n v="0.59762228616054724"/>
    <s v="Estatal"/>
  </r>
  <r>
    <x v="3"/>
    <s v="Nuevo León"/>
    <s v="19"/>
    <s v="19.01"/>
    <s v="Monterrey"/>
    <s v="048"/>
    <s v="Santa Catarina"/>
    <x v="10"/>
    <s v="Derivados del petróleo y carbón"/>
    <n v="1.5290447042018771"/>
    <n v="0.23655101662791264"/>
    <n v="0.2094419010576547"/>
    <n v="0.22950175059250996"/>
    <n v="0.79035060469187024"/>
    <n v="1.0343492459949808E-2"/>
    <n v="3.117879247780514E-2"/>
    <s v="Estatal"/>
  </r>
  <r>
    <x v="3"/>
    <s v="Nuevo León"/>
    <s v="19"/>
    <s v="19.01"/>
    <s v="Monterrey"/>
    <s v="048"/>
    <s v="Santa Catarina"/>
    <x v="10"/>
    <s v="Extracción/Beneficio minerales no metálicos"/>
    <n v="434.23532396135408"/>
    <n v="213.90993114785599"/>
    <n v="2.1935861064523725"/>
    <n v="26.174100377145031"/>
    <n v="40.826151380926547"/>
    <n v="1.6665803685554572"/>
    <n v="1.1755899524336064"/>
    <s v="Estatal"/>
  </r>
  <r>
    <x v="3"/>
    <s v="Nuevo León"/>
    <s v="19"/>
    <s v="19.01"/>
    <s v="Monterrey"/>
    <s v="048"/>
    <s v="Santa Catarina"/>
    <x v="10"/>
    <s v="Impresión"/>
    <n v="0"/>
    <n v="0"/>
    <n v="0"/>
    <n v="0"/>
    <n v="0"/>
    <n v="1.3341888"/>
    <n v="0"/>
    <s v="Estatal"/>
  </r>
  <r>
    <x v="3"/>
    <s v="Nuevo León"/>
    <s v="19"/>
    <s v="19.01"/>
    <s v="Monterrey"/>
    <s v="048"/>
    <s v="Santa Catarina"/>
    <x v="10"/>
    <s v="Industria textil"/>
    <n v="0.72914625780912434"/>
    <n v="0.42494625780912443"/>
    <n v="8.4359030301832014E-4"/>
    <n v="0.13569900494297374"/>
    <n v="0.17184521665424668"/>
    <n v="8.4764851182024311E-3"/>
    <n v="4.4870058857708799E-3"/>
    <s v="Estatal"/>
  </r>
  <r>
    <x v="3"/>
    <s v="Nuevo León"/>
    <s v="19"/>
    <s v="19.01"/>
    <s v="Monterrey"/>
    <s v="048"/>
    <s v="Santa Catarina"/>
    <x v="10"/>
    <s v="Manejo de desechos y remediación"/>
    <n v="1.4582487999999999E-2"/>
    <n v="1.3530388000000001E-2"/>
    <n v="6.5710080000000007E-7"/>
    <n v="0.11635003200000001"/>
    <n v="0.20421456000000002"/>
    <n v="4.9818639854347724E-3"/>
    <n v="0"/>
    <s v="Estatal"/>
  </r>
  <r>
    <x v="3"/>
    <s v="Nuevo León"/>
    <s v="19"/>
    <s v="19.01"/>
    <s v="Monterrey"/>
    <s v="048"/>
    <s v="Santa Catarina"/>
    <x v="10"/>
    <s v="Metálico"/>
    <n v="2.1081998169272316"/>
    <n v="1.739612929399394"/>
    <n v="3.9987961829401196E-2"/>
    <n v="5.8283347873323033"/>
    <n v="7.3778137174443144"/>
    <n v="14.245436958018304"/>
    <n v="0.19388813845457167"/>
    <s v="Estatal"/>
  </r>
  <r>
    <x v="3"/>
    <s v="Nuevo León"/>
    <s v="19"/>
    <s v="19.01"/>
    <s v="Monterrey"/>
    <s v="048"/>
    <s v="Santa Catarina"/>
    <x v="10"/>
    <s v="Mezclas químicas"/>
    <n v="0.2077684974157239"/>
    <n v="0.11810851464649313"/>
    <n v="8.8646655915933029E-3"/>
    <n v="9.7817116274829627E-2"/>
    <n v="0.18924474250878887"/>
    <n v="4.2065119824856992E-3"/>
    <n v="1.2476923076923077E-3"/>
    <s v="Estatal"/>
  </r>
  <r>
    <x v="3"/>
    <s v="Nuevo León"/>
    <s v="19"/>
    <s v="19.01"/>
    <s v="Monterrey"/>
    <s v="048"/>
    <s v="Santa Catarina"/>
    <x v="10"/>
    <s v="Minerales no metálicos"/>
    <n v="50.957218101879839"/>
    <n v="30.673568175695891"/>
    <n v="0.36607161549251888"/>
    <n v="27.96417977051307"/>
    <n v="18.162747608102126"/>
    <n v="0.92950550889704997"/>
    <n v="0.56203824657891488"/>
    <s v="Estatal"/>
  </r>
  <r>
    <x v="3"/>
    <s v="Nuevo León"/>
    <s v="19"/>
    <s v="19.01"/>
    <s v="Monterrey"/>
    <s v="048"/>
    <s v="Santa Catarina"/>
    <x v="10"/>
    <s v="Otras Industrias"/>
    <n v="0.10984311333870178"/>
    <n v="0.10983981340970769"/>
    <n v="8.5520706426446599E-3"/>
    <n v="1.2128397276083935"/>
    <n v="1.4576218844901958"/>
    <n v="6.9224344325236897"/>
    <n v="4.5400043607530853E-2"/>
    <s v="Estatal"/>
  </r>
  <r>
    <x v="3"/>
    <s v="Nuevo León"/>
    <s v="19"/>
    <s v="19.01"/>
    <s v="Monterrey"/>
    <s v="048"/>
    <s v="Santa Catarina"/>
    <x v="10"/>
    <s v="Papel y cartón "/>
    <n v="4.2234192020795182E-2"/>
    <n v="4.2212210060795181E-2"/>
    <n v="2.1994755204431675E-3"/>
    <n v="0.45147168871970533"/>
    <n v="0.66425811250655242"/>
    <n v="121.47885444500798"/>
    <n v="9.2730363168725145E-3"/>
    <s v="Estatal"/>
  </r>
  <r>
    <x v="3"/>
    <s v="Nuevo León"/>
    <s v="19"/>
    <s v="19.01"/>
    <s v="Monterrey"/>
    <s v="048"/>
    <s v="Santa Catarina"/>
    <x v="10"/>
    <s v="Plástico y hule"/>
    <n v="8.7276469933325966"/>
    <n v="6.8819900064154371"/>
    <n v="0.144339045347082"/>
    <n v="19.910724777576377"/>
    <n v="24.304393601660649"/>
    <n v="307.32615226962605"/>
    <n v="0.72243072007458498"/>
    <s v="Estatal"/>
  </r>
  <r>
    <x v="3"/>
    <s v="Nuevo León"/>
    <s v="19"/>
    <s v="19.01"/>
    <s v="Monterrey"/>
    <s v="049"/>
    <s v="Santiago"/>
    <x v="10"/>
    <s v="Extracción/Beneficio minerales no metálicos"/>
    <n v="62.308104439999994"/>
    <n v="37.750212008094671"/>
    <n v="0.41484421065088761"/>
    <n v="0.41906220000000011"/>
    <n v="4.8570107999999994"/>
    <n v="1.7733254437869821E-2"/>
    <n v="3.2222805562130183E-2"/>
    <s v="Estatal"/>
  </r>
  <r>
    <x v="3"/>
    <s v="Nuevo León"/>
    <s v="19"/>
    <s v="19.01"/>
    <s v="Monterrey"/>
    <s v="049"/>
    <s v="Santiago"/>
    <x v="10"/>
    <s v="Minerales no metálicos"/>
    <n v="19.78036542756"/>
    <n v="11.961504044258515"/>
    <n v="8.1798864076527339E-2"/>
    <n v="7.2972439199999989E-2"/>
    <n v="0.28970733599999998"/>
    <n v="2.9249090844411765E-3"/>
    <n v="1.1517159763313609E-2"/>
    <s v="Estatal"/>
  </r>
  <r>
    <x v="3"/>
    <s v="Nuevo León"/>
    <s v="19"/>
    <s v="19.01"/>
    <s v="Monterrey"/>
    <s v="19001"/>
    <s v="Abasolo"/>
    <x v="11"/>
    <s v="Metalúrgica (incluye la siderúrgica) "/>
    <n v="1.2324520000000001"/>
    <n v="0.88901200000000002"/>
    <n v="0"/>
    <n v="3.9199999999999999E-2"/>
    <n v="6.7400000000000002E-2"/>
    <n v="1E-4"/>
    <n v="0"/>
    <s v="Federal"/>
  </r>
  <r>
    <x v="3"/>
    <s v="Nuevo León"/>
    <s v="19"/>
    <s v="19.01"/>
    <s v="Monterrey"/>
    <s v="19006"/>
    <s v="Apodaca"/>
    <x v="11"/>
    <s v="Automotriz"/>
    <n v="11.005023020416644"/>
    <n v="6.4341016627354577"/>
    <n v="0.17760000000000004"/>
    <n v="24.339399999999998"/>
    <n v="178.95482000000001"/>
    <n v="91.513268197679992"/>
    <n v="0.9486"/>
    <s v="Federal"/>
  </r>
  <r>
    <x v="3"/>
    <s v="Nuevo León"/>
    <s v="19"/>
    <s v="19.01"/>
    <s v="Monterrey"/>
    <s v="19006"/>
    <s v="Apodaca"/>
    <x v="11"/>
    <s v="Celulosa y papel "/>
    <n v="9.9907435743999997"/>
    <n v="9.990722336444799"/>
    <n v="0.78573259151999997"/>
    <n v="110.40100616800001"/>
    <n v="245.86892288880003"/>
    <n v="7.1977224861680007"/>
    <n v="4.2017000000000007"/>
    <s v="Federal"/>
  </r>
  <r>
    <x v="3"/>
    <s v="Nuevo León"/>
    <s v="19"/>
    <s v="19.01"/>
    <s v="Monterrey"/>
    <s v="19006"/>
    <s v="Apodaca"/>
    <x v="11"/>
    <s v="Generación de energía eléctrica"/>
    <n v="0.27609999999999996"/>
    <n v="3.4512499999999995E-2"/>
    <n v="0.78289999999999993"/>
    <n v="2.5636999999999999"/>
    <n v="11.9123"/>
    <n v="0.7681"/>
    <n v="0"/>
    <s v="Federal"/>
  </r>
  <r>
    <x v="3"/>
    <s v="Nuevo León"/>
    <s v="19"/>
    <s v="19.01"/>
    <s v="Monterrey"/>
    <s v="19006"/>
    <s v="Apodaca"/>
    <x v="11"/>
    <s v="Metalúrgica (incluye la siderúrgica) "/>
    <n v="139.22798940067645"/>
    <n v="106.95250924888158"/>
    <n v="5.7947201342963197"/>
    <n v="811.19714820148477"/>
    <n v="962.02564238271998"/>
    <n v="142.70741463104963"/>
    <n v="30.943372286875203"/>
    <s v="Federal"/>
  </r>
  <r>
    <x v="3"/>
    <s v="Nuevo León"/>
    <s v="19"/>
    <s v="19.01"/>
    <s v="Monterrey"/>
    <s v="19006"/>
    <s v="Apodaca"/>
    <x v="11"/>
    <s v="Pinturas y tintas"/>
    <n v="2.7209936124863998"/>
    <n v="1.3097274062432001"/>
    <n v="0"/>
    <n v="0"/>
    <n v="0"/>
    <n v="0.57477769184860761"/>
    <n v="0"/>
    <s v="Federal"/>
  </r>
  <r>
    <x v="3"/>
    <s v="Nuevo León"/>
    <s v="19"/>
    <s v="19.01"/>
    <s v="Monterrey"/>
    <s v="19006"/>
    <s v="Apodaca"/>
    <x v="11"/>
    <s v="Química"/>
    <n v="3.0617031680000002"/>
    <n v="3.0617004680000006"/>
    <n v="0.24200145242395998"/>
    <n v="33.835358864"/>
    <n v="40.301469400000002"/>
    <n v="2.2132000000000001"/>
    <n v="1.2917999999999998"/>
    <s v="Federal"/>
  </r>
  <r>
    <x v="3"/>
    <s v="Nuevo León"/>
    <s v="19"/>
    <s v="19.01"/>
    <s v="Monterrey"/>
    <s v="19006"/>
    <s v="Apodaca"/>
    <x v="11"/>
    <s v="Tratamiento de residuos peligrosos "/>
    <n v="9.7113999999999992E-2"/>
    <n v="9.1330000000000022E-2"/>
    <n v="1.0149999999999999E-2"/>
    <n v="0.48185"/>
    <n v="0.38849"/>
    <n v="5.7735564799999999"/>
    <n v="0"/>
    <s v="Federal"/>
  </r>
  <r>
    <x v="3"/>
    <s v="Nuevo León"/>
    <s v="19"/>
    <s v="19.01"/>
    <s v="Monterrey"/>
    <s v="19006"/>
    <s v="Apodaca"/>
    <x v="11"/>
    <s v="Vidrio"/>
    <n v="29.451696000000002"/>
    <n v="29.011289999999999"/>
    <n v="5.16E-2"/>
    <n v="7.2471999999999994"/>
    <n v="181.2261"/>
    <n v="194.25324000000003"/>
    <n v="0.27700000000000002"/>
    <s v="Federal"/>
  </r>
  <r>
    <x v="3"/>
    <s v="Nuevo León"/>
    <s v="19"/>
    <s v="19.01"/>
    <s v="Monterrey"/>
    <s v="19009"/>
    <s v="Cadereyta Jiménez"/>
    <x v="11"/>
    <s v="Metalúrgica (incluye la siderúrgica) "/>
    <n v="10.061999999999999"/>
    <n v="8.9504999999999999"/>
    <n v="0.216"/>
    <n v="0"/>
    <n v="0.18"/>
    <n v="0.315"/>
    <n v="0"/>
    <s v="Federal"/>
  </r>
  <r>
    <x v="3"/>
    <s v="Nuevo León"/>
    <s v="19"/>
    <s v="19.01"/>
    <s v="Monterrey"/>
    <s v="19009"/>
    <s v="Cadereyta Jiménez"/>
    <x v="11"/>
    <s v="Petróleo y petroquímica"/>
    <n v="951.25485789982599"/>
    <n v="517.5974275118333"/>
    <n v="8728.4511616795262"/>
    <n v="1218.2370813533239"/>
    <n v="3372.1771170814018"/>
    <n v="1218.8225375257123"/>
    <n v="52.312664450831662"/>
    <s v="Federal"/>
  </r>
  <r>
    <x v="3"/>
    <s v="Nuevo León"/>
    <s v="19"/>
    <s v="19.01"/>
    <s v="Monterrey"/>
    <s v="19009"/>
    <s v="Cadereyta Jiménez"/>
    <x v="11"/>
    <s v="Química"/>
    <n v="9.5799999999999996E-2"/>
    <n v="9.5799999999999996E-2"/>
    <n v="0"/>
    <n v="1.0169999999999999"/>
    <n v="1.7857000000000001"/>
    <n v="0"/>
    <n v="0"/>
    <s v="Federal"/>
  </r>
  <r>
    <x v="3"/>
    <s v="Nuevo León"/>
    <s v="19"/>
    <s v="19.01"/>
    <s v="Monterrey"/>
    <s v="19009"/>
    <s v="Cadereyta Jiménez"/>
    <x v="11"/>
    <s v="Tratamiento de residuos peligrosos "/>
    <n v="1.7917200000000001E-2"/>
    <n v="1.2127199999999999E-2"/>
    <n v="0.98709999999999987"/>
    <n v="2.0672000000000001"/>
    <n v="0.5474"/>
    <n v="0"/>
    <n v="0"/>
    <s v="Federal"/>
  </r>
  <r>
    <x v="3"/>
    <s v="Nuevo León"/>
    <s v="19"/>
    <s v="19.01"/>
    <s v="Monterrey"/>
    <s v="19010"/>
    <s v="El Carmen"/>
    <x v="11"/>
    <s v="Cemento y cal"/>
    <n v="31.687262277332799"/>
    <n v="21.817825168552801"/>
    <n v="0.47839999999999994"/>
    <n v="72.47689901216205"/>
    <n v="44.927726089980922"/>
    <n v="4.384500000000001"/>
    <n v="2.5595000000000003"/>
    <s v="Federal"/>
  </r>
  <r>
    <x v="3"/>
    <s v="Nuevo León"/>
    <s v="19"/>
    <s v="19.01"/>
    <s v="Monterrey"/>
    <s v="19010"/>
    <s v="El Carmen"/>
    <x v="11"/>
    <s v="Metalúrgica (incluye la siderúrgica) "/>
    <n v="1.1641586399999999"/>
    <n v="0.85439664000000015"/>
    <n v="3.1262399999999997E-3"/>
    <n v="0.61037359999999996"/>
    <n v="0.82423999999999997"/>
    <n v="2.8657200000000004E-2"/>
    <n v="1.6728640499999999E-2"/>
    <s v="Federal"/>
  </r>
  <r>
    <x v="3"/>
    <s v="Nuevo León"/>
    <s v="19"/>
    <s v="19.01"/>
    <s v="Monterrey"/>
    <s v="19010"/>
    <s v="El Carmen"/>
    <x v="11"/>
    <s v="Química"/>
    <n v="0.55940000000000001"/>
    <n v="0.55940000000000001"/>
    <n v="4.4199999999999996E-2"/>
    <n v="6.1837999999999997"/>
    <n v="7.3616999999999999"/>
    <n v="0.40479999999999999"/>
    <n v="0.2364"/>
    <s v="Federal"/>
  </r>
  <r>
    <x v="3"/>
    <s v="Nuevo León"/>
    <s v="19"/>
    <s v="19.01"/>
    <s v="Monterrey"/>
    <s v="19012"/>
    <s v="Ciénega de Flores"/>
    <x v="11"/>
    <s v="Automotriz"/>
    <n v="38.186117077975901"/>
    <n v="30.926522286586252"/>
    <n v="0.58080000000000009"/>
    <n v="90.337460516687301"/>
    <n v="138.0394"/>
    <n v="150.43705099995995"/>
    <n v="3.0686000000000013"/>
    <s v="Federal"/>
  </r>
  <r>
    <x v="3"/>
    <s v="Nuevo León"/>
    <s v="19"/>
    <s v="19.01"/>
    <s v="Monterrey"/>
    <s v="19012"/>
    <s v="Ciénega de Flores"/>
    <x v="11"/>
    <s v="Metalúrgica (incluye la siderúrgica) "/>
    <n v="32.262721107343999"/>
    <n v="23.859942034471995"/>
    <n v="0.18813232960000001"/>
    <n v="23.051426143999997"/>
    <n v="48.21172159999999"/>
    <n v="20.930787688000002"/>
    <n v="0.87170695537000009"/>
    <s v="Federal"/>
  </r>
  <r>
    <x v="3"/>
    <s v="Nuevo León"/>
    <s v="19"/>
    <s v="19.01"/>
    <s v="Monterrey"/>
    <s v="19012"/>
    <s v="Ciénega de Flores"/>
    <x v="11"/>
    <s v="Pinturas y tintas"/>
    <n v="0.41742404231839991"/>
    <n v="0.23641202115919996"/>
    <n v="0"/>
    <n v="0.5877"/>
    <n v="1.0316999999999998"/>
    <n v="4.9586958943752348E-2"/>
    <n v="0"/>
    <s v="Federal"/>
  </r>
  <r>
    <x v="3"/>
    <s v="Nuevo León"/>
    <s v="19"/>
    <s v="19.01"/>
    <s v="Monterrey"/>
    <s v="19012"/>
    <s v="Ciénega de Flores"/>
    <x v="11"/>
    <s v="Química"/>
    <n v="5.3723367143398013"/>
    <n v="3.7095183571699"/>
    <n v="12.553340080000002"/>
    <n v="22.1708"/>
    <n v="303.35304260999999"/>
    <n v="0.72240000000000004"/>
    <n v="0.42169999999999996"/>
    <s v="Federal"/>
  </r>
  <r>
    <x v="3"/>
    <s v="Nuevo León"/>
    <s v="19"/>
    <m/>
    <m/>
    <s v="19016"/>
    <s v="Doctor González"/>
    <x v="11"/>
    <s v="Metalúrgica (incluye la siderúrgica) "/>
    <n v="6.7768600000000001"/>
    <n v="5.0416600000000003"/>
    <n v="4.48E-2"/>
    <n v="6.2853999999999992"/>
    <n v="7.4826000000000006"/>
    <n v="0.41150000000000003"/>
    <n v="0.2402"/>
    <s v="Federal"/>
  </r>
  <r>
    <x v="3"/>
    <s v="Nuevo León"/>
    <s v="19"/>
    <m/>
    <m/>
    <s v="19016"/>
    <s v="Doctor González"/>
    <x v="11"/>
    <s v="Química"/>
    <n v="0.25436749999999997"/>
    <n v="0.14057650000000002"/>
    <n v="0"/>
    <n v="8.0000000000000004E-4"/>
    <n v="1.4E-3"/>
    <n v="0"/>
    <n v="0"/>
    <s v="Federal"/>
  </r>
  <r>
    <x v="3"/>
    <s v="Nuevo León"/>
    <s v="19"/>
    <s v="19.01"/>
    <s v="Monterrey"/>
    <s v="19018"/>
    <s v="García"/>
    <x v="11"/>
    <s v="Automotriz"/>
    <n v="590.59625312224034"/>
    <n v="260.68980238975843"/>
    <n v="1.2246323848639991"/>
    <n v="884.86873879850987"/>
    <n v="199.37816414399992"/>
    <n v="42.088493527919987"/>
    <n v="6.4016690219232908"/>
    <s v="Federal"/>
  </r>
  <r>
    <x v="3"/>
    <s v="Nuevo León"/>
    <s v="19"/>
    <s v="19.01"/>
    <s v="Monterrey"/>
    <s v="19018"/>
    <s v="García"/>
    <x v="11"/>
    <s v="Cemento y cal"/>
    <n v="42.211267275966478"/>
    <n v="22.782401637983238"/>
    <n v="4.7049999999999988E-2"/>
    <n v="65.859499999999997"/>
    <n v="78.404299999999992"/>
    <n v="4.3121999999999998"/>
    <n v="2.5171999999999999"/>
    <s v="Federal"/>
  </r>
  <r>
    <x v="3"/>
    <s v="Nuevo León"/>
    <s v="19"/>
    <s v="19.01"/>
    <s v="Monterrey"/>
    <s v="19018"/>
    <s v="García"/>
    <x v="11"/>
    <s v="Generación de energía eléctrica"/>
    <n v="69.728074635550001"/>
    <n v="69.728074635550001"/>
    <n v="5.9533000000000005"/>
    <n v="732.39879999999994"/>
    <n v="575.71599100000003"/>
    <n v="29.523199999999999"/>
    <n v="10.322699999999999"/>
    <s v="Federal"/>
  </r>
  <r>
    <x v="3"/>
    <s v="Nuevo León"/>
    <s v="19"/>
    <s v="19.01"/>
    <s v="Monterrey"/>
    <s v="19018"/>
    <s v="García"/>
    <x v="11"/>
    <s v="Metalúrgica (incluye la siderúrgica) "/>
    <n v="277.09270847387199"/>
    <n v="210.16801961323603"/>
    <n v="64.954540359416782"/>
    <n v="207.46329911047999"/>
    <n v="411.69697864099999"/>
    <n v="21.724370796104004"/>
    <n v="5.0203782672994297"/>
    <s v="Federal"/>
  </r>
  <r>
    <x v="3"/>
    <s v="Nuevo León"/>
    <s v="19"/>
    <s v="19.01"/>
    <s v="Monterrey"/>
    <s v="19018"/>
    <s v="García"/>
    <x v="11"/>
    <s v="Petróleo y petroquímica"/>
    <n v="0"/>
    <n v="0"/>
    <n v="0"/>
    <n v="0"/>
    <n v="0"/>
    <n v="1.743E-3"/>
    <n v="0"/>
    <s v="Federal"/>
  </r>
  <r>
    <x v="3"/>
    <s v="Nuevo León"/>
    <s v="19"/>
    <s v="19.01"/>
    <s v="Monterrey"/>
    <s v="19018"/>
    <s v="García"/>
    <x v="11"/>
    <s v="Pinturas y tintas"/>
    <n v="2.1157596339999998"/>
    <n v="1.0902494271600001"/>
    <n v="0"/>
    <n v="0"/>
    <n v="0"/>
    <n v="65.466059999999999"/>
    <n v="0"/>
    <s v="Federal"/>
  </r>
  <r>
    <x v="3"/>
    <s v="Nuevo León"/>
    <s v="19"/>
    <s v="19.01"/>
    <s v="Monterrey"/>
    <s v="19018"/>
    <s v="García"/>
    <x v="11"/>
    <s v="Química"/>
    <n v="32.426871490799989"/>
    <n v="19.77788684714"/>
    <n v="23.515344041296004"/>
    <n v="60.310456974518416"/>
    <n v="160.734872104"/>
    <n v="8.3178058456399988"/>
    <n v="1.7078662618559999"/>
    <s v="Federal"/>
  </r>
  <r>
    <x v="3"/>
    <s v="Nuevo León"/>
    <s v="19"/>
    <s v="19.01"/>
    <s v="Monterrey"/>
    <s v="19018"/>
    <s v="García"/>
    <x v="11"/>
    <s v="Tratamiento de residuos peligrosos "/>
    <n v="4.5976447000000004E-2"/>
    <n v="4.5947922000000002E-2"/>
    <n v="0"/>
    <n v="0.48730000000000001"/>
    <n v="0.85560000000000003"/>
    <n v="0"/>
    <n v="0"/>
    <s v="Federal"/>
  </r>
  <r>
    <x v="3"/>
    <s v="Nuevo León"/>
    <s v="19"/>
    <s v="19.01"/>
    <s v="Monterrey"/>
    <s v="19018"/>
    <s v="García"/>
    <x v="11"/>
    <s v="Vidrio"/>
    <n v="48.66256915540189"/>
    <n v="45.448191572309433"/>
    <n v="470.14294762164798"/>
    <n v="135.02986703072003"/>
    <n v="1018.2762036079998"/>
    <n v="25.253172088440003"/>
    <n v="5.9940377420893496"/>
    <s v="Federal"/>
  </r>
  <r>
    <x v="3"/>
    <s v="Nuevo León"/>
    <s v="19"/>
    <s v="19.01"/>
    <s v="Monterrey"/>
    <s v="19019"/>
    <s v="San Pedro Garza García"/>
    <x v="11"/>
    <s v="Generación de energía eléctrica"/>
    <n v="4.4096000000000002"/>
    <n v="4.4096000000000002"/>
    <n v="6.0100000000000001E-2"/>
    <n v="6.9083000000000006"/>
    <n v="26.958500000000001"/>
    <n v="0.1769"/>
    <n v="0"/>
    <s v="Federal"/>
  </r>
  <r>
    <x v="3"/>
    <s v="Nuevo León"/>
    <s v="19"/>
    <s v="19.01"/>
    <s v="Monterrey"/>
    <s v="19019"/>
    <s v="San Pedro Garza García"/>
    <x v="11"/>
    <s v="Metalúrgica (incluye la siderúrgica) "/>
    <n v="19.641344898600011"/>
    <n v="14.782635750799997"/>
    <n v="2.7599999999999996E-2"/>
    <n v="3.7460000000000013"/>
    <n v="4.4616999999999987"/>
    <n v="85.951001999999988"/>
    <n v="0.14319999999999999"/>
    <s v="Federal"/>
  </r>
  <r>
    <x v="3"/>
    <s v="Nuevo León"/>
    <s v="19"/>
    <s v="19.01"/>
    <s v="Monterrey"/>
    <s v="19019"/>
    <s v="San Pedro Garza García"/>
    <x v="11"/>
    <s v="Química"/>
    <n v="1.0375289999999999"/>
    <n v="1.0226582"/>
    <n v="7.9299999999999995E-2"/>
    <n v="0.68310000000000004"/>
    <n v="77.811000000000007"/>
    <n v="236.70141000000001"/>
    <n v="0.42430000000000001"/>
    <s v="Federal"/>
  </r>
  <r>
    <x v="3"/>
    <s v="Nuevo León"/>
    <s v="19"/>
    <m/>
    <m/>
    <s v="19020"/>
    <s v="General Bravo"/>
    <x v="11"/>
    <s v="Química"/>
    <n v="0.52249999999999996"/>
    <n v="0.52249999999999996"/>
    <n v="4.1200000000000001E-2"/>
    <n v="5.7755999999999998"/>
    <n v="6.8757000000000001"/>
    <n v="0.37819999999999998"/>
    <n v="0.2208"/>
    <s v="Federal"/>
  </r>
  <r>
    <x v="3"/>
    <s v="Nuevo León"/>
    <s v="19"/>
    <s v="19.01"/>
    <s v="Monterrey"/>
    <s v="19021"/>
    <s v="General Escobedo"/>
    <x v="11"/>
    <s v="Automotriz"/>
    <n v="110.54723774887921"/>
    <n v="61.786600817316909"/>
    <n v="7.4499999999999997E-2"/>
    <n v="10.362500000000001"/>
    <n v="12.336799999999997"/>
    <n v="74.695229949999998"/>
    <n v="0.39539999999999997"/>
    <s v="Federal"/>
  </r>
  <r>
    <x v="3"/>
    <s v="Nuevo León"/>
    <s v="19"/>
    <s v="19.01"/>
    <s v="Monterrey"/>
    <s v="19021"/>
    <s v="General Escobedo"/>
    <x v="11"/>
    <s v="Metalúrgica (incluye la siderúrgica) "/>
    <n v="34.753139600000004"/>
    <n v="26.602262699999997"/>
    <n v="1.0470000000000002"/>
    <n v="6.5291999999999932"/>
    <n v="10.213396762616991"/>
    <n v="0.56949999999999978"/>
    <n v="0.22750000000000009"/>
    <s v="Federal"/>
  </r>
  <r>
    <x v="3"/>
    <s v="Nuevo León"/>
    <s v="19"/>
    <s v="19.01"/>
    <s v="Monterrey"/>
    <s v="19021"/>
    <s v="General Escobedo"/>
    <x v="11"/>
    <s v="Química"/>
    <n v="0.43661999999999995"/>
    <n v="0.354356"/>
    <n v="1.9900000000000001E-2"/>
    <n v="3.6186000000000003"/>
    <n v="3.6137999999999999"/>
    <n v="0.18290000000000001"/>
    <n v="0.10679999999999999"/>
    <s v="Federal"/>
  </r>
  <r>
    <x v="3"/>
    <s v="Nuevo León"/>
    <s v="19"/>
    <s v="19.01"/>
    <s v="Monterrey"/>
    <s v="19026"/>
    <s v="Guadalupe"/>
    <x v="11"/>
    <s v="Celulosa y papel "/>
    <n v="7.6065000000000014"/>
    <n v="7.6065000000000014"/>
    <n v="0.60050000000000003"/>
    <n v="401.94763168100604"/>
    <n v="165.66118298926975"/>
    <n v="5.5048000000000004"/>
    <n v="3.2134"/>
    <s v="Federal"/>
  </r>
  <r>
    <x v="3"/>
    <s v="Nuevo León"/>
    <s v="19"/>
    <s v="19.01"/>
    <s v="Monterrey"/>
    <s v="19026"/>
    <s v="Guadalupe"/>
    <x v="11"/>
    <s v="Metalúrgica (incluye la siderúrgica) "/>
    <n v="21.185023861455999"/>
    <n v="16.101438710728001"/>
    <n v="6.2099999999999995E-2"/>
    <n v="8.7079000000000004"/>
    <n v="14.282699999999998"/>
    <n v="10.2883"/>
    <n v="8.1399999999999986E-2"/>
    <s v="Federal"/>
  </r>
  <r>
    <x v="3"/>
    <s v="Nuevo León"/>
    <s v="19"/>
    <s v="19.01"/>
    <s v="Monterrey"/>
    <s v="19026"/>
    <s v="Guadalupe"/>
    <x v="11"/>
    <s v="Pinturas y tintas"/>
    <n v="1.5147000000000001E-2"/>
    <n v="8.3160000000000005E-3"/>
    <n v="0"/>
    <n v="0"/>
    <n v="0"/>
    <n v="242.46858"/>
    <n v="0"/>
    <s v="Federal"/>
  </r>
  <r>
    <x v="3"/>
    <s v="Nuevo León"/>
    <s v="19"/>
    <s v="19.01"/>
    <s v="Monterrey"/>
    <s v="19026"/>
    <s v="Guadalupe"/>
    <x v="11"/>
    <s v="Química"/>
    <n v="4.5484341727472613"/>
    <n v="4.3768913799153255"/>
    <n v="0.33006761186051758"/>
    <n v="46.026524737504261"/>
    <n v="54.791052750573783"/>
    <n v="1120.5788885532891"/>
    <n v="1.7579266701695984"/>
    <s v="Federal"/>
  </r>
  <r>
    <x v="3"/>
    <s v="Nuevo León"/>
    <s v="19"/>
    <s v="19.01"/>
    <s v="Monterrey"/>
    <s v="19031"/>
    <s v="Juárez"/>
    <x v="11"/>
    <s v="Generación de energía eléctrica"/>
    <n v="2.3948746405711048"/>
    <n v="2.3948746405711048"/>
    <n v="0.21279999999999999"/>
    <n v="24.445599999999999"/>
    <n v="95.396000000000001"/>
    <n v="0.626"/>
    <n v="0"/>
    <s v="Federal"/>
  </r>
  <r>
    <x v="3"/>
    <s v="Nuevo León"/>
    <s v="19"/>
    <s v="19.01"/>
    <s v="Monterrey"/>
    <s v="19031"/>
    <s v="Juárez"/>
    <x v="11"/>
    <s v="Pinturas y tintas"/>
    <n v="0.13248000000000001"/>
    <n v="0.12765000000000001"/>
    <n v="0"/>
    <n v="0"/>
    <n v="0"/>
    <n v="1.75093629755143"/>
    <n v="0"/>
    <s v="Federal"/>
  </r>
  <r>
    <x v="3"/>
    <s v="Nuevo León"/>
    <s v="19"/>
    <m/>
    <m/>
    <s v="19033"/>
    <s v="Linares"/>
    <x v="11"/>
    <s v="Petróleo y petroquímica"/>
    <n v="1.324921056"/>
    <n v="0.84395022410424325"/>
    <n v="44.286463524800006"/>
    <n v="0.61603432000000002"/>
    <n v="3.1467647119999995"/>
    <n v="4.350923432E-2"/>
    <n v="0"/>
    <s v="Federal"/>
  </r>
  <r>
    <x v="3"/>
    <s v="Nuevo León"/>
    <s v="19"/>
    <s v="19.01"/>
    <s v="Monterrey"/>
    <s v="19039"/>
    <s v="Monterrey"/>
    <x v="11"/>
    <s v="Celulosa y papel "/>
    <n v="2.8324228471999997"/>
    <n v="2.4366840406108206"/>
    <n v="9.0149568759999993E-2"/>
    <n v="9.1990250339999999"/>
    <n v="6.2519489394000001"/>
    <n v="0.60177609003400001"/>
    <n v="0.35060000000000002"/>
    <s v="Federal"/>
  </r>
  <r>
    <x v="3"/>
    <s v="Nuevo León"/>
    <s v="19"/>
    <s v="19.01"/>
    <s v="Monterrey"/>
    <s v="19039"/>
    <s v="Monterrey"/>
    <x v="11"/>
    <s v="Cemento y cal"/>
    <n v="150.34759504489301"/>
    <n v="95.657731844893007"/>
    <n v="1792.5743"/>
    <n v="2030.877"/>
    <n v="2040.4110000000001"/>
    <n v="60.456699999999998"/>
    <n v="1.548987174026488"/>
    <s v="Federal"/>
  </r>
  <r>
    <x v="3"/>
    <s v="Nuevo León"/>
    <s v="19"/>
    <s v="19.01"/>
    <s v="Monterrey"/>
    <s v="19039"/>
    <s v="Monterrey"/>
    <x v="11"/>
    <s v="Generación de energía eléctrica"/>
    <n v="24.074608106472002"/>
    <n v="20.516333106472"/>
    <n v="3.8763999999999998"/>
    <n v="137.05389999999997"/>
    <n v="566.18389999999999"/>
    <n v="4.1370000000000005"/>
    <n v="0.54370000000000007"/>
    <s v="Federal"/>
  </r>
  <r>
    <x v="3"/>
    <s v="Nuevo León"/>
    <s v="19"/>
    <s v="19.01"/>
    <s v="Monterrey"/>
    <s v="19039"/>
    <s v="Monterrey"/>
    <x v="11"/>
    <s v="Metalúrgica (incluye la siderúrgica) "/>
    <n v="26.353376643803436"/>
    <n v="22.065804950999858"/>
    <n v="0.8790189385599998"/>
    <n v="111.56995139840001"/>
    <n v="204.3701897599999"/>
    <n v="112.6006869368"/>
    <n v="4.7015618618570025"/>
    <s v="Federal"/>
  </r>
  <r>
    <x v="3"/>
    <s v="Nuevo León"/>
    <s v="19"/>
    <s v="19.01"/>
    <s v="Monterrey"/>
    <s v="19039"/>
    <s v="Monterrey"/>
    <x v="11"/>
    <s v="Pinturas y tintas"/>
    <n v="0.33427259442400004"/>
    <n v="0.21256740721200001"/>
    <n v="2.4000000000000002E-3"/>
    <n v="0.34040000000000004"/>
    <n v="0.40529999999999999"/>
    <n v="338.8820187"/>
    <n v="1.3000000000000001E-2"/>
    <s v="Federal"/>
  </r>
  <r>
    <x v="3"/>
    <s v="Nuevo León"/>
    <s v="19"/>
    <s v="19.01"/>
    <s v="Monterrey"/>
    <s v="19039"/>
    <s v="Monterrey"/>
    <x v="11"/>
    <s v="Química"/>
    <n v="40.983186285575769"/>
    <n v="23.113167274767548"/>
    <n v="0.28896910086304001"/>
    <n v="24.68018152141504"/>
    <n v="40.888604978678607"/>
    <n v="204.22145276140375"/>
    <n v="0.98674219435138277"/>
    <s v="Federal"/>
  </r>
  <r>
    <x v="3"/>
    <s v="Nuevo León"/>
    <s v="19"/>
    <s v="19.01"/>
    <s v="Monterrey"/>
    <s v="19039"/>
    <s v="Monterrey"/>
    <x v="11"/>
    <s v="Vidrio"/>
    <n v="207.10349588621438"/>
    <n v="120.46523694310719"/>
    <n v="3.0783000000000005"/>
    <n v="430.99220000000003"/>
    <n v="2164.7229694026664"/>
    <n v="28.219399999999993"/>
    <n v="16.472900000000003"/>
    <s v="Federal"/>
  </r>
  <r>
    <x v="3"/>
    <s v="Nuevo León"/>
    <s v="19"/>
    <s v="19.01"/>
    <s v="Monterrey"/>
    <s v="19041"/>
    <s v="Pesquería"/>
    <x v="11"/>
    <s v="Automotriz"/>
    <n v="23.012899999999991"/>
    <n v="11.911249999999995"/>
    <n v="6.4000000000000001E-2"/>
    <n v="8.9486000000000008"/>
    <n v="10.653"/>
    <n v="2728.5859999999998"/>
    <n v="0.34200000000000003"/>
    <s v="Federal"/>
  </r>
  <r>
    <x v="3"/>
    <s v="Nuevo León"/>
    <s v="19"/>
    <s v="19.01"/>
    <s v="Monterrey"/>
    <s v="19041"/>
    <s v="Pesquería"/>
    <x v="11"/>
    <s v="Generación de energía eléctrica"/>
    <n v="1075.6849927830549"/>
    <n v="1075.694592783055"/>
    <n v="41.664900000000003"/>
    <n v="5275.2715000000007"/>
    <n v="8426.3420999999998"/>
    <n v="255.2852"/>
    <n v="81.087199999999996"/>
    <s v="Federal"/>
  </r>
  <r>
    <x v="3"/>
    <s v="Nuevo León"/>
    <s v="19"/>
    <s v="19.01"/>
    <s v="Monterrey"/>
    <s v="19041"/>
    <s v="Pesquería"/>
    <x v="11"/>
    <s v="Metalúrgica (incluye la siderúrgica) "/>
    <n v="137.48827399999999"/>
    <n v="100.19914280000002"/>
    <n v="0.32299999999999995"/>
    <n v="43.395700000000005"/>
    <n v="77.310400000000016"/>
    <n v="16.764016999999999"/>
    <n v="1.7285999999999999"/>
    <s v="Federal"/>
  </r>
  <r>
    <x v="3"/>
    <s v="Nuevo León"/>
    <s v="19"/>
    <s v="19.01"/>
    <s v="Monterrey"/>
    <s v="19041"/>
    <s v="Pesquería"/>
    <x v="11"/>
    <s v="Pinturas y tintas"/>
    <n v="2.2662910803331653"/>
    <n v="1.1988455401665825"/>
    <n v="1.03E-2"/>
    <n v="1.4530000000000001"/>
    <n v="19.792188176"/>
    <n v="9.509999999999999E-2"/>
    <n v="5.5599999999999997E-2"/>
    <s v="Federal"/>
  </r>
  <r>
    <x v="3"/>
    <s v="Nuevo León"/>
    <s v="19"/>
    <s v="19.01"/>
    <s v="Monterrey"/>
    <s v="19041"/>
    <s v="Pesquería"/>
    <x v="11"/>
    <s v="Química"/>
    <n v="0.1542"/>
    <n v="0.11829339999999999"/>
    <n v="0.27800000000000002"/>
    <n v="1.3940999999999999"/>
    <n v="2.5992000000000002"/>
    <n v="5.4599999999999996E-2"/>
    <n v="6.4699999999999994E-2"/>
    <s v="Federal"/>
  </r>
  <r>
    <x v="3"/>
    <s v="Nuevo León"/>
    <s v="19"/>
    <s v="19.01"/>
    <s v="Monterrey"/>
    <s v="19041"/>
    <s v="Pesquería"/>
    <x v="11"/>
    <s v="Tratamiento de residuos peligrosos "/>
    <n v="1.4E-3"/>
    <n v="1.4E-3"/>
    <n v="0"/>
    <n v="1.4400000000000001E-2"/>
    <n v="2.53E-2"/>
    <n v="0"/>
    <n v="0"/>
    <s v="Federal"/>
  </r>
  <r>
    <x v="3"/>
    <s v="Nuevo León"/>
    <s v="19"/>
    <s v="19.01"/>
    <s v="Monterrey"/>
    <s v="19045"/>
    <s v="Salinas Victoria"/>
    <x v="11"/>
    <s v="Generación de energía eléctrica"/>
    <n v="7.9964999999999993"/>
    <n v="7.9964999999999993"/>
    <n v="0.48139999999999994"/>
    <n v="320.1148"/>
    <n v="261.82532680128003"/>
    <n v="93.060599999999994"/>
    <n v="0"/>
    <s v="Federal"/>
  </r>
  <r>
    <x v="3"/>
    <s v="Nuevo León"/>
    <s v="19"/>
    <s v="19.01"/>
    <s v="Monterrey"/>
    <s v="19045"/>
    <s v="Salinas Victoria"/>
    <x v="11"/>
    <s v="Metalúrgica (incluye la siderúrgica) "/>
    <n v="0.1598"/>
    <n v="0.1598"/>
    <n v="1E-4"/>
    <n v="1.6978"/>
    <n v="2.9807999999999999"/>
    <n v="0"/>
    <n v="0"/>
    <s v="Federal"/>
  </r>
  <r>
    <x v="3"/>
    <s v="Nuevo León"/>
    <s v="19"/>
    <s v="19.01"/>
    <s v="Monterrey"/>
    <s v="19045"/>
    <s v="Salinas Victoria"/>
    <x v="11"/>
    <s v="Química"/>
    <n v="4.8617999999999997"/>
    <n v="4.8617999999999997"/>
    <n v="1.2999999999999999E-3"/>
    <n v="51.6402"/>
    <n v="90.665999999999997"/>
    <n v="0"/>
    <n v="0"/>
    <s v="Federal"/>
  </r>
  <r>
    <x v="3"/>
    <s v="Nuevo León"/>
    <s v="19"/>
    <s v="19.01"/>
    <s v="Monterrey"/>
    <s v="19045"/>
    <s v="Salinas Victoria"/>
    <x v="11"/>
    <s v="Tratamiento de residuos peligrosos "/>
    <n v="1.2999999999999999E-3"/>
    <n v="1.2999999999999999E-3"/>
    <n v="2.8479999999999999"/>
    <n v="0.70459999999999989"/>
    <n v="6.3459000000000003"/>
    <n v="5.9999999999999995E-4"/>
    <n v="0"/>
    <s v="Federal"/>
  </r>
  <r>
    <x v="3"/>
    <s v="Nuevo León"/>
    <s v="19"/>
    <s v="19.01"/>
    <s v="Monterrey"/>
    <s v="19045"/>
    <s v="San Pedro Garza García"/>
    <x v="11"/>
    <s v="Tratamiento de residuos peligrosos "/>
    <n v="1.1351"/>
    <n v="1.1351"/>
    <n v="5.9999999999999995E-4"/>
    <n v="12.056900000000001"/>
    <n v="21.168600000000001"/>
    <n v="0"/>
    <n v="0"/>
    <s v="Federal"/>
  </r>
  <r>
    <x v="3"/>
    <s v="Nuevo León"/>
    <s v="19"/>
    <s v="19.01"/>
    <s v="Monterrey"/>
    <s v="19046"/>
    <s v="San Nicolás de los Garza"/>
    <x v="11"/>
    <s v="Automotriz"/>
    <n v="1.5200000000000002E-2"/>
    <n v="1.5200000000000002E-2"/>
    <n v="1.2000000000000001E-3"/>
    <n v="0.13439999999999999"/>
    <n v="0.47239999999999999"/>
    <n v="1.0999999999999999E-2"/>
    <n v="6.3999999999999994E-3"/>
    <s v="Federal"/>
  </r>
  <r>
    <x v="3"/>
    <s v="Nuevo León"/>
    <s v="19"/>
    <s v="19.01"/>
    <s v="Monterrey"/>
    <s v="19046"/>
    <s v="San Nicolás de los Garza"/>
    <x v="11"/>
    <s v="Celulosa y papel "/>
    <n v="24.566213464002431"/>
    <n v="20.985541022556749"/>
    <n v="0.58130650720019272"/>
    <n v="58.399944480026889"/>
    <n v="95.674391368031991"/>
    <n v="6.5949463744817596"/>
    <n v="2.7971000000010275"/>
    <s v="Federal"/>
  </r>
  <r>
    <x v="3"/>
    <s v="Nuevo León"/>
    <s v="19"/>
    <s v="19.01"/>
    <s v="Monterrey"/>
    <s v="19046"/>
    <s v="San Nicolás de los Garza"/>
    <x v="11"/>
    <s v="Generación de energía eléctrica"/>
    <n v="3.3073604016999996"/>
    <n v="3.3073604016999996"/>
    <n v="0.29049999999999998"/>
    <n v="34.046900000000001"/>
    <n v="128.71019999999999"/>
    <n v="1.0218"/>
    <n v="0.14369999999999999"/>
    <s v="Federal"/>
  </r>
  <r>
    <x v="3"/>
    <s v="Nuevo León"/>
    <s v="19"/>
    <s v="19.01"/>
    <s v="Monterrey"/>
    <s v="19046"/>
    <s v="San Nicolás de los Garza"/>
    <x v="11"/>
    <s v="Metalúrgica (incluye la siderúrgica) "/>
    <n v="271.04910718497911"/>
    <n v="205.19350878390219"/>
    <n v="2.8825825428800016"/>
    <n v="398.52212196224502"/>
    <n v="580.93952470262275"/>
    <n v="149.83425997640001"/>
    <n v="14.443066586223505"/>
    <s v="Federal"/>
  </r>
  <r>
    <x v="3"/>
    <s v="Nuevo León"/>
    <s v="19"/>
    <s v="19.01"/>
    <s v="Monterrey"/>
    <s v="19046"/>
    <s v="San Nicolás de los Garza"/>
    <x v="11"/>
    <s v="Petróleo y petroquímica"/>
    <n v="3.3121999999999999E-2"/>
    <n v="2.0732E-2"/>
    <n v="0"/>
    <n v="4.3900000000000002E-2"/>
    <n v="7.7100000000000002E-2"/>
    <n v="0.25469599999999998"/>
    <n v="0"/>
    <s v="Federal"/>
  </r>
  <r>
    <x v="3"/>
    <s v="Nuevo León"/>
    <s v="19"/>
    <s v="19.01"/>
    <s v="Monterrey"/>
    <s v="19046"/>
    <s v="San Nicolás de los Garza"/>
    <x v="11"/>
    <s v="Pinturas y tintas"/>
    <n v="4.9208000000000002E-2"/>
    <n v="0.28909699999999999"/>
    <n v="7.2899999999999996E-3"/>
    <n v="6.7991999999999999"/>
    <n v="8.094100000000001"/>
    <n v="0.44499999999999995"/>
    <n v="0.2601"/>
    <s v="Federal"/>
  </r>
  <r>
    <x v="3"/>
    <s v="Nuevo León"/>
    <s v="19"/>
    <s v="19.01"/>
    <s v="Monterrey"/>
    <s v="19046"/>
    <s v="San Nicolás de los Garza"/>
    <x v="11"/>
    <s v="Química"/>
    <n v="147.07854609842627"/>
    <n v="95.150367514818043"/>
    <n v="113.03246501192"/>
    <n v="219.65957428010401"/>
    <n v="1299.1372605148417"/>
    <n v="1947.3551439720002"/>
    <n v="7.9302839604481399"/>
    <s v="Federal"/>
  </r>
  <r>
    <x v="3"/>
    <s v="Nuevo León"/>
    <s v="19"/>
    <s v="19.01"/>
    <s v="Monterrey"/>
    <s v="19046"/>
    <s v="San Nicolás de los Garza"/>
    <x v="11"/>
    <s v="Vidrio"/>
    <n v="3.6300000000000006E-2"/>
    <n v="3.6300000000000006E-2"/>
    <n v="2.8999999999999998E-3"/>
    <n v="0.40160000000000001"/>
    <n v="0.47809999999999997"/>
    <n v="2.6299999999999997E-2"/>
    <n v="1.5399999999999999E-2"/>
    <s v="Federal"/>
  </r>
  <r>
    <x v="3"/>
    <s v="Nuevo León"/>
    <s v="19"/>
    <s v="19.01"/>
    <s v="Monterrey"/>
    <s v="19047"/>
    <s v="Hidalgo"/>
    <x v="11"/>
    <s v="Cemento y cal"/>
    <n v="0.21216999999999997"/>
    <n v="0.10608499999999998"/>
    <n v="0"/>
    <n v="0"/>
    <n v="0"/>
    <n v="0"/>
    <n v="0"/>
    <s v="Federal"/>
  </r>
  <r>
    <x v="3"/>
    <s v="Nuevo León"/>
    <s v="19"/>
    <s v="19.01"/>
    <s v="Monterrey"/>
    <s v="19048"/>
    <s v="Santa Catarina"/>
    <x v="11"/>
    <s v="Automotriz"/>
    <n v="15.127416386401599"/>
    <n v="10.957744714992799"/>
    <n v="3.670000000000001E-2"/>
    <n v="5.1063459764735999"/>
    <n v="6.2437682176000004"/>
    <n v="23.652311999999998"/>
    <n v="0.1966"/>
    <s v="Federal"/>
  </r>
  <r>
    <x v="3"/>
    <s v="Nuevo León"/>
    <s v="19"/>
    <s v="19.01"/>
    <s v="Monterrey"/>
    <s v="19048"/>
    <s v="Santa Catarina"/>
    <x v="11"/>
    <s v="Celulosa y papel "/>
    <n v="0.39499750239999998"/>
    <n v="0.39499750239999998"/>
    <n v="2.930005059584E-2"/>
    <n v="2.9311356336000003"/>
    <n v="5.1799182879999996"/>
    <n v="157.63592330271078"/>
    <n v="0.15660000000000002"/>
    <s v="Federal"/>
  </r>
  <r>
    <x v="3"/>
    <s v="Nuevo León"/>
    <s v="19"/>
    <s v="19.01"/>
    <s v="Monterrey"/>
    <s v="19048"/>
    <s v="Santa Catarina"/>
    <x v="11"/>
    <s v="Metalúrgica (incluye la siderúrgica) "/>
    <n v="154.13519993476797"/>
    <n v="111.67003283476799"/>
    <n v="0.165671058008"/>
    <n v="22.902048121120004"/>
    <n v="27.291309668000004"/>
    <n v="147.59201803174"/>
    <n v="0.87484377602822527"/>
    <s v="Federal"/>
  </r>
  <r>
    <x v="3"/>
    <s v="Nuevo León"/>
    <s v="19"/>
    <s v="19.01"/>
    <s v="Monterrey"/>
    <s v="19048"/>
    <s v="Santa Catarina"/>
    <x v="11"/>
    <s v="Petróleo y petroquímica"/>
    <n v="3.1537450094450019"/>
    <n v="3.1537450094450019"/>
    <n v="4.3005545564634887E-2"/>
    <n v="4.9407989127390843"/>
    <n v="19.280852728899326"/>
    <n v="115.09106439214233"/>
    <n v="0"/>
    <s v="Federal"/>
  </r>
  <r>
    <x v="3"/>
    <s v="Nuevo León"/>
    <s v="19"/>
    <s v="19.01"/>
    <s v="Monterrey"/>
    <s v="19048"/>
    <s v="Santa Catarina"/>
    <x v="11"/>
    <s v="Pinturas y tintas"/>
    <n v="17.77773551229"/>
    <n v="8.539730991519999"/>
    <n v="0.1069"/>
    <n v="7.7010290023999994"/>
    <n v="10.346671277819199"/>
    <n v="0.81498575369477078"/>
    <n v="0.40870000000000001"/>
    <s v="Federal"/>
  </r>
  <r>
    <x v="3"/>
    <s v="Nuevo León"/>
    <s v="19"/>
    <s v="19.01"/>
    <s v="Monterrey"/>
    <s v="19048"/>
    <s v="Santa Catarina"/>
    <x v="11"/>
    <s v="Química"/>
    <n v="1.9977215000000001"/>
    <n v="1.4880332000000001"/>
    <n v="2.4746808000000002"/>
    <n v="13.687100000000001"/>
    <n v="66.961068000000012"/>
    <n v="0.60969999999999991"/>
    <n v="0.35680000000000001"/>
    <s v="Federal"/>
  </r>
  <r>
    <x v="0"/>
    <s v="Nuevo León"/>
    <s v="19"/>
    <s v="19.01"/>
    <s v="Monterrey"/>
    <s v="19001"/>
    <s v="Abasolo"/>
    <x v="0"/>
    <s v="Combustión Comercial"/>
    <n v="1.0999490088487748E-3"/>
    <n v="1.0999490088487748E-3"/>
    <n v="1.2872078252216778E-4"/>
    <n v="9.4319393189320946E-3"/>
    <n v="1.5637844573055067E-2"/>
    <n v="9.4047048150655154E-4"/>
    <n v="9.5154852249585672E-6"/>
    <s v="Estatal"/>
  </r>
  <r>
    <x v="0"/>
    <s v="Nuevo León"/>
    <s v="19"/>
    <m/>
    <m/>
    <s v="19002"/>
    <s v="Agualeguas"/>
    <x v="0"/>
    <s v="Combustión Comercial"/>
    <n v="3.8094475642956285E-3"/>
    <n v="3.8094475642956285E-3"/>
    <n v="4.6827667184397607E-4"/>
    <n v="3.1202853121471075E-2"/>
    <n v="5.4783635251437764E-2"/>
    <n v="3.3346560587831685E-3"/>
    <n v="0"/>
    <s v="Estatal"/>
  </r>
  <r>
    <x v="0"/>
    <s v="Nuevo León"/>
    <s v="19"/>
    <m/>
    <m/>
    <s v="19003"/>
    <s v="Los Aldamas"/>
    <x v="0"/>
    <s v="Combustión Comercial"/>
    <n v="1.1904523638423838E-3"/>
    <n v="1.1904523638423838E-3"/>
    <n v="1.4633645995124254E-4"/>
    <n v="9.7508916004597108E-3"/>
    <n v="1.7119886016074299E-2"/>
    <n v="1.0420800183697401E-3"/>
    <n v="0"/>
    <s v="Estatal"/>
  </r>
  <r>
    <x v="0"/>
    <s v="Nuevo León"/>
    <s v="19"/>
    <m/>
    <m/>
    <s v="19004"/>
    <s v="Allende"/>
    <x v="0"/>
    <s v="Combustión Comercial"/>
    <n v="5.3094175427370334E-2"/>
    <n v="5.3094175427370334E-2"/>
    <n v="6.5266061138254177E-3"/>
    <n v="0.43488976538050317"/>
    <n v="0.76354691631691385"/>
    <n v="4.6476768819290415E-2"/>
    <n v="0"/>
    <s v="Estatal"/>
  </r>
  <r>
    <x v="0"/>
    <s v="Nuevo León"/>
    <s v="19"/>
    <m/>
    <m/>
    <s v="19005"/>
    <s v="Anáhuac"/>
    <x v="0"/>
    <s v="Combustión Comercial"/>
    <n v="3.8034953024764166E-2"/>
    <n v="3.8034953024764166E-2"/>
    <n v="4.6754498954421977E-3"/>
    <n v="0.31154098663468771"/>
    <n v="0.54698035821357383"/>
    <n v="3.3294456586913192E-2"/>
    <n v="0"/>
    <s v="Estatal"/>
  </r>
  <r>
    <x v="0"/>
    <s v="Nuevo León"/>
    <s v="19"/>
    <s v="19.01"/>
    <s v="Monterrey"/>
    <s v="19006"/>
    <s v="Apodaca"/>
    <x v="0"/>
    <s v="Combustión Comercial"/>
    <n v="0.763708346206315"/>
    <n v="0.763708346206315"/>
    <n v="8.9372448314922651E-2"/>
    <n v="6.5487133683760419"/>
    <n v="10.857550960129299"/>
    <n v="0.6529804111910178"/>
    <n v="6.606720335254045E-3"/>
    <s v="Estatal"/>
  </r>
  <r>
    <x v="0"/>
    <s v="Nuevo León"/>
    <s v="19"/>
    <m/>
    <m/>
    <s v="19007"/>
    <s v="Aramberri"/>
    <x v="0"/>
    <s v="Combustión Comercial"/>
    <n v="1.3571156947803179E-2"/>
    <n v="1.3571156947803179E-2"/>
    <n v="1.6682356434441653E-3"/>
    <n v="0.11116016424524072"/>
    <n v="0.19516670058324706"/>
    <n v="1.187971220941504E-2"/>
    <n v="0"/>
    <s v="Estatal"/>
  </r>
  <r>
    <x v="0"/>
    <s v="Nuevo León"/>
    <s v="19"/>
    <m/>
    <m/>
    <s v="19008"/>
    <s v="Bustamante"/>
    <x v="0"/>
    <s v="Combustión Comercial"/>
    <n v="1.3809247420571652E-2"/>
    <n v="1.3809247420571652E-2"/>
    <n v="1.6975029354344133E-3"/>
    <n v="0.11311034256533264"/>
    <n v="0.19859067778646186"/>
    <n v="1.2088128213088984E-2"/>
    <n v="0"/>
    <s v="Estatal"/>
  </r>
  <r>
    <x v="0"/>
    <s v="Nuevo León"/>
    <s v="19"/>
    <s v="19.01"/>
    <s v="Monterrey"/>
    <s v="19009"/>
    <s v="Cadereyta Jiménez"/>
    <x v="0"/>
    <s v="Combustión Comercial"/>
    <n v="0.20630918597219833"/>
    <n v="0.20630918597219833"/>
    <n v="2.41431917718141E-2"/>
    <n v="1.7690781185072013"/>
    <n v="2.9330732227336416"/>
    <n v="0.17639699468757258"/>
    <n v="1.7847481975062911E-3"/>
    <s v="Estatal"/>
  </r>
  <r>
    <x v="0"/>
    <s v="Nuevo León"/>
    <s v="19"/>
    <s v="19.01"/>
    <s v="Monterrey"/>
    <s v="19010"/>
    <s v="El Carmen"/>
    <x v="0"/>
    <s v="Combustión Comercial"/>
    <n v="1.5811767002201139E-2"/>
    <n v="1.5811767002201139E-2"/>
    <n v="1.8503612487561622E-3"/>
    <n v="0.13558412770964887"/>
    <n v="0.22479401573766661"/>
    <n v="1.3519263171656679E-2"/>
    <n v="1.3678510010877939E-4"/>
    <s v="Estatal"/>
  </r>
  <r>
    <x v="0"/>
    <s v="Nuevo León"/>
    <s v="19"/>
    <m/>
    <m/>
    <s v="19011"/>
    <s v="Cerralvo"/>
    <x v="0"/>
    <s v="Combustión Comercial"/>
    <n v="2.3928092513231917E-2"/>
    <n v="2.3928092513231917E-2"/>
    <n v="2.9413628450199753E-3"/>
    <n v="0.19599292116924019"/>
    <n v="0.3441097089230935"/>
    <n v="2.0945808369231777E-2"/>
    <n v="0"/>
    <s v="Estatal"/>
  </r>
  <r>
    <x v="0"/>
    <s v="Nuevo León"/>
    <s v="19"/>
    <s v="19.01"/>
    <s v="Monterrey"/>
    <s v="19012"/>
    <s v="Ciénega de Flores"/>
    <x v="0"/>
    <s v="Combustión Comercial"/>
    <n v="4.1041847392669917E-2"/>
    <n v="4.1041847392669917E-2"/>
    <n v="4.8028941978583871E-3"/>
    <n v="0.3519292358376539"/>
    <n v="0.58348707563211732"/>
    <n v="3.5091304841213214E-2"/>
    <n v="3.5504654245626651E-4"/>
    <s v="Estatal"/>
  </r>
  <r>
    <x v="0"/>
    <s v="Nuevo León"/>
    <s v="19"/>
    <m/>
    <m/>
    <s v="19013"/>
    <s v="China"/>
    <x v="0"/>
    <s v="Combustión Comercial"/>
    <n v="1.9344850912438743E-2"/>
    <n v="1.9344850912438743E-2"/>
    <n v="2.3779674742076921E-3"/>
    <n v="0.15845198850747036"/>
    <n v="0.27819814776120744"/>
    <n v="1.6933800298508279E-2"/>
    <n v="0"/>
    <s v="Estatal"/>
  </r>
  <r>
    <x v="0"/>
    <s v="Nuevo León"/>
    <s v="19"/>
    <m/>
    <m/>
    <s v="19014"/>
    <s v="Doctor Arroyo"/>
    <x v="0"/>
    <s v="Combustión Comercial"/>
    <n v="4.5177667207818475E-2"/>
    <n v="4.5177667207818475E-2"/>
    <n v="5.5534686551496548E-3"/>
    <n v="0.37004633623744604"/>
    <n v="0.64969967431001974"/>
    <n v="3.9546936697131642E-2"/>
    <n v="0"/>
    <s v="Estatal"/>
  </r>
  <r>
    <x v="0"/>
    <s v="Nuevo León"/>
    <s v="19"/>
    <m/>
    <m/>
    <s v="19015"/>
    <s v="Doctor Coss"/>
    <x v="0"/>
    <s v="Combustión Comercial"/>
    <n v="1.666633309379338E-3"/>
    <n v="1.666633309379338E-3"/>
    <n v="2.0487104393173962E-4"/>
    <n v="1.36512482406436E-2"/>
    <n v="2.3967840422504029E-2"/>
    <n v="1.4589120257176365E-3"/>
    <n v="0"/>
    <s v="Estatal"/>
  </r>
  <r>
    <x v="0"/>
    <s v="Nuevo León"/>
    <s v="19"/>
    <m/>
    <m/>
    <s v="19016"/>
    <s v="Doctor González"/>
    <x v="0"/>
    <s v="Combustión Comercial"/>
    <n v="2.3809047276847676E-3"/>
    <n v="2.3809047276847676E-3"/>
    <n v="2.9267291990248508E-4"/>
    <n v="1.9501783200919422E-2"/>
    <n v="3.4239772032148598E-2"/>
    <n v="2.0841600367394802E-3"/>
    <n v="0"/>
    <s v="Estatal"/>
  </r>
  <r>
    <x v="0"/>
    <s v="Nuevo León"/>
    <s v="19"/>
    <m/>
    <m/>
    <s v="19017"/>
    <s v="Galeana"/>
    <x v="0"/>
    <s v="Combustión Comercial"/>
    <n v="3.0594625750749265E-2"/>
    <n v="3.0594625750749265E-2"/>
    <n v="3.7608470207469327E-3"/>
    <n v="0.25059791413181454"/>
    <n v="0.43998107061310948"/>
    <n v="2.6781456472102318E-2"/>
    <n v="0"/>
    <s v="Estatal"/>
  </r>
  <r>
    <x v="0"/>
    <s v="Nuevo León"/>
    <s v="19"/>
    <s v="19.01"/>
    <s v="Monterrey"/>
    <s v="19018"/>
    <s v="García"/>
    <x v="0"/>
    <s v="Combustión Comercial"/>
    <n v="0.13082518523995115"/>
    <n v="0.13082518523995115"/>
    <n v="1.5309728071230332E-2"/>
    <n v="1.121811282745486"/>
    <n v="1.8599261389077371"/>
    <n v="0.11185720789418548"/>
    <n v="1.1317480239435094E-3"/>
    <s v="Estatal"/>
  </r>
  <r>
    <x v="0"/>
    <s v="Nuevo León"/>
    <s v="19"/>
    <s v="19.01"/>
    <s v="Monterrey"/>
    <s v="19019"/>
    <s v="San Pedro Garza García"/>
    <x v="0"/>
    <s v="Combustión Comercial"/>
    <n v="0.92285721842412205"/>
    <n v="0.92285721842412205"/>
    <n v="0.10799673653609877"/>
    <n v="7.9133970885840279"/>
    <n v="13.120151596793201"/>
    <n v="0.78905473398399684"/>
    <n v="7.9834921037402369E-3"/>
    <s v="Estatal"/>
  </r>
  <r>
    <x v="0"/>
    <s v="Nuevo León"/>
    <s v="19"/>
    <m/>
    <m/>
    <s v="19020"/>
    <s v="General Bravo"/>
    <x v="0"/>
    <s v="Combustión Comercial"/>
    <n v="8.1545986923203286E-3"/>
    <n v="8.1545986923203286E-3"/>
    <n v="1.0024047506660113E-3"/>
    <n v="6.679360746314901E-2"/>
    <n v="0.11727121921010895"/>
    <n v="7.1382481258327191E-3"/>
    <n v="0"/>
    <s v="Estatal"/>
  </r>
  <r>
    <x v="0"/>
    <s v="Nuevo León"/>
    <s v="19"/>
    <s v="19.01"/>
    <s v="Monterrey"/>
    <s v="19021"/>
    <s v="General Escobedo"/>
    <x v="0"/>
    <s v="Combustión Comercial"/>
    <n v="0.50721398670539131"/>
    <n v="0.50721398670539131"/>
    <n v="5.935637084053462E-2"/>
    <n v="4.3493030184425621"/>
    <n v="7.2110010787500176"/>
    <n v="0.43367445078470862"/>
    <n v="4.3878281243590177E-3"/>
    <s v="Estatal"/>
  </r>
  <r>
    <x v="0"/>
    <s v="Nuevo León"/>
    <s v="19"/>
    <m/>
    <m/>
    <s v="19022"/>
    <s v="General Terán"/>
    <x v="0"/>
    <s v="Combustión Comercial"/>
    <n v="1.755917236667516E-2"/>
    <n v="1.755917236667516E-2"/>
    <n v="2.1584627842808272E-3"/>
    <n v="0.14382565110678072"/>
    <n v="0.2525183187370959"/>
    <n v="1.5370680270953665E-2"/>
    <n v="0"/>
    <s v="Estatal"/>
  </r>
  <r>
    <x v="0"/>
    <s v="Nuevo León"/>
    <s v="19"/>
    <m/>
    <m/>
    <s v="19023"/>
    <s v="General Treviño"/>
    <x v="0"/>
    <s v="Combustión Comercial"/>
    <n v="1.9047237821478143E-3"/>
    <n v="1.9047237821478143E-3"/>
    <n v="2.3413833592198803E-4"/>
    <n v="1.5601426560735538E-2"/>
    <n v="2.7391817625718882E-2"/>
    <n v="1.6673280293915843E-3"/>
    <n v="0"/>
    <s v="Estatal"/>
  </r>
  <r>
    <x v="0"/>
    <s v="Nuevo León"/>
    <s v="19"/>
    <m/>
    <m/>
    <s v="19024"/>
    <s v="General Zaragoza"/>
    <x v="0"/>
    <s v="Combustión Comercial"/>
    <n v="6.6070106193252308E-3"/>
    <n v="6.6070106193252308E-3"/>
    <n v="8.1216735272939596E-4"/>
    <n v="5.4117448382551392E-2"/>
    <n v="9.501536738921236E-2"/>
    <n v="5.7835441019520577E-3"/>
    <n v="0"/>
    <s v="Estatal"/>
  </r>
  <r>
    <x v="0"/>
    <s v="Nuevo León"/>
    <s v="19"/>
    <s v="19.01"/>
    <s v="Monterrey"/>
    <s v="19025"/>
    <s v="General Zuazua"/>
    <x v="0"/>
    <s v="Combustión Comercial"/>
    <n v="8.1464973467862384E-2"/>
    <n v="8.1464973467862384E-2"/>
    <n v="9.5333829555480521E-3"/>
    <n v="0.6985530058084084"/>
    <n v="1.1581778636918911"/>
    <n v="6.9653595036578975E-2"/>
    <n v="7.0474062447349389E-4"/>
    <s v="Estatal"/>
  </r>
  <r>
    <x v="0"/>
    <s v="Nuevo León"/>
    <s v="19"/>
    <s v="19.01"/>
    <s v="Monterrey"/>
    <s v="19026"/>
    <s v="Guadalupe"/>
    <x v="0"/>
    <s v="Combustión Comercial"/>
    <n v="1.3575433173585472"/>
    <n v="1.3575433173585472"/>
    <n v="0.15886558077907795"/>
    <n v="11.640781608184502"/>
    <n v="19.300032299007398"/>
    <n v="1.1607169123943668"/>
    <n v="1.1743892921078549E-2"/>
    <s v="Estatal"/>
  </r>
  <r>
    <x v="0"/>
    <s v="Nuevo León"/>
    <s v="19"/>
    <m/>
    <m/>
    <s v="19027"/>
    <s v="Los Herreras"/>
    <x v="0"/>
    <s v="Combustión Comercial"/>
    <n v="3.8094475642956285E-3"/>
    <n v="3.8094475642956285E-3"/>
    <n v="4.6827667184397607E-4"/>
    <n v="3.1202853121471075E-2"/>
    <n v="5.4783635251437764E-2"/>
    <n v="3.3346560587831685E-3"/>
    <n v="0"/>
    <s v="Estatal"/>
  </r>
  <r>
    <x v="0"/>
    <s v="Nuevo León"/>
    <s v="19"/>
    <m/>
    <m/>
    <s v="19028"/>
    <s v="Higueras"/>
    <x v="0"/>
    <s v="Combustión Comercial"/>
    <n v="1.9047237821478143E-3"/>
    <n v="1.9047237821478143E-3"/>
    <n v="2.3413833592198803E-4"/>
    <n v="1.5601426560735538E-2"/>
    <n v="2.7391817625718882E-2"/>
    <n v="1.6673280293915843E-3"/>
    <n v="0"/>
    <s v="Estatal"/>
  </r>
  <r>
    <x v="0"/>
    <s v="Nuevo León"/>
    <s v="19"/>
    <m/>
    <m/>
    <s v="19029"/>
    <s v="Hualahuises"/>
    <x v="0"/>
    <s v="Combustión Comercial"/>
    <n v="8.6307796378572842E-3"/>
    <n v="8.6307796378572842E-3"/>
    <n v="1.0609393346465083E-3"/>
    <n v="7.0693964103332896E-2"/>
    <n v="0.12411917361653869"/>
    <n v="7.5550801331806163E-3"/>
    <n v="0"/>
    <s v="Estatal"/>
  </r>
  <r>
    <x v="0"/>
    <s v="Nuevo León"/>
    <s v="19"/>
    <m/>
    <m/>
    <s v="19030"/>
    <s v="Iturbide"/>
    <x v="0"/>
    <s v="Combustión Comercial"/>
    <n v="2.1428142549162915E-3"/>
    <n v="2.1428142549162915E-3"/>
    <n v="2.6340562791223661E-4"/>
    <n v="1.7551604880827482E-2"/>
    <n v="3.0815794828933749E-2"/>
    <n v="1.8757440330655325E-3"/>
    <n v="0"/>
    <s v="Estatal"/>
  </r>
  <r>
    <x v="0"/>
    <s v="Nuevo León"/>
    <s v="19"/>
    <s v="19.01"/>
    <s v="Monterrey"/>
    <s v="19031"/>
    <s v="Juárez"/>
    <x v="0"/>
    <s v="Combustión Comercial"/>
    <n v="0.25051338676530843"/>
    <n v="0.25051338676530843"/>
    <n v="2.9316158219423721E-2"/>
    <n v="2.1481241798867847"/>
    <n v="3.5615191015132917"/>
    <n v="0.21419215216311713"/>
    <n v="2.1671517599843142E-3"/>
    <s v="Estatal"/>
  </r>
  <r>
    <x v="0"/>
    <s v="Nuevo León"/>
    <s v="19"/>
    <m/>
    <m/>
    <s v="19032"/>
    <s v="Lampazos de Naranjo"/>
    <x v="0"/>
    <s v="Combustión Comercial"/>
    <n v="1.0297412947236625E-2"/>
    <n v="1.0297412947236625E-2"/>
    <n v="1.2658103785782484E-3"/>
    <n v="8.4345212343976544E-2"/>
    <n v="0.14808701403904276"/>
    <n v="9.0139921588982558E-3"/>
    <n v="0"/>
    <s v="Estatal"/>
  </r>
  <r>
    <x v="0"/>
    <s v="Nuevo León"/>
    <s v="19"/>
    <m/>
    <m/>
    <s v="19033"/>
    <s v="Linares"/>
    <x v="0"/>
    <s v="Combustión Comercial"/>
    <n v="0.13850913253306144"/>
    <n v="0.13850913253306144"/>
    <n v="1.7026247115327072E-2"/>
    <n v="1.1345162377134876"/>
    <n v="1.9918987379702455"/>
    <n v="0.1212460101373193"/>
    <n v="0"/>
    <s v="Estatal"/>
  </r>
  <r>
    <x v="0"/>
    <s v="Nuevo León"/>
    <s v="19"/>
    <m/>
    <m/>
    <s v="19034"/>
    <s v="Marín"/>
    <x v="0"/>
    <s v="Combustión Comercial"/>
    <n v="4.1665832734483444E-3"/>
    <n v="4.1665832734483444E-3"/>
    <n v="5.1217760982934886E-4"/>
    <n v="3.412812060160899E-2"/>
    <n v="5.9919601056260055E-2"/>
    <n v="3.6472800642940906E-3"/>
    <n v="0"/>
    <s v="Estatal"/>
  </r>
  <r>
    <x v="0"/>
    <s v="Nuevo León"/>
    <s v="19"/>
    <m/>
    <m/>
    <s v="19035"/>
    <s v="Melchor Ocampo"/>
    <x v="0"/>
    <s v="Combustión Comercial"/>
    <n v="2.3809047276847678E-4"/>
    <n v="2.3809047276847678E-4"/>
    <n v="2.9267291990248504E-5"/>
    <n v="1.9501783200919422E-3"/>
    <n v="3.4239772032148602E-3"/>
    <n v="2.0841600367394803E-4"/>
    <n v="0"/>
    <s v="Estatal"/>
  </r>
  <r>
    <x v="0"/>
    <s v="Nuevo León"/>
    <s v="19"/>
    <m/>
    <m/>
    <s v="19036"/>
    <s v="Mier y Noriega"/>
    <x v="0"/>
    <s v="Combustión Comercial"/>
    <n v="1.9642464003399342E-3"/>
    <n v="1.9642464003399342E-3"/>
    <n v="2.4145515891955025E-4"/>
    <n v="1.6088971140758527E-2"/>
    <n v="2.8247811926522603E-2"/>
    <n v="1.7194320303100716E-3"/>
    <n v="0"/>
    <s v="Estatal"/>
  </r>
  <r>
    <x v="0"/>
    <s v="Nuevo León"/>
    <s v="19"/>
    <m/>
    <m/>
    <s v="19037"/>
    <s v="Mina"/>
    <x v="0"/>
    <s v="Combustión Comercial"/>
    <n v="8.0355534559360918E-3"/>
    <n v="8.0355534559360918E-3"/>
    <n v="9.8777110467088711E-4"/>
    <n v="6.5818518303103049E-2"/>
    <n v="0.11555923060850154"/>
    <n v="7.034040123995746E-3"/>
    <n v="0"/>
    <s v="Estatal"/>
  </r>
  <r>
    <x v="0"/>
    <s v="Nuevo León"/>
    <s v="19"/>
    <m/>
    <m/>
    <s v="19038"/>
    <s v="Montemorelos"/>
    <x v="0"/>
    <s v="Combustión Comercial"/>
    <n v="0.12100948278457833"/>
    <n v="0.12100948278457833"/>
    <n v="1.4875101154043805E-2"/>
    <n v="0.99117813118672971"/>
    <n v="1.7402364135339528"/>
    <n v="0.10592743386728409"/>
    <n v="0"/>
    <s v="Estatal"/>
  </r>
  <r>
    <x v="0"/>
    <s v="Nuevo León"/>
    <s v="19"/>
    <s v="19.01"/>
    <s v="Monterrey"/>
    <s v="19039"/>
    <s v="Monterrey"/>
    <x v="0"/>
    <s v="Combustión Comercial"/>
    <n v="4.3900339879415666"/>
    <n v="4.3900339879415666"/>
    <n v="0.51374073314378699"/>
    <n v="37.644048814272864"/>
    <n v="62.412592421634407"/>
    <n v="3.7535352505028361"/>
    <n v="3.797749096846275E-2"/>
    <s v="Estatal"/>
  </r>
  <r>
    <x v="0"/>
    <s v="Nuevo León"/>
    <s v="19"/>
    <m/>
    <m/>
    <s v="19040"/>
    <s v="Parás"/>
    <x v="0"/>
    <s v="Combustión Comercial"/>
    <n v="4.7618094553695357E-4"/>
    <n v="4.7618094553695357E-4"/>
    <n v="5.8534583980497009E-5"/>
    <n v="3.9003566401838844E-3"/>
    <n v="6.8479544064297205E-3"/>
    <n v="4.1683200734789606E-4"/>
    <n v="0"/>
    <s v="Estatal"/>
  </r>
  <r>
    <x v="0"/>
    <s v="Nuevo León"/>
    <s v="19"/>
    <s v="19.01"/>
    <s v="Monterrey"/>
    <s v="19041"/>
    <s v="Pesquería"/>
    <x v="0"/>
    <s v="Combustión Comercial"/>
    <n v="2.1655246111710259E-2"/>
    <n v="2.1655246111710259E-2"/>
    <n v="2.5341904059051788E-3"/>
    <n v="0.18569130534147565"/>
    <n v="0.30787006503202174"/>
    <n v="1.8515512604660236E-2"/>
    <n v="1.8733611536637178E-4"/>
    <s v="Estatal"/>
  </r>
  <r>
    <x v="0"/>
    <s v="Nuevo León"/>
    <s v="19"/>
    <m/>
    <m/>
    <s v="19042"/>
    <s v="Los Ramones"/>
    <x v="0"/>
    <s v="Combustión Comercial"/>
    <n v="2.9166082914138408E-3"/>
    <n v="2.9166082914138408E-3"/>
    <n v="3.5852432688054421E-4"/>
    <n v="2.3889684421126291E-2"/>
    <n v="4.1943720739382039E-2"/>
    <n v="2.5530960450058631E-3"/>
    <n v="0"/>
    <s v="Estatal"/>
  </r>
  <r>
    <x v="0"/>
    <s v="Nuevo León"/>
    <s v="19"/>
    <m/>
    <m/>
    <s v="19043"/>
    <s v="Rayones"/>
    <x v="0"/>
    <s v="Combustión Comercial"/>
    <n v="3.6308797097192713E-3"/>
    <n v="3.6308797097192713E-3"/>
    <n v="4.4632620285128978E-4"/>
    <n v="2.974021938140212E-2"/>
    <n v="5.2215652349026621E-2"/>
    <n v="3.1783440560277073E-3"/>
    <n v="0"/>
    <s v="Estatal"/>
  </r>
  <r>
    <x v="0"/>
    <s v="Nuevo León"/>
    <s v="19"/>
    <m/>
    <m/>
    <s v="19044"/>
    <s v="Sabinas Hidalgo"/>
    <x v="0"/>
    <s v="Combustión Comercial"/>
    <n v="9.0295811797444808E-2"/>
    <n v="9.0295811797444808E-2"/>
    <n v="1.1099620487301745E-2"/>
    <n v="0.7396051278948691"/>
    <n v="1.2985433543192357"/>
    <n v="7.9041769393344785E-2"/>
    <n v="0"/>
    <s v="Estatal"/>
  </r>
  <r>
    <x v="0"/>
    <s v="Nuevo León"/>
    <s v="19"/>
    <s v="19.01"/>
    <s v="Monterrey"/>
    <s v="19045"/>
    <s v="Salinas Victoria"/>
    <x v="0"/>
    <s v="Combustión Comercial"/>
    <n v="4.0491872888245524E-2"/>
    <n v="4.0491872888245524E-2"/>
    <n v="4.7385338065973033E-3"/>
    <n v="0.34721326617818782"/>
    <n v="0.57566815334558974"/>
    <n v="3.4621069600459929E-2"/>
    <n v="3.5028879984378726E-4"/>
    <s v="Estatal"/>
  </r>
  <r>
    <x v="0"/>
    <s v="Nuevo León"/>
    <s v="19"/>
    <s v="19.01"/>
    <s v="Monterrey"/>
    <s v="19046"/>
    <s v="San Nicolás de los Garza"/>
    <x v="0"/>
    <s v="Combustión Comercial"/>
    <n v="1.1669771515754972"/>
    <n v="1.1669771515754972"/>
    <n v="0.13656470520711242"/>
    <n v="10.006698121179522"/>
    <n v="16.590775726725614"/>
    <n v="0.99778040147335734"/>
    <n v="1.009533510585448E-2"/>
    <s v="Estatal"/>
  </r>
  <r>
    <x v="0"/>
    <s v="Nuevo León"/>
    <s v="19"/>
    <s v="19.01"/>
    <s v="Monterrey"/>
    <s v="19047"/>
    <s v="Hidalgo"/>
    <x v="0"/>
    <s v="Combustión Comercial"/>
    <n v="2.536757401657487E-2"/>
    <n v="2.536757401657487E-2"/>
    <n v="2.9686230469174947E-3"/>
    <n v="0.21752410054287147"/>
    <n v="0.36064779046608247"/>
    <n v="2.1689600479744844E-2"/>
    <n v="2.1945087800060692E-4"/>
    <s v="Estatal"/>
  </r>
  <r>
    <x v="0"/>
    <s v="Nuevo León"/>
    <s v="19"/>
    <s v="19.01"/>
    <s v="Monterrey"/>
    <s v="19048"/>
    <s v="Santa Catarina"/>
    <x v="0"/>
    <s v="Combustión Comercial"/>
    <n v="0.36779544983380913"/>
    <n v="0.36779544983380913"/>
    <n v="4.3041011655849858E-2"/>
    <n v="3.1538047097679196"/>
    <n v="5.2289042791152891"/>
    <n v="0.31446981725375328"/>
    <n v="3.1817403720955212E-3"/>
    <s v="Estatal"/>
  </r>
  <r>
    <x v="0"/>
    <s v="Nuevo León"/>
    <s v="19"/>
    <s v="19.01"/>
    <s v="Monterrey"/>
    <s v="19049"/>
    <s v="Santiago"/>
    <x v="0"/>
    <s v="Combustión Comercial"/>
    <n v="0.1506242673992291"/>
    <n v="0.1506242673992291"/>
    <n v="1.7626702156629356E-2"/>
    <n v="1.291586190486264"/>
    <n v="2.1414073412227284"/>
    <n v="0.12878567656130341"/>
    <n v="1.3030267579927635E-3"/>
    <s v="Estatal"/>
  </r>
  <r>
    <x v="0"/>
    <s v="Nuevo León"/>
    <s v="19"/>
    <m/>
    <m/>
    <s v="19050"/>
    <s v="Vallecillo"/>
    <x v="0"/>
    <s v="Combustión Comercial"/>
    <n v="6.4879653829409949E-3"/>
    <n v="6.4879653829409949E-3"/>
    <n v="7.9753370673427213E-4"/>
    <n v="5.3142359222505445E-2"/>
    <n v="9.3303378787604987E-2"/>
    <n v="5.6793361001150865E-3"/>
    <n v="0"/>
    <s v="Estatal"/>
  </r>
  <r>
    <x v="0"/>
    <s v="Nuevo León"/>
    <s v="19"/>
    <m/>
    <m/>
    <s v="19051"/>
    <s v="Villaldama"/>
    <x v="0"/>
    <s v="Combustión Comercial"/>
    <n v="1.2678317674921389E-2"/>
    <n v="1.2678317674921389E-2"/>
    <n v="1.558483298480733E-3"/>
    <n v="0.10384699554489593"/>
    <n v="0.18232678607119132"/>
    <n v="1.1098152195637732E-2"/>
    <n v="0"/>
    <s v="Estatal"/>
  </r>
  <r>
    <x v="0"/>
    <s v="Nuevo León"/>
    <s v="19"/>
    <s v="19.01"/>
    <s v="Monterrey"/>
    <s v="19001"/>
    <s v="Abasolo"/>
    <x v="0"/>
    <s v="Combustión Industrial"/>
    <n v="6.6445277512148376E-3"/>
    <n v="4.5197766783953231E-3"/>
    <n v="6.2397172599736126E-4"/>
    <n v="4.5503832723179073E-2"/>
    <n v="0.11126410242121723"/>
    <n v="2.4923701962187295E-3"/>
    <n v="2.2365800766521201E-3"/>
    <s v="Estatal"/>
  </r>
  <r>
    <x v="0"/>
    <s v="Nuevo León"/>
    <s v="19"/>
    <m/>
    <m/>
    <s v="19002"/>
    <s v="Agualeguas"/>
    <x v="0"/>
    <s v="Combustión Industrial"/>
    <n v="4.4955171565997966E-3"/>
    <n v="3.0579650446957477E-3"/>
    <n v="4.2216327547754846E-4"/>
    <n v="3.0786726816017566E-2"/>
    <n v="7.5278439653865228E-2"/>
    <n v="1.6862737875766643E-3"/>
    <n v="1.5132127493726827E-3"/>
    <s v="Estatal"/>
  </r>
  <r>
    <x v="0"/>
    <s v="Nuevo León"/>
    <s v="19"/>
    <m/>
    <m/>
    <s v="19003"/>
    <s v="Los Aldamas"/>
    <x v="0"/>
    <s v="Combustión Industrial"/>
    <n v="0"/>
    <n v="0"/>
    <n v="0"/>
    <n v="0"/>
    <n v="0"/>
    <n v="0"/>
    <n v="0"/>
    <s v="Estatal"/>
  </r>
  <r>
    <x v="0"/>
    <s v="Nuevo León"/>
    <s v="19"/>
    <m/>
    <m/>
    <s v="19004"/>
    <s v="Allende"/>
    <x v="0"/>
    <s v="Combustión Industrial"/>
    <n v="5.7834829853986372E-2"/>
    <n v="3.9340721411723595E-2"/>
    <n v="5.4311306924946859E-3"/>
    <n v="0.39607125168047597"/>
    <n v="0.96845715351419703"/>
    <n v="2.1693912890212892E-2"/>
    <n v="1.9467482570802917E-2"/>
    <s v="Estatal"/>
  </r>
  <r>
    <x v="0"/>
    <s v="Nuevo León"/>
    <s v="19"/>
    <m/>
    <m/>
    <s v="19005"/>
    <s v="Anáhuac"/>
    <x v="0"/>
    <s v="Combustión Industrial"/>
    <n v="5.2956262177155364E-2"/>
    <n v="3.6022195666130533E-2"/>
    <n v="4.9729960578473072E-3"/>
    <n v="0.36266127345371058"/>
    <n v="0.88676444727717063"/>
    <n v="1.9863956400717229E-2"/>
    <n v="1.782533316949983E-2"/>
    <s v="Estatal"/>
  </r>
  <r>
    <x v="0"/>
    <s v="Nuevo León"/>
    <s v="19"/>
    <s v="19.01"/>
    <s v="Monterrey"/>
    <s v="19006"/>
    <s v="Apodaca"/>
    <x v="0"/>
    <s v="Combustión Industrial"/>
    <n v="2.0166205838416027"/>
    <n v="1.3717565830547964"/>
    <n v="0.1893760209145624"/>
    <n v="13.810457138428017"/>
    <n v="33.768762444293117"/>
    <n v="0.75643675945654332"/>
    <n v="0.67880421135453284"/>
    <s v="Estatal"/>
  </r>
  <r>
    <x v="0"/>
    <s v="Nuevo León"/>
    <s v="19"/>
    <m/>
    <m/>
    <s v="19007"/>
    <s v="Aramberri"/>
    <x v="0"/>
    <s v="Combustión Industrial"/>
    <n v="1.0367771730812473E-2"/>
    <n v="7.0524218771281346E-3"/>
    <n v="9.7361267253928295E-4"/>
    <n v="7.100178796976804E-2"/>
    <n v="0.17361065510276646"/>
    <n v="3.8889634042617435E-3"/>
    <n v="3.4898419512466722E-3"/>
    <s v="Estatal"/>
  </r>
  <r>
    <x v="0"/>
    <s v="Nuevo León"/>
    <s v="19"/>
    <m/>
    <m/>
    <s v="19008"/>
    <s v="Bustamante"/>
    <x v="0"/>
    <s v="Combustión Industrial"/>
    <n v="1.397047885095444E-2"/>
    <n v="9.5030748400462758E-3"/>
    <n v="1.3119342905966325E-3"/>
    <n v="9.5674268585952266E-2"/>
    <n v="0.23393879112956467"/>
    <n v="5.240343094158462E-3"/>
    <n v="4.7025305377980707E-3"/>
    <s v="Estatal"/>
  </r>
  <r>
    <x v="0"/>
    <s v="Nuevo León"/>
    <s v="19"/>
    <s v="19.01"/>
    <s v="Monterrey"/>
    <s v="19009"/>
    <s v="Cadereyta Jiménez"/>
    <x v="0"/>
    <s v="Combustión Industrial"/>
    <n v="0.19598780589318812"/>
    <n v="0.13331588752322451"/>
    <n v="1.8404746596964644E-2"/>
    <n v="1.3421866337326958"/>
    <n v="3.281859618122958"/>
    <n v="7.3515257143921847E-2"/>
    <n v="6.5970440389435378E-2"/>
    <s v="Estatal"/>
  </r>
  <r>
    <x v="0"/>
    <s v="Nuevo León"/>
    <s v="19"/>
    <s v="19.01"/>
    <s v="Monterrey"/>
    <s v="19010"/>
    <s v="El Carmen"/>
    <x v="0"/>
    <s v="Combustión Industrial"/>
    <n v="0.10230142391299255"/>
    <n v="6.9588029018923012E-2"/>
    <n v="9.6068823008989453E-3"/>
    <n v="0.70059258616667486"/>
    <n v="1.7130602104883184"/>
    <n v="3.8373384766865221E-2"/>
    <n v="3.4435152520073196E-2"/>
    <s v="Estatal"/>
  </r>
  <r>
    <x v="0"/>
    <s v="Nuevo León"/>
    <s v="19"/>
    <m/>
    <m/>
    <s v="19011"/>
    <s v="Cerralvo"/>
    <x v="0"/>
    <s v="Combustión Industrial"/>
    <n v="7.929271181583375E-3"/>
    <n v="5.3936918175471853E-3"/>
    <n v="7.4461891203165252E-4"/>
    <n v="5.4302163069079819E-2"/>
    <n v="0.13277741833676529"/>
    <n v="2.9742789722115629E-3"/>
    <n v="2.6690309095117799E-3"/>
    <s v="Estatal"/>
  </r>
  <r>
    <x v="0"/>
    <s v="Nuevo León"/>
    <s v="19"/>
    <s v="19.01"/>
    <s v="Monterrey"/>
    <s v="19012"/>
    <s v="Ciénega de Flores"/>
    <x v="0"/>
    <s v="Combustión Industrial"/>
    <n v="8.6001419680762997E-2"/>
    <n v="5.8500351798656085E-2"/>
    <n v="8.0761878474535503E-3"/>
    <n v="0.58896498918133999"/>
    <n v="1.4401129961389652"/>
    <n v="3.225923395468442E-2"/>
    <n v="2.8948492507480963E-2"/>
    <s v="Estatal"/>
  </r>
  <r>
    <x v="0"/>
    <s v="Nuevo León"/>
    <s v="19"/>
    <m/>
    <m/>
    <s v="19013"/>
    <s v="China"/>
    <x v="0"/>
    <s v="Combustión Industrial"/>
    <n v="2.7859954696988889E-2"/>
    <n v="1.8951049377072461E-2"/>
    <n v="2.616261782533773E-3"/>
    <n v="0.19079380291177894"/>
    <n v="0.46652116883543693"/>
    <n v="1.0450301865634271E-2"/>
    <n v="9.3777950735962415E-3"/>
    <s v="Estatal"/>
  </r>
  <r>
    <x v="0"/>
    <s v="Nuevo León"/>
    <s v="19"/>
    <m/>
    <m/>
    <s v="19014"/>
    <s v="Doctor Arroyo"/>
    <x v="0"/>
    <s v="Combustión Industrial"/>
    <n v="5.1026391591401099E-2"/>
    <n v="3.4709448636935196E-2"/>
    <n v="4.7917665219898544E-3"/>
    <n v="0.34944490780673287"/>
    <n v="0.85444833294176159"/>
    <n v="1.9140059667858568E-2"/>
    <n v="1.7175729425753586E-2"/>
    <s v="Estatal"/>
  </r>
  <r>
    <x v="0"/>
    <s v="Nuevo León"/>
    <s v="19"/>
    <m/>
    <m/>
    <s v="19015"/>
    <s v="Doctor Coss"/>
    <x v="0"/>
    <s v="Combustión Industrial"/>
    <n v="1.16420657091287E-3"/>
    <n v="7.9192290333718958E-4"/>
    <n v="1.0932785754971939E-4"/>
    <n v="7.9728557154960227E-3"/>
    <n v="1.9494899260797057E-2"/>
    <n v="4.3669525784653852E-4"/>
    <n v="3.9187754481650582E-4"/>
    <s v="Estatal"/>
  </r>
  <r>
    <x v="0"/>
    <s v="Nuevo León"/>
    <s v="19"/>
    <m/>
    <m/>
    <s v="19016"/>
    <s v="Doctor González"/>
    <x v="0"/>
    <s v="Combustión Industrial"/>
    <n v="1.4860226123897414E-2"/>
    <n v="1.0108303552226494E-2"/>
    <n v="1.3954883312127121E-3"/>
    <n v="0.10176754001017041"/>
    <n v="0.24883780809696704"/>
    <n v="5.5740883456316791E-3"/>
    <n v="5.0020237596536E-3"/>
    <s v="Estatal"/>
  </r>
  <r>
    <x v="0"/>
    <s v="Nuevo León"/>
    <s v="19"/>
    <m/>
    <m/>
    <s v="19017"/>
    <s v="Galeana"/>
    <x v="0"/>
    <s v="Combustión Industrial"/>
    <n v="9.7856684453560393E-3"/>
    <n v="6.6564604254595412E-3"/>
    <n v="9.1894874376442326E-4"/>
    <n v="6.7015360112020028E-2"/>
    <n v="0.16386320547236793"/>
    <n v="3.6706157753384743E-3"/>
    <n v="3.2939031788384188E-3"/>
    <s v="Estatal"/>
  </r>
  <r>
    <x v="0"/>
    <s v="Nuevo León"/>
    <s v="19"/>
    <s v="19.01"/>
    <s v="Monterrey"/>
    <s v="19018"/>
    <s v="García"/>
    <x v="0"/>
    <s v="Combustión Industrial"/>
    <n v="0.38145292655753155"/>
    <n v="0.259473977070102"/>
    <n v="3.5821332964909448E-2"/>
    <n v="2.61231058274495"/>
    <n v="6.387514519991349"/>
    <n v="0.14308344264776085"/>
    <n v="0.12839889419729428"/>
    <s v="Estatal"/>
  </r>
  <r>
    <x v="0"/>
    <s v="Nuevo León"/>
    <s v="19"/>
    <s v="19.01"/>
    <s v="Monterrey"/>
    <s v="19019"/>
    <s v="San Pedro Garza García"/>
    <x v="0"/>
    <s v="Combustión Industrial"/>
    <n v="0.24486082064501399"/>
    <n v="0.16656055449564949"/>
    <n v="2.2994294644802314E-2"/>
    <n v="1.6768845342024385"/>
    <n v="4.1002491745495382"/>
    <n v="9.1847582619504126E-2"/>
    <n v="8.242133278880473E-2"/>
    <s v="Estatal"/>
  </r>
  <r>
    <x v="0"/>
    <s v="Nuevo León"/>
    <s v="19"/>
    <m/>
    <m/>
    <s v="19020"/>
    <s v="General Bravo"/>
    <x v="0"/>
    <s v="Combustión Industrial"/>
    <n v="1.1279896779699696E-2"/>
    <n v="7.6728725213423788E-3"/>
    <n v="1.0592681566292592E-3"/>
    <n v="7.7248309498645279E-2"/>
    <n v="0.18888439293037818"/>
    <n v="4.2311025858846095E-3"/>
    <n v="3.7968676403761239E-3"/>
    <s v="Estatal"/>
  </r>
  <r>
    <x v="0"/>
    <s v="Nuevo León"/>
    <s v="19"/>
    <s v="19.01"/>
    <s v="Monterrey"/>
    <s v="19021"/>
    <s v="General Escobedo"/>
    <x v="0"/>
    <s v="Combustión Industrial"/>
    <n v="0.74715214646356376"/>
    <n v="0.50823188242107997"/>
    <n v="7.0163272976964564E-2"/>
    <n v="5.1167347875439599"/>
    <n v="12.511229700734585"/>
    <n v="0.28025765135019109"/>
    <n v="0.25149501478156189"/>
    <s v="Estatal"/>
  </r>
  <r>
    <x v="0"/>
    <s v="Nuevo León"/>
    <s v="19"/>
    <m/>
    <m/>
    <s v="19022"/>
    <s v="General Terán"/>
    <x v="0"/>
    <s v="Combustión Industrial"/>
    <n v="2.1759898160652755E-2"/>
    <n v="1.4801635859342152E-2"/>
    <n v="2.043420047473936E-3"/>
    <n v="0.14901868169558347"/>
    <n v="0.36437435861103429"/>
    <n v="8.16216346428081E-3"/>
    <n v="7.3244866329585283E-3"/>
    <s v="Estatal"/>
  </r>
  <r>
    <x v="0"/>
    <s v="Nuevo León"/>
    <s v="19"/>
    <m/>
    <m/>
    <s v="19023"/>
    <s v="General Treviño"/>
    <x v="0"/>
    <s v="Combustión Industrial"/>
    <n v="5.8210328545643501E-4"/>
    <n v="3.9596145166859479E-4"/>
    <n v="5.4663928774859696E-5"/>
    <n v="3.9864278577480114E-3"/>
    <n v="9.7474496303985286E-3"/>
    <n v="2.1834762892326926E-4"/>
    <n v="1.9593877240825291E-4"/>
    <s v="Estatal"/>
  </r>
  <r>
    <x v="0"/>
    <s v="Nuevo León"/>
    <s v="19"/>
    <m/>
    <m/>
    <s v="19024"/>
    <s v="General Zaragoza"/>
    <x v="0"/>
    <s v="Combustión Industrial"/>
    <n v="6.8751520180738634E-3"/>
    <n v="4.6766531671165665E-3"/>
    <n v="6.4562909989012481E-4"/>
    <n v="4.7083220823279974E-2"/>
    <n v="0.1151259573203753"/>
    <n v="2.5788776307221276E-3"/>
    <n v="2.3142093167971543E-3"/>
    <s v="Estatal"/>
  </r>
  <r>
    <x v="0"/>
    <s v="Nuevo León"/>
    <s v="19"/>
    <s v="19.01"/>
    <s v="Monterrey"/>
    <s v="19025"/>
    <s v="General Zuazua"/>
    <x v="0"/>
    <s v="Combustión Industrial"/>
    <n v="0.29519979715353295"/>
    <n v="0.20080240591931098"/>
    <n v="2.7721507658732221E-2"/>
    <n v="2.0216218055729867"/>
    <n v="4.9431865882730452"/>
    <n v="0.11072979207901741"/>
    <n v="9.9365674983391564E-2"/>
    <s v="Estatal"/>
  </r>
  <r>
    <x v="0"/>
    <s v="Nuevo León"/>
    <s v="19"/>
    <s v="19.01"/>
    <s v="Monterrey"/>
    <s v="19026"/>
    <s v="Guadalupe"/>
    <x v="0"/>
    <s v="Combustión Industrial"/>
    <n v="1.7860534493387532"/>
    <n v="1.2149189572145125"/>
    <n v="0.16772401218486677"/>
    <n v="12.231460298816327"/>
    <n v="29.907864239209804"/>
    <n v="0.66995075536733006"/>
    <n v="0.60119420223604314"/>
    <s v="Estatal"/>
  </r>
  <r>
    <x v="0"/>
    <s v="Nuevo León"/>
    <s v="19"/>
    <m/>
    <m/>
    <s v="19027"/>
    <s v="Los Herreras"/>
    <x v="0"/>
    <s v="Combustión Industrial"/>
    <n v="1.746309856369305E-3"/>
    <n v="1.1878843550057845E-3"/>
    <n v="1.6399178632457907E-4"/>
    <n v="1.1959283573244033E-2"/>
    <n v="2.9242348891195584E-2"/>
    <n v="6.5504288676980775E-4"/>
    <n v="5.8781631722475884E-4"/>
    <s v="Estatal"/>
  </r>
  <r>
    <x v="0"/>
    <s v="Nuevo León"/>
    <s v="19"/>
    <m/>
    <m/>
    <s v="19028"/>
    <s v="Higueras"/>
    <x v="0"/>
    <s v="Combustión Industrial"/>
    <n v="2.5483474978531704E-3"/>
    <n v="1.7334507463134569E-3"/>
    <n v="2.3930922500636374E-4"/>
    <n v="1.7451891632425102E-2"/>
    <n v="4.2672648474400221E-2"/>
    <n v="9.5588815203557034E-4"/>
    <n v="8.5778605425232998E-4"/>
    <s v="Estatal"/>
  </r>
  <r>
    <x v="0"/>
    <s v="Nuevo León"/>
    <s v="19"/>
    <m/>
    <m/>
    <s v="19029"/>
    <s v="Hualahuises"/>
    <x v="0"/>
    <s v="Combustión Industrial"/>
    <n v="1.8627064675826636E-2"/>
    <n v="1.267060288722097E-2"/>
    <n v="1.749223139886052E-3"/>
    <n v="0.12756404470997709"/>
    <n v="0.31191436163674496"/>
    <n v="6.9870339291729037E-3"/>
    <n v="6.2699597774796504E-3"/>
    <s v="Estatal"/>
  </r>
  <r>
    <x v="0"/>
    <s v="Nuevo León"/>
    <s v="19"/>
    <m/>
    <m/>
    <s v="19030"/>
    <s v="Iturbide"/>
    <x v="0"/>
    <s v="Combustión Industrial"/>
    <n v="2.9105164272821751E-3"/>
    <n v="1.9798072583429738E-3"/>
    <n v="2.7331964387429845E-4"/>
    <n v="1.9932139288740058E-2"/>
    <n v="4.8737248151992651E-2"/>
    <n v="1.0917381446163463E-3"/>
    <n v="9.7969386204126456E-4"/>
    <s v="Estatal"/>
  </r>
  <r>
    <x v="0"/>
    <s v="Nuevo León"/>
    <s v="19"/>
    <s v="19.01"/>
    <s v="Monterrey"/>
    <s v="19031"/>
    <s v="Juárez"/>
    <x v="0"/>
    <s v="Combustión Industrial"/>
    <n v="0.22604814514688298"/>
    <n v="0.1537636944089224"/>
    <n v="2.1227641236055417E-2"/>
    <n v="1.5480493677324227"/>
    <n v="3.7852267182043948"/>
    <n v="8.4790925851970358E-2"/>
    <n v="7.6088895513642729E-2"/>
    <s v="Estatal"/>
  </r>
  <r>
    <x v="0"/>
    <s v="Nuevo León"/>
    <s v="19"/>
    <m/>
    <m/>
    <s v="19032"/>
    <s v="Lampazos de Naranjo"/>
    <x v="0"/>
    <s v="Combustión Industrial"/>
    <n v="8.712234269417132E-3"/>
    <n v="5.9262832125922876E-3"/>
    <n v="8.1814510495311797E-4"/>
    <n v="5.9664142537176279E-2"/>
    <n v="0.14588831025543325"/>
    <n v="3.2679693499061187E-3"/>
    <n v="2.9325800598156266E-3"/>
    <s v="Estatal"/>
  </r>
  <r>
    <x v="0"/>
    <s v="Nuevo León"/>
    <s v="19"/>
    <m/>
    <m/>
    <s v="19033"/>
    <s v="Linares"/>
    <x v="0"/>
    <s v="Combustión Industrial"/>
    <n v="0.18657127064619269"/>
    <n v="0.1269105208825515"/>
    <n v="1.7520462269924476E-2"/>
    <n v="1.2776992147986928"/>
    <n v="3.1241776305681399"/>
    <n v="6.9983103666654251E-2"/>
    <n v="6.2800789224885467E-2"/>
    <s v="Estatal"/>
  </r>
  <r>
    <x v="0"/>
    <s v="Nuevo León"/>
    <s v="19"/>
    <m/>
    <m/>
    <s v="19034"/>
    <s v="Marín"/>
    <x v="0"/>
    <s v="Combustión Industrial"/>
    <n v="2.0866867696290557E-2"/>
    <n v="1.4194173836900779E-2"/>
    <n v="1.959557690195885E-3"/>
    <n v="0.14290292593557319"/>
    <n v="0.3494203638694372"/>
    <n v="7.8271866838339581E-3"/>
    <n v="7.0238882730418728E-3"/>
    <s v="Estatal"/>
  </r>
  <r>
    <x v="0"/>
    <s v="Nuevo León"/>
    <s v="19"/>
    <m/>
    <m/>
    <s v="19035"/>
    <s v="Melchor Ocampo"/>
    <x v="0"/>
    <s v="Combustión Industrial"/>
    <n v="5.8210328545643501E-4"/>
    <n v="3.9596145166859479E-4"/>
    <n v="5.4663928774859696E-5"/>
    <n v="3.9864278577480114E-3"/>
    <n v="9.7474496303985286E-3"/>
    <n v="2.1834762892326926E-4"/>
    <n v="1.9593877240825291E-4"/>
    <s v="Estatal"/>
  </r>
  <r>
    <x v="0"/>
    <s v="Nuevo León"/>
    <s v="19"/>
    <m/>
    <m/>
    <s v="19036"/>
    <s v="Mier y Noriega"/>
    <x v="0"/>
    <s v="Combustión Industrial"/>
    <n v="2.9105164272821751E-3"/>
    <n v="1.9798072583429738E-3"/>
    <n v="2.7331964387429845E-4"/>
    <n v="1.9932139288740058E-2"/>
    <n v="4.8737248151992651E-2"/>
    <n v="1.0917381446163463E-3"/>
    <n v="9.7969386204126456E-4"/>
    <s v="Estatal"/>
  </r>
  <r>
    <x v="0"/>
    <s v="Nuevo León"/>
    <s v="19"/>
    <m/>
    <m/>
    <s v="19037"/>
    <s v="Mina"/>
    <x v="0"/>
    <s v="Combustión Industrial"/>
    <n v="1.746309856369305E-3"/>
    <n v="1.1878843550057845E-3"/>
    <n v="1.6399178632457907E-4"/>
    <n v="1.1959283573244033E-2"/>
    <n v="2.9242348891195584E-2"/>
    <n v="6.5504288676980775E-4"/>
    <n v="5.8781631722475884E-4"/>
    <s v="Estatal"/>
  </r>
  <r>
    <x v="0"/>
    <s v="Nuevo León"/>
    <s v="19"/>
    <m/>
    <m/>
    <s v="19038"/>
    <s v="Montemorelos"/>
    <x v="0"/>
    <s v="Combustión Industrial"/>
    <n v="0.10821414697602122"/>
    <n v="7.3610013546145589E-2"/>
    <n v="1.0162131997057993E-2"/>
    <n v="0.74108478836258695"/>
    <n v="1.8120700798282177"/>
    <n v="4.0591254161434824E-2"/>
    <n v="3.6425403610395396E-2"/>
    <s v="Estatal"/>
  </r>
  <r>
    <x v="0"/>
    <s v="Nuevo León"/>
    <s v="19"/>
    <s v="19.01"/>
    <s v="Monterrey"/>
    <s v="19039"/>
    <s v="Monterrey"/>
    <x v="0"/>
    <s v="Combustión Industrial"/>
    <n v="3.4911414425132739"/>
    <n v="2.3747631530270832"/>
    <n v="0.32784475182418304"/>
    <n v="23.908443483291531"/>
    <n v="58.459943817035551"/>
    <n v="1.3095312726345798"/>
    <n v="1.1751350415644113"/>
    <s v="Estatal"/>
  </r>
  <r>
    <x v="0"/>
    <s v="Nuevo León"/>
    <s v="19"/>
    <m/>
    <m/>
    <s v="19040"/>
    <s v="Parás"/>
    <x v="0"/>
    <s v="Combustión Industrial"/>
    <n v="0"/>
    <n v="0"/>
    <n v="0"/>
    <n v="0"/>
    <n v="0"/>
    <n v="0"/>
    <n v="0"/>
    <s v="Estatal"/>
  </r>
  <r>
    <x v="0"/>
    <s v="Nuevo León"/>
    <s v="19"/>
    <s v="19.01"/>
    <s v="Monterrey"/>
    <s v="19041"/>
    <s v="Pesquería"/>
    <x v="0"/>
    <s v="Combustión Industrial"/>
    <n v="0.11488913185882299"/>
    <n v="7.8150507939658026E-2"/>
    <n v="1.0788963879514444E-2"/>
    <n v="0.78679720117946883"/>
    <n v="1.9238441937258302"/>
    <n v="4.3095048863633786E-2"/>
    <n v="3.8672235704384161E-2"/>
    <s v="Estatal"/>
  </r>
  <r>
    <x v="0"/>
    <s v="Nuevo León"/>
    <s v="19"/>
    <m/>
    <m/>
    <s v="19042"/>
    <s v="Los Ramones"/>
    <x v="0"/>
    <s v="Combustión Industrial"/>
    <n v="3.1304507833096054E-3"/>
    <n v="2.1294121979820516E-3"/>
    <n v="2.9397315378122349E-4"/>
    <n v="2.1438319490173115E-2"/>
    <n v="5.2420098104798751E-2"/>
    <n v="1.1742357809588395E-3"/>
    <n v="1.0537248266605827E-3"/>
    <s v="Estatal"/>
  </r>
  <r>
    <x v="0"/>
    <s v="Nuevo León"/>
    <s v="19"/>
    <m/>
    <m/>
    <s v="19043"/>
    <s v="Rayones"/>
    <x v="0"/>
    <s v="Combustión Industrial"/>
    <n v="1.746309856369305E-3"/>
    <n v="1.1878843550057845E-3"/>
    <n v="1.6399178632457907E-4"/>
    <n v="1.1959283573244033E-2"/>
    <n v="2.9242348891195584E-2"/>
    <n v="6.5504288676980775E-4"/>
    <n v="5.8781631722475884E-4"/>
    <s v="Estatal"/>
  </r>
  <r>
    <x v="0"/>
    <s v="Nuevo León"/>
    <s v="19"/>
    <m/>
    <m/>
    <s v="19044"/>
    <s v="Sabinas Hidalgo"/>
    <x v="0"/>
    <s v="Combustión Industrial"/>
    <n v="9.260263811594717E-2"/>
    <n v="6.2990668379376766E-2"/>
    <n v="8.6960924990571765E-3"/>
    <n v="0.63417222597689205"/>
    <n v="1.5506518743824751"/>
    <n v="3.4735358775379852E-2"/>
    <n v="3.1170494459547796E-2"/>
    <s v="Estatal"/>
  </r>
  <r>
    <x v="0"/>
    <s v="Nuevo León"/>
    <s v="19"/>
    <s v="19.01"/>
    <s v="Monterrey"/>
    <s v="19045"/>
    <s v="Salinas Victoria"/>
    <x v="0"/>
    <s v="Combustión Industrial"/>
    <n v="0.10868334462161386"/>
    <n v="7.3929173711549362E-2"/>
    <n v="1.020619322694763E-2"/>
    <n v="0.74429800260121426"/>
    <n v="1.8199268992817101"/>
    <n v="4.0767250751681181E-2"/>
    <n v="3.6583337800067901E-2"/>
    <s v="Estatal"/>
  </r>
  <r>
    <x v="0"/>
    <s v="Nuevo León"/>
    <s v="19"/>
    <s v="19.01"/>
    <s v="Monterrey"/>
    <s v="19046"/>
    <s v="San Nicolás de los Garza"/>
    <x v="0"/>
    <s v="Combustión Industrial"/>
    <n v="1.2834156332641311"/>
    <n v="0.87301193780921715"/>
    <n v="0.12052249578059197"/>
    <n v="8.789237170344645"/>
    <n v="21.491081656237121"/>
    <n v="0.48141071773293026"/>
    <n v="0.43200388995254113"/>
    <s v="Estatal"/>
  </r>
  <r>
    <x v="0"/>
    <s v="Nuevo León"/>
    <s v="19"/>
    <s v="19.01"/>
    <s v="Monterrey"/>
    <s v="19047"/>
    <s v="Hidalgo"/>
    <x v="0"/>
    <s v="Combustión Industrial"/>
    <n v="1.7378767842929368E-2"/>
    <n v="1.182147965013128E-2"/>
    <n v="1.6319985667420029E-3"/>
    <n v="0.11901531221914716"/>
    <n v="0.29101135214262863"/>
    <n v="6.518796314877659E-3"/>
    <n v="5.8497770450506199E-3"/>
    <s v="Estatal"/>
  </r>
  <r>
    <x v="0"/>
    <s v="Nuevo León"/>
    <s v="19"/>
    <s v="19.01"/>
    <s v="Monterrey"/>
    <s v="19048"/>
    <s v="Santa Catarina"/>
    <x v="0"/>
    <s v="Combustión Industrial"/>
    <n v="1.1308754411666695"/>
    <n v="0.76925022161591872"/>
    <n v="0.1061978107900567"/>
    <n v="7.7445935711820963"/>
    <n v="18.936762042810706"/>
    <n v="0.42419271176709122"/>
    <n v="0.38065812584289566"/>
    <s v="Estatal"/>
  </r>
  <r>
    <x v="0"/>
    <s v="Nuevo León"/>
    <s v="19"/>
    <s v="19.01"/>
    <s v="Monterrey"/>
    <s v="19049"/>
    <s v="Santiago"/>
    <x v="0"/>
    <s v="Combustión Industrial"/>
    <n v="7.4510400946043776E-2"/>
    <n v="5.0683868756848945E-2"/>
    <n v="6.9970937324414098E-3"/>
    <n v="0.51027084959738234"/>
    <n v="1.2476933188804624"/>
    <n v="2.7948939274468967E-2"/>
    <n v="2.5080560199152453E-2"/>
    <s v="Estatal"/>
  </r>
  <r>
    <x v="0"/>
    <s v="Nuevo León"/>
    <s v="19"/>
    <m/>
    <m/>
    <s v="19050"/>
    <s v="Vallecillo"/>
    <x v="0"/>
    <s v="Combustión Industrial"/>
    <n v="1.3650663732901909E-3"/>
    <n v="9.2855284671369592E-4"/>
    <n v="1.2819012169632503E-4"/>
    <n v="9.3484073258444551E-3"/>
    <n v="2.2858341549066477E-2"/>
    <n v="5.120380066178247E-4"/>
    <n v="4.5948792271210005E-4"/>
    <s v="Estatal"/>
  </r>
  <r>
    <x v="0"/>
    <s v="Nuevo León"/>
    <s v="19"/>
    <m/>
    <m/>
    <s v="19051"/>
    <s v="Villaldama"/>
    <x v="0"/>
    <s v="Combustión Industrial"/>
    <n v="9.5733612366453499E-3"/>
    <n v="6.5120436653052418E-3"/>
    <n v="8.9901148103921748E-4"/>
    <n v="6.5561413033639646E-2"/>
    <n v="0.16030807380624917"/>
    <n v="3.5909790909501573E-3"/>
    <n v="3.2224395487790622E-3"/>
    <s v="Estatal"/>
  </r>
  <r>
    <x v="0"/>
    <s v="Nuevo León"/>
    <s v="19"/>
    <s v="19.01"/>
    <s v="Monterrey"/>
    <s v="19001"/>
    <s v="Abasolo"/>
    <x v="1"/>
    <s v="Artes gráficas"/>
    <m/>
    <m/>
    <m/>
    <m/>
    <m/>
    <n v="0"/>
    <m/>
    <s v="Estatal"/>
  </r>
  <r>
    <x v="0"/>
    <s v="Nuevo León"/>
    <s v="19"/>
    <m/>
    <m/>
    <s v="19002"/>
    <s v="Agualeguas"/>
    <x v="1"/>
    <s v="Artes gráficas"/>
    <m/>
    <m/>
    <m/>
    <m/>
    <m/>
    <n v="0"/>
    <m/>
    <s v="Estatal"/>
  </r>
  <r>
    <x v="0"/>
    <s v="Nuevo León"/>
    <s v="19"/>
    <m/>
    <m/>
    <s v="19003"/>
    <s v="Los Aldamas"/>
    <x v="1"/>
    <s v="Artes gráficas"/>
    <m/>
    <m/>
    <m/>
    <m/>
    <m/>
    <n v="0"/>
    <m/>
    <s v="Estatal"/>
  </r>
  <r>
    <x v="0"/>
    <s v="Nuevo León"/>
    <s v="19"/>
    <m/>
    <m/>
    <s v="19004"/>
    <s v="Allende"/>
    <x v="1"/>
    <s v="Artes gráficas"/>
    <m/>
    <m/>
    <m/>
    <m/>
    <m/>
    <n v="12.022849715537189"/>
    <m/>
    <s v="Estatal"/>
  </r>
  <r>
    <x v="0"/>
    <s v="Nuevo León"/>
    <s v="19"/>
    <m/>
    <m/>
    <s v="19005"/>
    <s v="Anáhuac"/>
    <x v="1"/>
    <s v="Artes gráficas"/>
    <m/>
    <m/>
    <m/>
    <m/>
    <m/>
    <n v="1.9629142392713781"/>
    <m/>
    <s v="Estatal"/>
  </r>
  <r>
    <x v="0"/>
    <s v="Nuevo León"/>
    <s v="19"/>
    <s v="19.01"/>
    <s v="Monterrey"/>
    <s v="19006"/>
    <s v="Apodaca"/>
    <x v="1"/>
    <s v="Artes gráficas"/>
    <m/>
    <m/>
    <m/>
    <m/>
    <m/>
    <n v="258.95253312481799"/>
    <m/>
    <s v="Estatal"/>
  </r>
  <r>
    <x v="0"/>
    <s v="Nuevo León"/>
    <s v="19"/>
    <m/>
    <m/>
    <s v="19007"/>
    <s v="Aramberri"/>
    <x v="1"/>
    <s v="Artes gráficas"/>
    <m/>
    <m/>
    <m/>
    <m/>
    <m/>
    <n v="0.98145711963568905"/>
    <m/>
    <s v="Estatal"/>
  </r>
  <r>
    <x v="0"/>
    <s v="Nuevo León"/>
    <s v="19"/>
    <m/>
    <m/>
    <s v="19008"/>
    <s v="Bustamante"/>
    <x v="1"/>
    <s v="Artes gráficas"/>
    <m/>
    <m/>
    <m/>
    <m/>
    <m/>
    <n v="0"/>
    <m/>
    <s v="Estatal"/>
  </r>
  <r>
    <x v="0"/>
    <s v="Nuevo León"/>
    <s v="19"/>
    <s v="19.01"/>
    <s v="Monterrey"/>
    <s v="19009"/>
    <s v="Cadereyta Jiménez"/>
    <x v="1"/>
    <s v="Artes gráficas"/>
    <m/>
    <m/>
    <m/>
    <m/>
    <m/>
    <n v="11.041392595901499"/>
    <m/>
    <s v="Estatal"/>
  </r>
  <r>
    <x v="0"/>
    <s v="Nuevo León"/>
    <s v="19"/>
    <s v="19.01"/>
    <s v="Monterrey"/>
    <s v="19010"/>
    <s v="El Carmen"/>
    <x v="1"/>
    <s v="Artes gráficas"/>
    <m/>
    <m/>
    <m/>
    <m/>
    <m/>
    <n v="1.9629142392713781"/>
    <m/>
    <s v="Estatal"/>
  </r>
  <r>
    <x v="0"/>
    <s v="Nuevo León"/>
    <s v="19"/>
    <m/>
    <m/>
    <s v="19011"/>
    <s v="Cerralvo"/>
    <x v="1"/>
    <s v="Artes gráficas"/>
    <m/>
    <m/>
    <m/>
    <m/>
    <m/>
    <n v="0"/>
    <m/>
    <s v="Estatal"/>
  </r>
  <r>
    <x v="0"/>
    <s v="Nuevo León"/>
    <s v="19"/>
    <s v="19.01"/>
    <s v="Monterrey"/>
    <s v="19012"/>
    <s v="Ciénega de Flores"/>
    <x v="1"/>
    <s v="Artes gráficas"/>
    <m/>
    <m/>
    <m/>
    <m/>
    <m/>
    <n v="0"/>
    <m/>
    <s v="Estatal"/>
  </r>
  <r>
    <x v="0"/>
    <s v="Nuevo León"/>
    <s v="19"/>
    <m/>
    <m/>
    <s v="19013"/>
    <s v="China"/>
    <x v="1"/>
    <s v="Artes gráficas"/>
    <m/>
    <m/>
    <m/>
    <m/>
    <m/>
    <n v="0.98145711963568905"/>
    <m/>
    <s v="Estatal"/>
  </r>
  <r>
    <x v="0"/>
    <s v="Nuevo León"/>
    <s v="19"/>
    <m/>
    <m/>
    <s v="19014"/>
    <s v="Doctor Arroyo"/>
    <x v="1"/>
    <s v="Artes gráficas"/>
    <m/>
    <m/>
    <m/>
    <m/>
    <m/>
    <n v="2.944371358907067"/>
    <m/>
    <s v="Estatal"/>
  </r>
  <r>
    <x v="0"/>
    <s v="Nuevo León"/>
    <s v="19"/>
    <m/>
    <m/>
    <s v="19015"/>
    <s v="Doctor Coss"/>
    <x v="1"/>
    <s v="Artes gráficas"/>
    <m/>
    <m/>
    <m/>
    <m/>
    <m/>
    <n v="0"/>
    <m/>
    <s v="Estatal"/>
  </r>
  <r>
    <x v="0"/>
    <s v="Nuevo León"/>
    <s v="19"/>
    <m/>
    <m/>
    <s v="19016"/>
    <s v="Doctor González"/>
    <x v="1"/>
    <s v="Artes gráficas"/>
    <m/>
    <m/>
    <m/>
    <m/>
    <m/>
    <n v="0"/>
    <m/>
    <s v="Estatal"/>
  </r>
  <r>
    <x v="0"/>
    <s v="Nuevo León"/>
    <s v="19"/>
    <m/>
    <m/>
    <s v="19017"/>
    <s v="Galeana"/>
    <x v="1"/>
    <s v="Artes gráficas"/>
    <m/>
    <m/>
    <m/>
    <m/>
    <m/>
    <n v="0.98145711963568905"/>
    <m/>
    <s v="Estatal"/>
  </r>
  <r>
    <x v="0"/>
    <s v="Nuevo León"/>
    <s v="19"/>
    <s v="19.01"/>
    <s v="Monterrey"/>
    <s v="19018"/>
    <s v="García"/>
    <x v="1"/>
    <s v="Artes gráficas"/>
    <m/>
    <m/>
    <m/>
    <m/>
    <m/>
    <n v="4.9072855981784453"/>
    <m/>
    <s v="Estatal"/>
  </r>
  <r>
    <x v="0"/>
    <s v="Nuevo León"/>
    <s v="19"/>
    <s v="19.01"/>
    <s v="Monterrey"/>
    <s v="19019"/>
    <s v="San Pedro Garza García"/>
    <x v="1"/>
    <s v="Artes gráficas"/>
    <m/>
    <m/>
    <m/>
    <m/>
    <m/>
    <n v="30.425170708706354"/>
    <m/>
    <s v="Estatal"/>
  </r>
  <r>
    <x v="0"/>
    <s v="Nuevo León"/>
    <s v="19"/>
    <m/>
    <m/>
    <s v="19020"/>
    <s v="General Bravo"/>
    <x v="1"/>
    <s v="Artes gráficas"/>
    <m/>
    <m/>
    <m/>
    <m/>
    <m/>
    <n v="1.9629142392713781"/>
    <m/>
    <s v="Estatal"/>
  </r>
  <r>
    <x v="0"/>
    <s v="Nuevo León"/>
    <s v="19"/>
    <s v="19.01"/>
    <s v="Monterrey"/>
    <s v="19021"/>
    <s v="General Escobedo"/>
    <x v="1"/>
    <s v="Artes gráficas"/>
    <m/>
    <m/>
    <m/>
    <m/>
    <m/>
    <n v="73.118555412858839"/>
    <m/>
    <s v="Estatal"/>
  </r>
  <r>
    <x v="0"/>
    <s v="Nuevo León"/>
    <s v="19"/>
    <m/>
    <m/>
    <s v="19022"/>
    <s v="General Terán"/>
    <x v="1"/>
    <s v="Artes gráficas"/>
    <m/>
    <m/>
    <m/>
    <m/>
    <m/>
    <n v="0.98145711963568905"/>
    <m/>
    <s v="Estatal"/>
  </r>
  <r>
    <x v="0"/>
    <s v="Nuevo León"/>
    <s v="19"/>
    <m/>
    <m/>
    <s v="19023"/>
    <s v="General Treviño"/>
    <x v="1"/>
    <s v="Artes gráficas"/>
    <m/>
    <m/>
    <m/>
    <m/>
    <m/>
    <n v="0"/>
    <m/>
    <s v="Estatal"/>
  </r>
  <r>
    <x v="0"/>
    <s v="Nuevo León"/>
    <s v="19"/>
    <m/>
    <m/>
    <s v="19024"/>
    <s v="General Zaragoza"/>
    <x v="1"/>
    <s v="Artes gráficas"/>
    <m/>
    <m/>
    <m/>
    <m/>
    <m/>
    <n v="0"/>
    <m/>
    <s v="Estatal"/>
  </r>
  <r>
    <x v="0"/>
    <s v="Nuevo León"/>
    <s v="19"/>
    <s v="19.01"/>
    <s v="Monterrey"/>
    <s v="19025"/>
    <s v="General Zuazua"/>
    <x v="1"/>
    <s v="Artes gráficas"/>
    <m/>
    <m/>
    <m/>
    <m/>
    <m/>
    <n v="0.98145711963568905"/>
    <m/>
    <s v="Estatal"/>
  </r>
  <r>
    <x v="0"/>
    <s v="Nuevo León"/>
    <s v="19"/>
    <s v="19.01"/>
    <s v="Monterrey"/>
    <s v="19026"/>
    <s v="Guadalupe"/>
    <x v="1"/>
    <s v="Artes gráficas"/>
    <m/>
    <m/>
    <m/>
    <m/>
    <m/>
    <n v="219.84639479839433"/>
    <m/>
    <s v="Estatal"/>
  </r>
  <r>
    <x v="0"/>
    <s v="Nuevo León"/>
    <s v="19"/>
    <m/>
    <m/>
    <s v="19027"/>
    <s v="Los Herreras"/>
    <x v="1"/>
    <s v="Artes gráficas"/>
    <m/>
    <m/>
    <m/>
    <m/>
    <m/>
    <n v="0"/>
    <m/>
    <s v="Estatal"/>
  </r>
  <r>
    <x v="0"/>
    <s v="Nuevo León"/>
    <s v="19"/>
    <m/>
    <m/>
    <s v="19028"/>
    <s v="Higueras"/>
    <x v="1"/>
    <s v="Artes gráficas"/>
    <m/>
    <m/>
    <m/>
    <m/>
    <m/>
    <n v="0"/>
    <m/>
    <s v="Estatal"/>
  </r>
  <r>
    <x v="0"/>
    <s v="Nuevo León"/>
    <s v="19"/>
    <m/>
    <m/>
    <s v="19029"/>
    <s v="Hualahuises"/>
    <x v="1"/>
    <s v="Artes gráficas"/>
    <m/>
    <m/>
    <m/>
    <m/>
    <m/>
    <n v="0"/>
    <m/>
    <s v="Estatal"/>
  </r>
  <r>
    <x v="0"/>
    <s v="Nuevo León"/>
    <s v="19"/>
    <m/>
    <m/>
    <s v="19030"/>
    <s v="Iturbide"/>
    <x v="1"/>
    <s v="Artes gráficas"/>
    <m/>
    <m/>
    <m/>
    <m/>
    <m/>
    <n v="0"/>
    <m/>
    <s v="Estatal"/>
  </r>
  <r>
    <x v="0"/>
    <s v="Nuevo León"/>
    <s v="19"/>
    <s v="19.01"/>
    <s v="Monterrey"/>
    <s v="19031"/>
    <s v="Juárez"/>
    <x v="1"/>
    <s v="Artes gráficas"/>
    <m/>
    <m/>
    <m/>
    <m/>
    <m/>
    <n v="2.944371358907067"/>
    <m/>
    <s v="Estatal"/>
  </r>
  <r>
    <x v="0"/>
    <s v="Nuevo León"/>
    <s v="19"/>
    <m/>
    <m/>
    <s v="19032"/>
    <s v="Lampazos de Naranjo"/>
    <x v="1"/>
    <s v="Artes gráficas"/>
    <m/>
    <m/>
    <m/>
    <m/>
    <m/>
    <n v="0"/>
    <m/>
    <s v="Estatal"/>
  </r>
  <r>
    <x v="0"/>
    <s v="Nuevo León"/>
    <s v="19"/>
    <m/>
    <m/>
    <s v="19033"/>
    <s v="Linares"/>
    <x v="1"/>
    <s v="Artes gráficas"/>
    <m/>
    <m/>
    <m/>
    <m/>
    <m/>
    <n v="18.893049552987012"/>
    <m/>
    <s v="Estatal"/>
  </r>
  <r>
    <x v="0"/>
    <s v="Nuevo León"/>
    <s v="19"/>
    <m/>
    <m/>
    <s v="19034"/>
    <s v="Marín"/>
    <x v="1"/>
    <s v="Artes gráficas"/>
    <m/>
    <m/>
    <m/>
    <m/>
    <m/>
    <n v="0"/>
    <m/>
    <s v="Estatal"/>
  </r>
  <r>
    <x v="0"/>
    <s v="Nuevo León"/>
    <s v="19"/>
    <m/>
    <m/>
    <s v="19035"/>
    <s v="Melchor Ocampo"/>
    <x v="1"/>
    <s v="Artes gráficas"/>
    <m/>
    <m/>
    <m/>
    <m/>
    <m/>
    <n v="0"/>
    <m/>
    <s v="Estatal"/>
  </r>
  <r>
    <x v="0"/>
    <s v="Nuevo León"/>
    <s v="19"/>
    <m/>
    <m/>
    <s v="19036"/>
    <s v="Mier y Noriega"/>
    <x v="1"/>
    <s v="Artes gráficas"/>
    <m/>
    <m/>
    <m/>
    <m/>
    <m/>
    <n v="0"/>
    <m/>
    <s v="Estatal"/>
  </r>
  <r>
    <x v="0"/>
    <s v="Nuevo León"/>
    <s v="19"/>
    <m/>
    <m/>
    <s v="19037"/>
    <s v="Mina"/>
    <x v="1"/>
    <s v="Artes gráficas"/>
    <m/>
    <m/>
    <m/>
    <m/>
    <m/>
    <n v="0"/>
    <m/>
    <s v="Estatal"/>
  </r>
  <r>
    <x v="0"/>
    <s v="Nuevo León"/>
    <s v="19"/>
    <m/>
    <m/>
    <s v="19038"/>
    <s v="Montemorelos"/>
    <x v="1"/>
    <s v="Artes gráficas"/>
    <m/>
    <m/>
    <m/>
    <m/>
    <m/>
    <n v="17.420863873533477"/>
    <m/>
    <s v="Estatal"/>
  </r>
  <r>
    <x v="0"/>
    <s v="Nuevo León"/>
    <s v="19"/>
    <s v="19.01"/>
    <s v="Monterrey"/>
    <s v="19039"/>
    <s v="Monterrey"/>
    <x v="1"/>
    <s v="Artes gráficas"/>
    <m/>
    <m/>
    <m/>
    <m/>
    <m/>
    <n v="1548.5013347851188"/>
    <m/>
    <s v="Estatal"/>
  </r>
  <r>
    <x v="0"/>
    <s v="Nuevo León"/>
    <s v="19"/>
    <m/>
    <m/>
    <s v="19040"/>
    <s v="Parás"/>
    <x v="1"/>
    <s v="Artes gráficas"/>
    <m/>
    <m/>
    <m/>
    <m/>
    <m/>
    <n v="0"/>
    <m/>
    <s v="Estatal"/>
  </r>
  <r>
    <x v="0"/>
    <s v="Nuevo León"/>
    <s v="19"/>
    <s v="19.01"/>
    <s v="Monterrey"/>
    <s v="19041"/>
    <s v="Pesquería"/>
    <x v="1"/>
    <s v="Artes gráficas"/>
    <m/>
    <m/>
    <m/>
    <m/>
    <m/>
    <n v="9.8145711963568889"/>
    <m/>
    <s v="Estatal"/>
  </r>
  <r>
    <x v="0"/>
    <s v="Nuevo León"/>
    <s v="19"/>
    <m/>
    <m/>
    <s v="19042"/>
    <s v="Los Ramones"/>
    <x v="1"/>
    <s v="Artes gráficas"/>
    <m/>
    <m/>
    <m/>
    <m/>
    <m/>
    <n v="0"/>
    <m/>
    <s v="Estatal"/>
  </r>
  <r>
    <x v="0"/>
    <s v="Nuevo León"/>
    <s v="19"/>
    <m/>
    <m/>
    <s v="19043"/>
    <s v="Rayones"/>
    <x v="1"/>
    <s v="Artes gráficas"/>
    <m/>
    <m/>
    <m/>
    <m/>
    <m/>
    <n v="0"/>
    <m/>
    <s v="Estatal"/>
  </r>
  <r>
    <x v="0"/>
    <s v="Nuevo León"/>
    <s v="19"/>
    <m/>
    <m/>
    <s v="19044"/>
    <s v="Sabinas Hidalgo"/>
    <x v="1"/>
    <s v="Artes gráficas"/>
    <m/>
    <m/>
    <m/>
    <m/>
    <m/>
    <n v="7.8516569570855115"/>
    <m/>
    <s v="Estatal"/>
  </r>
  <r>
    <x v="0"/>
    <s v="Nuevo León"/>
    <s v="19"/>
    <s v="19.01"/>
    <s v="Monterrey"/>
    <s v="19045"/>
    <s v="Salinas Victoria"/>
    <x v="1"/>
    <s v="Artes gráficas"/>
    <m/>
    <m/>
    <m/>
    <m/>
    <m/>
    <n v="4.9072855981784445"/>
    <m/>
    <s v="Estatal"/>
  </r>
  <r>
    <x v="0"/>
    <s v="Nuevo León"/>
    <s v="19"/>
    <s v="19.01"/>
    <s v="Monterrey"/>
    <s v="19046"/>
    <s v="San Nicolás de los Garza"/>
    <x v="1"/>
    <s v="Artes gráficas"/>
    <m/>
    <m/>
    <m/>
    <m/>
    <m/>
    <n v="18.040335151165458"/>
    <m/>
    <s v="Estatal"/>
  </r>
  <r>
    <x v="0"/>
    <s v="Nuevo León"/>
    <s v="19"/>
    <s v="19.01"/>
    <s v="Monterrey"/>
    <s v="19047"/>
    <s v="Hidalgo"/>
    <x v="1"/>
    <s v="Artes gráficas"/>
    <m/>
    <m/>
    <m/>
    <m/>
    <m/>
    <n v="1.9629142392713781"/>
    <m/>
    <s v="Estatal"/>
  </r>
  <r>
    <x v="0"/>
    <s v="Nuevo León"/>
    <s v="19"/>
    <s v="19.01"/>
    <s v="Monterrey"/>
    <s v="19048"/>
    <s v="Santa Catarina"/>
    <x v="1"/>
    <s v="Artes gráficas"/>
    <m/>
    <m/>
    <m/>
    <m/>
    <m/>
    <n v="213.35955612030699"/>
    <m/>
    <s v="Estatal"/>
  </r>
  <r>
    <x v="0"/>
    <s v="Nuevo León"/>
    <s v="19"/>
    <s v="19.01"/>
    <s v="Monterrey"/>
    <s v="19049"/>
    <s v="Santiago"/>
    <x v="1"/>
    <s v="Artes gráficas"/>
    <m/>
    <m/>
    <m/>
    <m/>
    <m/>
    <n v="7.8516569570855115"/>
    <m/>
    <s v="Estatal"/>
  </r>
  <r>
    <x v="0"/>
    <s v="Nuevo León"/>
    <s v="19"/>
    <m/>
    <m/>
    <s v="19050"/>
    <s v="Vallecillo"/>
    <x v="1"/>
    <s v="Artes gráficas"/>
    <m/>
    <m/>
    <m/>
    <m/>
    <m/>
    <n v="0"/>
    <m/>
    <s v="Estatal"/>
  </r>
  <r>
    <x v="0"/>
    <s v="Nuevo León"/>
    <s v="19"/>
    <m/>
    <m/>
    <s v="19051"/>
    <s v="Villaldama"/>
    <x v="1"/>
    <s v="Artes gráficas"/>
    <m/>
    <m/>
    <m/>
    <m/>
    <m/>
    <n v="0"/>
    <m/>
    <s v="Estatal"/>
  </r>
  <r>
    <x v="0"/>
    <s v="Nuevo León"/>
    <s v="19"/>
    <m/>
    <s v="Monterrey"/>
    <s v="19001"/>
    <s v="Abasolo"/>
    <x v="1"/>
    <s v="Pintura para señalización víal"/>
    <m/>
    <m/>
    <m/>
    <m/>
    <m/>
    <n v="0.21896421844936692"/>
    <m/>
    <s v="Estatal"/>
  </r>
  <r>
    <x v="0"/>
    <s v="Nuevo León"/>
    <s v="19"/>
    <m/>
    <m/>
    <s v="19002"/>
    <s v="Agualeguas"/>
    <x v="1"/>
    <s v="Pintura para señalización víal"/>
    <m/>
    <m/>
    <m/>
    <m/>
    <m/>
    <n v="4.1955557718976397"/>
    <m/>
    <s v="Estatal"/>
  </r>
  <r>
    <x v="0"/>
    <s v="Nuevo León"/>
    <s v="19"/>
    <m/>
    <m/>
    <s v="19003"/>
    <s v="Los Aldamas"/>
    <x v="1"/>
    <s v="Pintura para señalización víal"/>
    <m/>
    <m/>
    <m/>
    <m/>
    <m/>
    <n v="1.2735160291422951"/>
    <m/>
    <s v="Estatal"/>
  </r>
  <r>
    <x v="0"/>
    <s v="Nuevo León"/>
    <s v="19"/>
    <m/>
    <m/>
    <s v="19004"/>
    <s v="Allende"/>
    <x v="1"/>
    <s v="Pintura para señalización víal"/>
    <m/>
    <m/>
    <m/>
    <m/>
    <m/>
    <n v="1.6938266553611947"/>
    <m/>
    <s v="Estatal"/>
  </r>
  <r>
    <x v="0"/>
    <s v="Nuevo León"/>
    <s v="19"/>
    <m/>
    <m/>
    <s v="19005"/>
    <s v="Anáhuac"/>
    <x v="1"/>
    <s v="Pintura para señalización víal"/>
    <m/>
    <m/>
    <m/>
    <m/>
    <m/>
    <n v="5.0442308806462206"/>
    <m/>
    <s v="Estatal"/>
  </r>
  <r>
    <x v="0"/>
    <s v="Nuevo León"/>
    <s v="19"/>
    <m/>
    <s v="Monterrey"/>
    <s v="19006"/>
    <s v="Apodaca"/>
    <x v="1"/>
    <s v="Pintura para señalización víal"/>
    <m/>
    <m/>
    <m/>
    <m/>
    <m/>
    <n v="3.2007283394093498"/>
    <m/>
    <s v="Estatal"/>
  </r>
  <r>
    <x v="0"/>
    <s v="Nuevo León"/>
    <s v="19"/>
    <m/>
    <m/>
    <s v="19007"/>
    <s v="Aramberri"/>
    <x v="1"/>
    <s v="Pintura para señalización víal"/>
    <m/>
    <m/>
    <m/>
    <m/>
    <m/>
    <n v="9.4884494661392331"/>
    <m/>
    <s v="Estatal"/>
  </r>
  <r>
    <x v="0"/>
    <s v="Nuevo León"/>
    <s v="19"/>
    <m/>
    <m/>
    <s v="19008"/>
    <s v="Bustamante"/>
    <x v="1"/>
    <s v="Pintura para señalización víal"/>
    <m/>
    <m/>
    <m/>
    <m/>
    <m/>
    <n v="0.39010866505346986"/>
    <m/>
    <s v="Estatal"/>
  </r>
  <r>
    <x v="0"/>
    <s v="Nuevo León"/>
    <s v="19"/>
    <s v="19.01"/>
    <s v="Monterrey"/>
    <s v="19009"/>
    <s v="Cadereyta Jiménez"/>
    <x v="1"/>
    <s v="Pintura para señalización víal"/>
    <m/>
    <m/>
    <m/>
    <m/>
    <m/>
    <n v="7.3189419224225185"/>
    <m/>
    <s v="Estatal"/>
  </r>
  <r>
    <x v="0"/>
    <s v="Nuevo León"/>
    <s v="19"/>
    <s v="19.01"/>
    <s v="Monterrey"/>
    <s v="19010"/>
    <s v="El Carmen"/>
    <x v="1"/>
    <s v="Pintura para señalización víal"/>
    <m/>
    <m/>
    <m/>
    <m/>
    <m/>
    <n v="0.46435515291848506"/>
    <m/>
    <s v="Estatal"/>
  </r>
  <r>
    <x v="0"/>
    <s v="Nuevo León"/>
    <s v="19"/>
    <m/>
    <m/>
    <s v="19011"/>
    <s v="Cerralvo"/>
    <x v="1"/>
    <s v="Pintura para señalización víal"/>
    <m/>
    <m/>
    <m/>
    <m/>
    <m/>
    <n v="1.4094248543867298"/>
    <m/>
    <s v="Estatal"/>
  </r>
  <r>
    <x v="0"/>
    <s v="Nuevo León"/>
    <s v="19"/>
    <s v="19.01"/>
    <s v="Monterrey"/>
    <s v="19012"/>
    <s v="Ciénega de Flores"/>
    <x v="1"/>
    <s v="Pintura para señalización víal"/>
    <m/>
    <m/>
    <m/>
    <m/>
    <m/>
    <n v="0.49581552913247456"/>
    <m/>
    <s v="Estatal"/>
  </r>
  <r>
    <x v="0"/>
    <s v="Nuevo León"/>
    <s v="19"/>
    <m/>
    <m/>
    <s v="19013"/>
    <s v="China"/>
    <x v="1"/>
    <s v="Pintura para señalización víal"/>
    <m/>
    <m/>
    <m/>
    <m/>
    <m/>
    <n v="7.9078801651484012"/>
    <m/>
    <s v="Estatal"/>
  </r>
  <r>
    <x v="0"/>
    <s v="Nuevo León"/>
    <s v="19"/>
    <m/>
    <m/>
    <s v="19014"/>
    <s v="Doctor Arroyo"/>
    <x v="1"/>
    <s v="Pintura para señalización víal"/>
    <m/>
    <m/>
    <m/>
    <m/>
    <m/>
    <n v="19.393182630341975"/>
    <m/>
    <s v="Estatal"/>
  </r>
  <r>
    <x v="0"/>
    <s v="Nuevo León"/>
    <s v="19"/>
    <m/>
    <m/>
    <s v="19015"/>
    <s v="Doctor Coss"/>
    <x v="1"/>
    <s v="Pintura para señalización víal"/>
    <m/>
    <m/>
    <m/>
    <m/>
    <m/>
    <n v="1.5126148883686155"/>
    <m/>
    <s v="Estatal"/>
  </r>
  <r>
    <x v="0"/>
    <s v="Nuevo León"/>
    <s v="19"/>
    <m/>
    <m/>
    <s v="19016"/>
    <s v="Doctor González"/>
    <x v="1"/>
    <s v="Pintura para señalización víal"/>
    <m/>
    <m/>
    <m/>
    <m/>
    <m/>
    <n v="2.2072348268725328"/>
    <m/>
    <s v="Estatal"/>
  </r>
  <r>
    <x v="0"/>
    <s v="Nuevo León"/>
    <s v="19"/>
    <m/>
    <m/>
    <s v="19017"/>
    <s v="Galeana"/>
    <x v="1"/>
    <s v="Pintura para señalización víal"/>
    <m/>
    <m/>
    <m/>
    <m/>
    <m/>
    <n v="25.647757104692797"/>
    <m/>
    <s v="Estatal"/>
  </r>
  <r>
    <x v="0"/>
    <s v="Nuevo León"/>
    <s v="19"/>
    <s v="19.01"/>
    <s v="Monterrey"/>
    <s v="19018"/>
    <s v="García"/>
    <x v="1"/>
    <s v="Pintura para señalización víal"/>
    <m/>
    <m/>
    <m/>
    <m/>
    <m/>
    <n v="5.023517368946929"/>
    <m/>
    <s v="Estatal"/>
  </r>
  <r>
    <x v="0"/>
    <s v="Nuevo León"/>
    <s v="19"/>
    <s v="19.01"/>
    <s v="Monterrey"/>
    <s v="19019"/>
    <s v="San Pedro Garza García"/>
    <x v="1"/>
    <s v="Pintura para señalización víal"/>
    <m/>
    <m/>
    <m/>
    <m/>
    <m/>
    <n v="0"/>
    <m/>
    <s v="Estatal"/>
  </r>
  <r>
    <x v="0"/>
    <s v="Nuevo León"/>
    <s v="19"/>
    <m/>
    <m/>
    <s v="19020"/>
    <s v="General Bravo"/>
    <x v="1"/>
    <s v="Pintura para señalización víal"/>
    <m/>
    <m/>
    <m/>
    <m/>
    <m/>
    <n v="2.0870310214341212"/>
    <m/>
    <s v="Estatal"/>
  </r>
  <r>
    <x v="0"/>
    <s v="Nuevo León"/>
    <s v="19"/>
    <s v="19.01"/>
    <s v="Monterrey"/>
    <s v="19021"/>
    <s v="General Escobedo"/>
    <x v="1"/>
    <s v="Pintura para señalización víal"/>
    <m/>
    <m/>
    <m/>
    <m/>
    <m/>
    <n v="1.9515500573061964"/>
    <m/>
    <s v="Estatal"/>
  </r>
  <r>
    <x v="0"/>
    <s v="Nuevo León"/>
    <s v="19"/>
    <m/>
    <m/>
    <s v="19022"/>
    <s v="General Terán"/>
    <x v="1"/>
    <s v="Pintura para señalización víal"/>
    <m/>
    <m/>
    <m/>
    <m/>
    <m/>
    <n v="6.9112154466892139"/>
    <m/>
    <s v="Estatal"/>
  </r>
  <r>
    <x v="0"/>
    <s v="Nuevo León"/>
    <s v="19"/>
    <m/>
    <m/>
    <s v="19023"/>
    <s v="General Treviño"/>
    <x v="1"/>
    <s v="Pintura para señalización víal"/>
    <m/>
    <m/>
    <m/>
    <m/>
    <m/>
    <n v="0.90520311272987719"/>
    <m/>
    <s v="Estatal"/>
  </r>
  <r>
    <x v="0"/>
    <s v="Nuevo León"/>
    <s v="19"/>
    <m/>
    <m/>
    <s v="19024"/>
    <s v="General Zaragoza"/>
    <x v="1"/>
    <s v="Pintura para señalización víal"/>
    <m/>
    <m/>
    <m/>
    <m/>
    <m/>
    <n v="4.3918685194729346"/>
    <m/>
    <s v="Estatal"/>
  </r>
  <r>
    <x v="0"/>
    <s v="Nuevo León"/>
    <s v="19"/>
    <s v="19.01"/>
    <s v="Monterrey"/>
    <s v="19025"/>
    <s v="General Zuazua"/>
    <x v="1"/>
    <s v="Pintura para señalización víal"/>
    <m/>
    <m/>
    <m/>
    <m/>
    <m/>
    <n v="0.73239755826167563"/>
    <m/>
    <s v="Estatal"/>
  </r>
  <r>
    <x v="0"/>
    <s v="Nuevo León"/>
    <s v="19"/>
    <s v="19.01"/>
    <s v="Monterrey"/>
    <s v="19026"/>
    <s v="Guadalupe"/>
    <x v="1"/>
    <s v="Pintura para señalización víal"/>
    <m/>
    <m/>
    <m/>
    <m/>
    <m/>
    <n v="0.52601749029790457"/>
    <m/>
    <s v="Estatal"/>
  </r>
  <r>
    <x v="0"/>
    <s v="Nuevo León"/>
    <s v="19"/>
    <m/>
    <m/>
    <s v="19027"/>
    <s v="Los Herreras"/>
    <x v="1"/>
    <s v="Pintura para señalización víal"/>
    <m/>
    <m/>
    <m/>
    <m/>
    <m/>
    <n v="1.2810665194336526"/>
    <m/>
    <s v="Estatal"/>
  </r>
  <r>
    <x v="0"/>
    <s v="Nuevo León"/>
    <s v="19"/>
    <m/>
    <m/>
    <s v="19028"/>
    <s v="Higueras"/>
    <x v="1"/>
    <s v="Pintura para señalización víal"/>
    <m/>
    <m/>
    <m/>
    <m/>
    <m/>
    <n v="0.22651470874072441"/>
    <m/>
    <s v="Estatal"/>
  </r>
  <r>
    <x v="0"/>
    <s v="Nuevo León"/>
    <s v="19"/>
    <m/>
    <m/>
    <s v="19029"/>
    <s v="Hualahuises"/>
    <x v="1"/>
    <s v="Pintura para señalización víal"/>
    <m/>
    <m/>
    <m/>
    <m/>
    <m/>
    <n v="1.6711751844871223"/>
    <m/>
    <s v="Estatal"/>
  </r>
  <r>
    <x v="0"/>
    <s v="Nuevo León"/>
    <s v="19"/>
    <m/>
    <m/>
    <s v="19030"/>
    <s v="Iturbide"/>
    <x v="1"/>
    <s v="Pintura para señalización víal"/>
    <m/>
    <m/>
    <m/>
    <m/>
    <m/>
    <n v="1.5176485485628535"/>
    <m/>
    <s v="Estatal"/>
  </r>
  <r>
    <x v="0"/>
    <s v="Nuevo León"/>
    <s v="19"/>
    <s v="19.01"/>
    <s v="Monterrey"/>
    <s v="19031"/>
    <s v="Juárez"/>
    <x v="1"/>
    <s v="Pintura para señalización víal"/>
    <m/>
    <m/>
    <m/>
    <m/>
    <m/>
    <n v="1.6887929951669567"/>
    <m/>
    <s v="Estatal"/>
  </r>
  <r>
    <x v="0"/>
    <s v="Nuevo León"/>
    <s v="19"/>
    <m/>
    <m/>
    <s v="19032"/>
    <s v="Lampazos de Naranjo"/>
    <x v="1"/>
    <s v="Pintura para señalización víal"/>
    <m/>
    <m/>
    <m/>
    <m/>
    <m/>
    <n v="3.9388391019914852"/>
    <m/>
    <s v="Estatal"/>
  </r>
  <r>
    <x v="0"/>
    <s v="Nuevo León"/>
    <s v="19"/>
    <m/>
    <m/>
    <s v="19033"/>
    <s v="Linares"/>
    <x v="1"/>
    <s v="Pintura para señalización víal"/>
    <m/>
    <m/>
    <m/>
    <m/>
    <m/>
    <n v="12.08833495646333"/>
    <m/>
    <s v="Estatal"/>
  </r>
  <r>
    <x v="0"/>
    <s v="Nuevo León"/>
    <s v="19"/>
    <m/>
    <m/>
    <s v="19034"/>
    <s v="Marín"/>
    <x v="1"/>
    <s v="Pintura para señalización víal"/>
    <m/>
    <m/>
    <m/>
    <m/>
    <m/>
    <n v="0.93444867845840174"/>
    <m/>
    <s v="Estatal"/>
  </r>
  <r>
    <x v="0"/>
    <s v="Nuevo León"/>
    <s v="19"/>
    <m/>
    <m/>
    <s v="19035"/>
    <s v="Melchor Ocampo"/>
    <x v="1"/>
    <s v="Pintura para señalización víal"/>
    <m/>
    <m/>
    <m/>
    <m/>
    <m/>
    <n v="0.75001536894150977"/>
    <m/>
    <s v="Estatal"/>
  </r>
  <r>
    <x v="0"/>
    <s v="Nuevo León"/>
    <s v="19"/>
    <m/>
    <m/>
    <s v="19036"/>
    <s v="Mier y Noriega"/>
    <x v="1"/>
    <s v="Pintura para señalización víal"/>
    <m/>
    <m/>
    <m/>
    <m/>
    <m/>
    <n v="2.9547585340178943"/>
    <m/>
    <s v="Estatal"/>
  </r>
  <r>
    <x v="0"/>
    <s v="Nuevo León"/>
    <s v="19"/>
    <m/>
    <m/>
    <s v="19037"/>
    <s v="Mina"/>
    <x v="1"/>
    <s v="Pintura para señalización víal"/>
    <m/>
    <m/>
    <m/>
    <m/>
    <m/>
    <n v="6.2312937959524728"/>
    <m/>
    <s v="Estatal"/>
  </r>
  <r>
    <x v="0"/>
    <s v="Nuevo León"/>
    <s v="19"/>
    <m/>
    <m/>
    <s v="19038"/>
    <s v="Montemorelos"/>
    <x v="1"/>
    <s v="Pintura para señalización víal"/>
    <m/>
    <m/>
    <m/>
    <m/>
    <m/>
    <n v="7.4775022185410238"/>
    <m/>
    <s v="Estatal"/>
  </r>
  <r>
    <x v="0"/>
    <s v="Nuevo León"/>
    <s v="19"/>
    <s v="19.01"/>
    <s v="Monterrey"/>
    <s v="19039"/>
    <s v="Monterrey"/>
    <x v="1"/>
    <s v="Pintura para señalización víal"/>
    <m/>
    <m/>
    <m/>
    <m/>
    <m/>
    <n v="0.1635939563127454"/>
    <m/>
    <s v="Estatal"/>
  </r>
  <r>
    <x v="0"/>
    <s v="Nuevo León"/>
    <s v="19"/>
    <m/>
    <m/>
    <s v="19040"/>
    <s v="Parás"/>
    <x v="1"/>
    <s v="Pintura para señalización víal"/>
    <m/>
    <m/>
    <m/>
    <m/>
    <m/>
    <n v="1.6913098252640757"/>
    <m/>
    <s v="Estatal"/>
  </r>
  <r>
    <x v="0"/>
    <s v="Nuevo León"/>
    <s v="19"/>
    <s v="19.01"/>
    <s v="Monterrey"/>
    <s v="19041"/>
    <s v="Pesquería"/>
    <x v="1"/>
    <s v="Pintura para señalización víal"/>
    <m/>
    <m/>
    <m/>
    <m/>
    <m/>
    <n v="2.3624729072628421"/>
    <m/>
    <s v="Estatal"/>
  </r>
  <r>
    <x v="0"/>
    <s v="Nuevo León"/>
    <s v="19"/>
    <m/>
    <m/>
    <s v="19042"/>
    <s v="Los Ramones"/>
    <x v="1"/>
    <s v="Pintura para señalización víal"/>
    <m/>
    <m/>
    <m/>
    <m/>
    <m/>
    <n v="4.4219949757354504"/>
    <m/>
    <s v="Estatal"/>
  </r>
  <r>
    <x v="0"/>
    <s v="Nuevo León"/>
    <s v="19"/>
    <m/>
    <m/>
    <s v="19043"/>
    <s v="Rayones"/>
    <x v="1"/>
    <s v="Pintura para señalización víal"/>
    <m/>
    <m/>
    <m/>
    <m/>
    <m/>
    <n v="2.1846085242994313"/>
    <m/>
    <s v="Estatal"/>
  </r>
  <r>
    <x v="0"/>
    <s v="Nuevo León"/>
    <s v="19"/>
    <m/>
    <m/>
    <s v="19044"/>
    <s v="Sabinas Hidalgo"/>
    <x v="1"/>
    <s v="Pintura para señalización víal"/>
    <m/>
    <m/>
    <m/>
    <m/>
    <m/>
    <n v="2.7574390544037519"/>
    <m/>
    <s v="Estatal"/>
  </r>
  <r>
    <x v="0"/>
    <s v="Nuevo León"/>
    <s v="19"/>
    <s v="19.01"/>
    <s v="Monterrey"/>
    <s v="19045"/>
    <s v="Salinas Victoria"/>
    <x v="1"/>
    <s v="Pintura para señalización víal"/>
    <m/>
    <m/>
    <m/>
    <m/>
    <m/>
    <n v="4.497575383551939"/>
    <m/>
    <s v="Estatal"/>
  </r>
  <r>
    <x v="0"/>
    <s v="Nuevo León"/>
    <s v="19"/>
    <s v="19.01"/>
    <s v="Monterrey"/>
    <s v="19046"/>
    <s v="San Nicolás de los Garza"/>
    <x v="1"/>
    <s v="Pintura para señalización víal"/>
    <m/>
    <m/>
    <m/>
    <m/>
    <m/>
    <n v="1.7617810679834117E-2"/>
    <m/>
    <s v="Estatal"/>
  </r>
  <r>
    <x v="0"/>
    <s v="Nuevo León"/>
    <s v="19"/>
    <s v="19.01"/>
    <s v="Monterrey"/>
    <s v="19047"/>
    <s v="Hidalgo"/>
    <x v="1"/>
    <s v="Pintura para señalización víal"/>
    <m/>
    <m/>
    <m/>
    <m/>
    <m/>
    <n v="0.17617810679834123"/>
    <m/>
    <s v="Estatal"/>
  </r>
  <r>
    <x v="0"/>
    <s v="Nuevo León"/>
    <s v="19"/>
    <s v="19.01"/>
    <s v="Monterrey"/>
    <s v="19048"/>
    <s v="Santa Catarina"/>
    <x v="1"/>
    <s v="Pintura para señalización víal"/>
    <m/>
    <m/>
    <m/>
    <m/>
    <m/>
    <n v="0.77921059806809201"/>
    <m/>
    <s v="Estatal"/>
  </r>
  <r>
    <x v="0"/>
    <s v="Nuevo León"/>
    <s v="19"/>
    <s v="19.01"/>
    <s v="Monterrey"/>
    <s v="19049"/>
    <s v="Santiago"/>
    <x v="1"/>
    <s v="Pintura para señalización víal"/>
    <m/>
    <m/>
    <m/>
    <m/>
    <m/>
    <n v="3.1435207913018308"/>
    <m/>
    <s v="Estatal"/>
  </r>
  <r>
    <x v="0"/>
    <s v="Nuevo León"/>
    <s v="19"/>
    <m/>
    <m/>
    <s v="19050"/>
    <s v="Vallecillo"/>
    <x v="1"/>
    <s v="Pintura para señalización víal"/>
    <m/>
    <m/>
    <m/>
    <m/>
    <m/>
    <n v="3.2517444854779547"/>
    <m/>
    <s v="Estatal"/>
  </r>
  <r>
    <x v="0"/>
    <s v="Nuevo León"/>
    <s v="19"/>
    <m/>
    <m/>
    <s v="19051"/>
    <s v="Villaldama"/>
    <x v="1"/>
    <s v="Pintura para señalización víal"/>
    <m/>
    <m/>
    <m/>
    <m/>
    <m/>
    <n v="1.6887929951669562"/>
    <m/>
    <s v="Estatal"/>
  </r>
  <r>
    <x v="0"/>
    <s v="Nuevo León"/>
    <s v="19"/>
    <s v="19.01"/>
    <s v="Monterrey"/>
    <s v="19001"/>
    <s v="Abasolo"/>
    <x v="4"/>
    <s v="Quemas Agrícolas"/>
    <n v="0"/>
    <n v="0"/>
    <n v="0"/>
    <n v="0"/>
    <n v="0"/>
    <n v="0"/>
    <n v="0"/>
    <s v="Estatal"/>
  </r>
  <r>
    <x v="0"/>
    <s v="Nuevo León"/>
    <s v="19"/>
    <m/>
    <m/>
    <s v="19002"/>
    <s v="Agualeguas"/>
    <x v="4"/>
    <s v="Quemas Agrícolas"/>
    <n v="1.1471811544685786"/>
    <n v="1.0941558123698378"/>
    <n v="4.5472181317324084E-2"/>
    <n v="6.0213429628452406"/>
    <n v="0.31291436137854178"/>
    <n v="0.42361705052702314"/>
    <n v="0.12045652046357451"/>
    <s v="Estatal"/>
  </r>
  <r>
    <x v="0"/>
    <s v="Nuevo León"/>
    <s v="19"/>
    <m/>
    <m/>
    <s v="19003"/>
    <s v="Los Aldamas"/>
    <x v="4"/>
    <s v="Quemas Agrícolas"/>
    <n v="0.17605879641054933"/>
    <n v="0.16807109610567411"/>
    <n v="5.9290146592888456E-3"/>
    <n v="0.76583106015814262"/>
    <n v="4.4714652222136719E-2"/>
    <n v="5.0726014307249018E-2"/>
    <n v="1.5316621203162855E-2"/>
    <s v="Estatal"/>
  </r>
  <r>
    <x v="0"/>
    <s v="Nuevo León"/>
    <s v="19"/>
    <m/>
    <m/>
    <s v="19004"/>
    <s v="Allende"/>
    <x v="4"/>
    <s v="Quemas Agrícolas"/>
    <n v="0"/>
    <n v="0"/>
    <n v="0"/>
    <n v="0"/>
    <n v="0"/>
    <n v="0"/>
    <n v="0"/>
    <s v="Estatal"/>
  </r>
  <r>
    <x v="0"/>
    <s v="Nuevo León"/>
    <s v="19"/>
    <m/>
    <m/>
    <s v="19005"/>
    <s v="Anáhuac"/>
    <x v="4"/>
    <s v="Quemas Agrícolas"/>
    <n v="2.2032224302658614"/>
    <n v="2.1031943698642066"/>
    <n v="8.9988229194251576E-2"/>
    <n v="12.747308632436644"/>
    <n v="0.62137396565951353"/>
    <n v="1.0021717479423395"/>
    <n v="0.25498676638368289"/>
    <s v="Estatal"/>
  </r>
  <r>
    <x v="0"/>
    <s v="Nuevo León"/>
    <s v="19"/>
    <s v="19.01"/>
    <s v="Monterrey"/>
    <s v="19006"/>
    <s v="Apodaca"/>
    <x v="4"/>
    <s v="Quemas Agrícolas"/>
    <n v="0"/>
    <n v="0"/>
    <n v="0"/>
    <n v="0"/>
    <n v="0"/>
    <n v="0"/>
    <n v="0"/>
    <s v="Estatal"/>
  </r>
  <r>
    <x v="0"/>
    <s v="Nuevo León"/>
    <s v="19"/>
    <m/>
    <m/>
    <s v="19007"/>
    <s v="Aramberri"/>
    <x v="4"/>
    <s v="Quemas Agrícolas"/>
    <n v="2.5763074205353971"/>
    <n v="2.479072068138926"/>
    <n v="7.9252531148285316E-2"/>
    <n v="17.151095721117024"/>
    <n v="0.75166125607594025"/>
    <n v="1.9595510170357051"/>
    <n v="0.34284640919856407"/>
    <s v="Estatal"/>
  </r>
  <r>
    <x v="0"/>
    <s v="Nuevo León"/>
    <s v="19"/>
    <m/>
    <m/>
    <s v="19008"/>
    <s v="Bustamante"/>
    <x v="4"/>
    <s v="Quemas Agrícolas"/>
    <n v="2.7029170069452435E-2"/>
    <n v="2.5719022524601249E-2"/>
    <n v="7.7900664828989556E-4"/>
    <n v="0.17756630328595741"/>
    <n v="5.877959255278304E-3"/>
    <n v="1.3443766248518048E-2"/>
    <n v="3.5527424414433114E-3"/>
    <s v="Estatal"/>
  </r>
  <r>
    <x v="0"/>
    <s v="Nuevo León"/>
    <s v="19"/>
    <s v="19.01"/>
    <s v="Monterrey"/>
    <s v="19009"/>
    <s v="Cadereyta Jiménez"/>
    <x v="4"/>
    <s v="Quemas Agrícolas"/>
    <n v="2.9695714268828253"/>
    <n v="2.8215691869129249"/>
    <n v="0.20115672720044811"/>
    <n v="28.684591891797446"/>
    <n v="1.0794350408945228"/>
    <n v="2.3264783481091849"/>
    <n v="0.5741188659409282"/>
    <s v="Estatal"/>
  </r>
  <r>
    <x v="0"/>
    <s v="Nuevo León"/>
    <s v="19"/>
    <s v="19.01"/>
    <s v="Monterrey"/>
    <s v="19010"/>
    <s v="El Carmen"/>
    <x v="4"/>
    <s v="Quemas Agrícolas"/>
    <n v="0"/>
    <n v="0"/>
    <n v="0"/>
    <n v="0"/>
    <n v="0"/>
    <n v="0"/>
    <n v="0"/>
    <s v="Estatal"/>
  </r>
  <r>
    <x v="0"/>
    <s v="Nuevo León"/>
    <s v="19"/>
    <m/>
    <m/>
    <s v="19011"/>
    <s v="Cerralvo"/>
    <x v="4"/>
    <s v="Quemas Agrícolas"/>
    <n v="2.5113679539022238"/>
    <n v="2.3944816985160098"/>
    <n v="0.1041242754067233"/>
    <n v="14.036900124651186"/>
    <n v="0.70275305521842057"/>
    <n v="1.0071824918914201"/>
    <n v="0.28082379080883618"/>
    <s v="Estatal"/>
  </r>
  <r>
    <x v="0"/>
    <s v="Nuevo León"/>
    <s v="19"/>
    <s v="19.01"/>
    <s v="Monterrey"/>
    <s v="19012"/>
    <s v="Ciénega de Flores"/>
    <x v="4"/>
    <s v="Quemas Agrícolas"/>
    <n v="0"/>
    <n v="0"/>
    <n v="0"/>
    <n v="0"/>
    <n v="0"/>
    <n v="0"/>
    <n v="0"/>
    <s v="Estatal"/>
  </r>
  <r>
    <x v="0"/>
    <s v="Nuevo León"/>
    <s v="19"/>
    <m/>
    <m/>
    <s v="19013"/>
    <s v="China"/>
    <x v="4"/>
    <s v="Quemas Agrícolas"/>
    <n v="1.5222438323539598"/>
    <n v="1.4531215851783859"/>
    <n v="5.1674656652735226E-2"/>
    <n v="6.6835296034127172"/>
    <n v="0.38790863263268233"/>
    <n v="0.44418360582158212"/>
    <n v="0.13367237480599545"/>
    <s v="Estatal"/>
  </r>
  <r>
    <x v="0"/>
    <s v="Nuevo León"/>
    <s v="19"/>
    <m/>
    <m/>
    <s v="19014"/>
    <s v="Doctor Arroyo"/>
    <x v="4"/>
    <s v="Quemas Agrícolas"/>
    <n v="2.6927470102261957"/>
    <n v="2.5930156394770774"/>
    <n v="8.6722931086189892E-2"/>
    <n v="16.815576337612217"/>
    <n v="0.78917867288432786"/>
    <n v="1.9772828287651294"/>
    <n v="0.33605135795898577"/>
    <s v="Estatal"/>
  </r>
  <r>
    <x v="0"/>
    <s v="Nuevo León"/>
    <s v="19"/>
    <m/>
    <m/>
    <s v="19015"/>
    <s v="Doctor Coss"/>
    <x v="4"/>
    <s v="Quemas Agrícolas"/>
    <n v="0.22112146453943995"/>
    <n v="0.21108929332319784"/>
    <n v="7.4465600780353955E-3"/>
    <n v="0.96184734341290534"/>
    <n v="5.6159473921850278E-2"/>
    <n v="6.3709458445413938E-2"/>
    <n v="1.9236946868258109E-2"/>
    <s v="Estatal"/>
  </r>
  <r>
    <x v="0"/>
    <s v="Nuevo León"/>
    <s v="19"/>
    <m/>
    <m/>
    <s v="19016"/>
    <s v="Doctor González"/>
    <x v="4"/>
    <s v="Quemas Agrícolas"/>
    <n v="0.32480211139560294"/>
    <n v="0.30970681990633697"/>
    <n v="1.3449183252652147E-2"/>
    <n v="1.7914699293490002"/>
    <n v="9.0406886027977598E-2"/>
    <n v="0.12776018254941054"/>
    <n v="3.584028861390523E-2"/>
    <s v="Estatal"/>
  </r>
  <r>
    <x v="0"/>
    <s v="Nuevo León"/>
    <s v="19"/>
    <m/>
    <m/>
    <s v="19017"/>
    <s v="Galeana"/>
    <x v="4"/>
    <s v="Quemas Agrícolas"/>
    <n v="5.5143686854070131"/>
    <n v="5.2769370093863408"/>
    <n v="0.16881545004220602"/>
    <n v="35.699195517290633"/>
    <n v="1.4104800361049208"/>
    <n v="3.4011233740991376"/>
    <n v="0.71388221342902469"/>
    <s v="Estatal"/>
  </r>
  <r>
    <x v="0"/>
    <s v="Nuevo León"/>
    <s v="19"/>
    <s v="19.01"/>
    <s v="Monterrey"/>
    <s v="19018"/>
    <s v="García"/>
    <x v="4"/>
    <s v="Quemas Agrícolas"/>
    <n v="6.0188517795562446E-2"/>
    <n v="5.7388477881817425E-2"/>
    <n v="1.9014726457714523E-3"/>
    <n v="0.32059151609615916"/>
    <n v="1.4401717774428304E-2"/>
    <n v="2.3195944453042454E-2"/>
    <n v="6.4130528282791222E-3"/>
    <s v="Estatal"/>
  </r>
  <r>
    <x v="0"/>
    <s v="Nuevo León"/>
    <s v="19"/>
    <s v="19.01"/>
    <s v="Monterrey"/>
    <s v="19019"/>
    <s v="San Pedro Garza García"/>
    <x v="4"/>
    <s v="Quemas Agrícolas"/>
    <n v="0"/>
    <n v="0"/>
    <n v="0"/>
    <n v="0"/>
    <n v="0"/>
    <n v="0"/>
    <n v="0"/>
    <s v="Estatal"/>
  </r>
  <r>
    <x v="0"/>
    <s v="Nuevo León"/>
    <s v="19"/>
    <m/>
    <m/>
    <s v="19020"/>
    <s v="General Bravo"/>
    <x v="4"/>
    <s v="Quemas Agrícolas"/>
    <n v="3.9029157443183298"/>
    <n v="3.7277902943589671"/>
    <n v="0.13109219467658706"/>
    <n v="17.420113091475628"/>
    <n v="1.0003861823794409"/>
    <n v="1.2288116591213232"/>
    <n v="0.34837967510700096"/>
    <s v="Estatal"/>
  </r>
  <r>
    <x v="0"/>
    <s v="Nuevo León"/>
    <s v="19"/>
    <s v="19.01"/>
    <s v="Monterrey"/>
    <s v="19021"/>
    <s v="General Escobedo"/>
    <x v="4"/>
    <s v="Quemas Agrícolas"/>
    <n v="0.52428393284842145"/>
    <n v="0.50049743075006004"/>
    <n v="1.7655960320433279E-2"/>
    <n v="2.2805615413892988"/>
    <n v="0.13315536741660097"/>
    <n v="0.15105654940815139"/>
    <n v="4.5611230827785974E-2"/>
    <s v="Estatal"/>
  </r>
  <r>
    <x v="0"/>
    <s v="Nuevo León"/>
    <s v="19"/>
    <m/>
    <m/>
    <s v="19022"/>
    <s v="General Terán"/>
    <x v="4"/>
    <s v="Quemas Agrícolas"/>
    <n v="2.4487016496794918"/>
    <n v="2.324742893195646"/>
    <n v="0.17408065719096308"/>
    <n v="24.554146199553252"/>
    <n v="0.91208733723481938"/>
    <n v="1.9696603673031092"/>
    <n v="0.49147611900072646"/>
    <s v="Estatal"/>
  </r>
  <r>
    <x v="0"/>
    <s v="Nuevo León"/>
    <s v="19"/>
    <m/>
    <m/>
    <s v="19023"/>
    <s v="General Treviño"/>
    <x v="4"/>
    <s v="Quemas Agrícolas"/>
    <n v="0.71441466912081208"/>
    <n v="0.68168651800480284"/>
    <n v="2.6574948390849094E-2"/>
    <n v="3.536657115422885"/>
    <n v="0.18974086462557577"/>
    <n v="0.24751267173525437"/>
    <n v="7.0741357220435466E-2"/>
    <s v="Estatal"/>
  </r>
  <r>
    <x v="0"/>
    <s v="Nuevo León"/>
    <s v="19"/>
    <m/>
    <m/>
    <s v="19024"/>
    <s v="General Zaragoza"/>
    <x v="4"/>
    <s v="Quemas Agrícolas"/>
    <n v="1.306076346004422"/>
    <n v="1.2544289937787638"/>
    <n v="3.8461577567947609E-2"/>
    <n v="8.9727792519775118"/>
    <n v="0.36616859244212274"/>
    <n v="0.96634968518522557"/>
    <n v="0.17940892263729633"/>
    <s v="Estatal"/>
  </r>
  <r>
    <x v="0"/>
    <s v="Nuevo León"/>
    <s v="19"/>
    <s v="19.01"/>
    <s v="Monterrey"/>
    <s v="19025"/>
    <s v="General Zuazua"/>
    <x v="4"/>
    <s v="Quemas Agrícolas"/>
    <n v="7.6352029055595377E-2"/>
    <n v="7.2887975351950504E-2"/>
    <n v="2.5712563573446522E-3"/>
    <n v="0.33212061282368427"/>
    <n v="1.9391558361640922E-2"/>
    <n v="2.199852661283758E-2"/>
    <n v="6.6424122564736864E-3"/>
    <s v="Estatal"/>
  </r>
  <r>
    <x v="0"/>
    <s v="Nuevo León"/>
    <s v="19"/>
    <s v="19.01"/>
    <s v="Monterrey"/>
    <s v="19026"/>
    <s v="Guadalupe"/>
    <x v="4"/>
    <s v="Quemas Agrícolas"/>
    <n v="0"/>
    <n v="0"/>
    <n v="0"/>
    <n v="0"/>
    <n v="0"/>
    <n v="0"/>
    <n v="0"/>
    <s v="Estatal"/>
  </r>
  <r>
    <x v="0"/>
    <s v="Nuevo León"/>
    <s v="19"/>
    <m/>
    <m/>
    <s v="19027"/>
    <s v="Los Herreras"/>
    <x v="4"/>
    <s v="Quemas Agrícolas"/>
    <n v="0.11151253126652942"/>
    <n v="0.10568435018988157"/>
    <n v="9.130817020081677E-3"/>
    <n v="1.2956046533388232"/>
    <n v="4.5265539695298521E-2"/>
    <n v="0.10529580478477167"/>
    <n v="2.5935405791083062E-2"/>
    <s v="Estatal"/>
  </r>
  <r>
    <x v="0"/>
    <s v="Nuevo León"/>
    <s v="19"/>
    <m/>
    <m/>
    <s v="19028"/>
    <s v="Higueras"/>
    <x v="4"/>
    <s v="Quemas Agrícolas"/>
    <n v="0"/>
    <n v="0"/>
    <n v="0"/>
    <n v="0"/>
    <n v="0"/>
    <n v="0"/>
    <n v="0"/>
    <s v="Estatal"/>
  </r>
  <r>
    <x v="0"/>
    <s v="Nuevo León"/>
    <s v="19"/>
    <m/>
    <m/>
    <s v="19029"/>
    <s v="Hualahuises"/>
    <x v="4"/>
    <s v="Quemas Agrícolas"/>
    <n v="0.81962994428518066"/>
    <n v="0.78261487721111989"/>
    <n v="2.7571934837345949E-2"/>
    <n v="3.6041939645813934"/>
    <n v="0.20896913000246178"/>
    <n v="0.24531546875644777"/>
    <n v="7.2081894886721509E-2"/>
    <s v="Estatal"/>
  </r>
  <r>
    <x v="0"/>
    <s v="Nuevo León"/>
    <s v="19"/>
    <m/>
    <m/>
    <s v="19030"/>
    <s v="Iturbide"/>
    <x v="4"/>
    <s v="Quemas Agrícolas"/>
    <n v="7.3847983882946638E-2"/>
    <n v="7.0991122004637142E-2"/>
    <n v="2.3998392668550094E-3"/>
    <n v="0.43347563953168172"/>
    <n v="2.1071731543590246E-2"/>
    <n v="4.7707101657904094E-2"/>
    <n v="8.6637894764829346E-3"/>
    <s v="Estatal"/>
  </r>
  <r>
    <x v="0"/>
    <s v="Nuevo León"/>
    <s v="19"/>
    <s v="19.01"/>
    <s v="Monterrey"/>
    <s v="19031"/>
    <s v="Juárez"/>
    <x v="4"/>
    <s v="Quemas Agrícolas"/>
    <n v="5.1773563193574609E-2"/>
    <n v="4.9476798255641483E-2"/>
    <n v="1.7343376214246282E-3"/>
    <n v="0.23707319726659831"/>
    <n v="1.3394060894141751E-2"/>
    <n v="1.7710858604315583E-2"/>
    <n v="4.7408589438361209E-3"/>
    <s v="Estatal"/>
  </r>
  <r>
    <x v="0"/>
    <s v="Nuevo León"/>
    <s v="19"/>
    <m/>
    <m/>
    <s v="19032"/>
    <s v="Lampazos de Naranjo"/>
    <x v="4"/>
    <s v="Quemas Agrícolas"/>
    <n v="2.7134317088684154E-3"/>
    <n v="2.6129342381695851E-3"/>
    <n v="8.7389104955504533E-5"/>
    <n v="1.6944747450872325E-2"/>
    <n v="7.9524085509509121E-4"/>
    <n v="1.9924715929855031E-3"/>
    <n v="3.3863278170258006E-4"/>
    <s v="Estatal"/>
  </r>
  <r>
    <x v="0"/>
    <s v="Nuevo León"/>
    <s v="19"/>
    <m/>
    <m/>
    <s v="19033"/>
    <s v="Linares"/>
    <x v="4"/>
    <s v="Quemas Agrícolas"/>
    <n v="5.6664727756721494"/>
    <n v="5.4136317129154063"/>
    <n v="0.18971855379495001"/>
    <n v="26.006194327216445"/>
    <n v="1.4578082852846128"/>
    <n v="1.9098449141567881"/>
    <n v="0.5200728143347213"/>
    <s v="Estatal"/>
  </r>
  <r>
    <x v="0"/>
    <s v="Nuevo León"/>
    <s v="19"/>
    <m/>
    <m/>
    <s v="19034"/>
    <s v="Marín"/>
    <x v="4"/>
    <s v="Quemas Agrícolas"/>
    <n v="0.15569825532905726"/>
    <n v="0.14863430267848732"/>
    <n v="5.2433462973302718E-3"/>
    <n v="0.6772655634051602"/>
    <n v="3.9543569992365808E-2"/>
    <n v="4.485974054382566E-2"/>
    <n v="1.3545311268103205E-2"/>
    <s v="Estatal"/>
  </r>
  <r>
    <x v="0"/>
    <s v="Nuevo León"/>
    <s v="19"/>
    <m/>
    <m/>
    <s v="19035"/>
    <s v="Melchor Ocampo"/>
    <x v="4"/>
    <s v="Quemas Agrícolas"/>
    <n v="0.50036029707766838"/>
    <n v="0.47765919847311555"/>
    <n v="1.6850299995131955E-2"/>
    <n v="2.1764970827045445"/>
    <n v="0.12707934579662017"/>
    <n v="0.14416367773612893"/>
    <n v="4.3529941654090888E-2"/>
    <s v="Estatal"/>
  </r>
  <r>
    <x v="0"/>
    <s v="Nuevo León"/>
    <s v="19"/>
    <m/>
    <m/>
    <s v="19036"/>
    <s v="Mier y Noriega"/>
    <x v="4"/>
    <s v="Quemas Agrícolas"/>
    <n v="0.24426729694265614"/>
    <n v="0.23522036001885405"/>
    <n v="7.866901672871374E-3"/>
    <n v="1.5253922343697592"/>
    <n v="7.1588805223129492E-2"/>
    <n v="0.17936535814146731"/>
    <n v="3.0484243982376574E-2"/>
    <s v="Estatal"/>
  </r>
  <r>
    <x v="0"/>
    <s v="Nuevo León"/>
    <s v="19"/>
    <m/>
    <m/>
    <s v="19037"/>
    <s v="Mina"/>
    <x v="4"/>
    <s v="Quemas Agrícolas"/>
    <n v="3.2229337185949565E-2"/>
    <n v="3.0695053392484614E-2"/>
    <n v="9.3714731706514513E-4"/>
    <n v="0.21093558653112593"/>
    <n v="7.1934677856065705E-3"/>
    <n v="1.6608803564706842E-2"/>
    <n v="4.2200366838984205E-3"/>
    <s v="Estatal"/>
  </r>
  <r>
    <x v="0"/>
    <s v="Nuevo León"/>
    <s v="19"/>
    <m/>
    <m/>
    <s v="19038"/>
    <s v="Montemorelos"/>
    <x v="4"/>
    <s v="Quemas Agrícolas"/>
    <n v="1.3159149994628769"/>
    <n v="1.2535666745031904"/>
    <n v="6.2185054102301518E-2"/>
    <n v="8.5746766348766581"/>
    <n v="0.39367125899632255"/>
    <n v="0.64020447588398188"/>
    <n v="0.17157144093608462"/>
    <s v="Estatal"/>
  </r>
  <r>
    <x v="0"/>
    <s v="Nuevo León"/>
    <s v="19"/>
    <s v="19.01"/>
    <s v="Monterrey"/>
    <s v="19039"/>
    <s v="Monterrey"/>
    <x v="4"/>
    <s v="Quemas Agrícolas"/>
    <n v="0"/>
    <n v="0"/>
    <n v="0"/>
    <n v="0"/>
    <n v="0"/>
    <n v="0"/>
    <n v="0"/>
    <s v="Estatal"/>
  </r>
  <r>
    <x v="0"/>
    <s v="Nuevo León"/>
    <s v="19"/>
    <m/>
    <m/>
    <s v="19040"/>
    <s v="Parás"/>
    <x v="4"/>
    <s v="Quemas Agrícolas"/>
    <n v="1.1859737887616883E-2"/>
    <n v="1.1284877230182179E-2"/>
    <n v="3.4180903955577049E-4"/>
    <n v="7.7911745319348649E-2"/>
    <n v="2.5791045711935413E-3"/>
    <n v="5.8987953947579191E-3"/>
    <n v="1.5588563773679834E-3"/>
    <s v="Estatal"/>
  </r>
  <r>
    <x v="0"/>
    <s v="Nuevo León"/>
    <s v="19"/>
    <s v="19.01"/>
    <s v="Monterrey"/>
    <s v="19041"/>
    <s v="Pesquería"/>
    <x v="4"/>
    <s v="Quemas Agrícolas"/>
    <n v="3.2415521354616983"/>
    <n v="3.0890192003430479"/>
    <n v="0.1582082552849475"/>
    <n v="21.966825906912359"/>
    <n v="0.98644013604645964"/>
    <n v="1.6991172632786655"/>
    <n v="0.43952809690358602"/>
    <s v="Estatal"/>
  </r>
  <r>
    <x v="0"/>
    <s v="Nuevo León"/>
    <s v="19"/>
    <m/>
    <m/>
    <s v="19042"/>
    <s v="Los Ramones"/>
    <x v="4"/>
    <s v="Quemas Agrícolas"/>
    <n v="1.4377905173237637"/>
    <n v="1.3638290732528833"/>
    <n v="0.11031793228514593"/>
    <n v="15.726698749315757"/>
    <n v="0.5612994211827832"/>
    <n v="1.2775851756288648"/>
    <n v="0.31479486231968362"/>
    <s v="Estatal"/>
  </r>
  <r>
    <x v="0"/>
    <s v="Nuevo León"/>
    <s v="19"/>
    <m/>
    <m/>
    <s v="19043"/>
    <s v="Rayones"/>
    <x v="4"/>
    <s v="Quemas Agrícolas"/>
    <n v="0"/>
    <n v="0"/>
    <n v="0"/>
    <n v="0"/>
    <n v="0"/>
    <n v="0"/>
    <n v="0"/>
    <s v="Estatal"/>
  </r>
  <r>
    <x v="0"/>
    <s v="Nuevo León"/>
    <s v="19"/>
    <m/>
    <m/>
    <s v="19044"/>
    <s v="Sabinas Hidalgo"/>
    <x v="4"/>
    <s v="Quemas Agrícolas"/>
    <n v="0.51380424258588886"/>
    <n v="0.4904931988390081"/>
    <n v="1.7303042781189895E-2"/>
    <n v="2.2349763592370286"/>
    <n v="0.13049378097480716"/>
    <n v="0.14803714379462468"/>
    <n v="4.4699527184740573E-2"/>
    <s v="Estatal"/>
  </r>
  <r>
    <x v="0"/>
    <s v="Nuevo León"/>
    <s v="19"/>
    <s v="19.01"/>
    <s v="Monterrey"/>
    <s v="19045"/>
    <s v="Salinas Victoria"/>
    <x v="4"/>
    <s v="Quemas Agrícolas"/>
    <n v="0.16434792474285098"/>
    <n v="0.15667444596950753"/>
    <n v="5.0670471808810947E-3"/>
    <n v="0.93941081364304568"/>
    <n v="3.8666164052175864E-2"/>
    <n v="7.0875444318165004E-2"/>
    <n v="1.8792272169277865E-2"/>
    <s v="Estatal"/>
  </r>
  <r>
    <x v="0"/>
    <s v="Nuevo León"/>
    <s v="19"/>
    <s v="19.01"/>
    <s v="Monterrey"/>
    <s v="19046"/>
    <s v="San Nicolás de los Garza"/>
    <x v="4"/>
    <s v="Quemas Agrícolas"/>
    <n v="0"/>
    <n v="0"/>
    <n v="0"/>
    <n v="0"/>
    <n v="0"/>
    <n v="0"/>
    <n v="0"/>
    <s v="Estatal"/>
  </r>
  <r>
    <x v="0"/>
    <s v="Nuevo León"/>
    <s v="19"/>
    <s v="19.01"/>
    <s v="Monterrey"/>
    <s v="19047"/>
    <s v="Hidalgo"/>
    <x v="4"/>
    <s v="Quemas Agrícolas"/>
    <n v="6.4485462493687404E-2"/>
    <n v="6.1396980274185921E-2"/>
    <n v="1.8695554557461649E-3"/>
    <n v="0.42257573091535849"/>
    <n v="1.4269666114601696E-2"/>
    <n v="3.2845211903123492E-2"/>
    <n v="8.4544085421289633E-3"/>
    <s v="Estatal"/>
  </r>
  <r>
    <x v="0"/>
    <s v="Nuevo León"/>
    <s v="19"/>
    <s v="19.01"/>
    <s v="Monterrey"/>
    <s v="19048"/>
    <s v="Santa Catarina"/>
    <x v="4"/>
    <s v="Quemas Agrícolas"/>
    <n v="0"/>
    <n v="0"/>
    <n v="0"/>
    <n v="0"/>
    <n v="0"/>
    <n v="0"/>
    <n v="0"/>
    <s v="Estatal"/>
  </r>
  <r>
    <x v="0"/>
    <s v="Nuevo León"/>
    <s v="19"/>
    <s v="19.01"/>
    <s v="Monterrey"/>
    <s v="19049"/>
    <s v="Santiago"/>
    <x v="4"/>
    <s v="Quemas Agrícolas"/>
    <n v="0"/>
    <n v="0"/>
    <n v="0"/>
    <n v="0"/>
    <n v="0"/>
    <n v="0"/>
    <n v="0"/>
    <s v="Estatal"/>
  </r>
  <r>
    <x v="0"/>
    <s v="Nuevo León"/>
    <s v="19"/>
    <m/>
    <m/>
    <s v="19050"/>
    <s v="Vallecillo"/>
    <x v="4"/>
    <s v="Quemas Agrícolas"/>
    <n v="0.21395114926478082"/>
    <n v="0.20347081926918492"/>
    <n v="7.7018102091327379E-3"/>
    <n v="1.5516528082981424"/>
    <n v="5.1981143688291868E-2"/>
    <n v="0.11934710905392551"/>
    <n v="3.104880112822507E-2"/>
    <s v="Estatal"/>
  </r>
  <r>
    <x v="0"/>
    <s v="Nuevo León"/>
    <s v="19"/>
    <m/>
    <m/>
    <s v="19051"/>
    <s v="Villaldama"/>
    <x v="4"/>
    <s v="Quemas Agrícolas"/>
    <n v="0.10129531642147685"/>
    <n v="9.6545592525166896E-2"/>
    <n v="3.1702078382319955E-3"/>
    <n v="0.55081201603080554"/>
    <n v="2.3914070585066588E-2"/>
    <n v="3.9573988123129164E-2"/>
    <n v="1.1018841827048247E-2"/>
    <s v="Estatal"/>
  </r>
  <r>
    <x v="4"/>
    <m/>
    <m/>
    <m/>
    <m/>
    <m/>
    <m/>
    <x v="12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09">
  <r>
    <x v="0"/>
    <s v="Nuevo León"/>
    <s v="19"/>
    <s v="19.01"/>
    <s v="Monterrey"/>
    <s v="19001"/>
    <s v="Abasolo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06"/>
    <s v="Apodac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09"/>
    <s v="Cadereyta Jiménez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10"/>
    <s v="El Carmen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12"/>
    <s v="Ciénega de Flores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18"/>
    <s v="Garcí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19"/>
    <s v="San Pedro Garza Garcí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21"/>
    <s v="General Escobedo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25"/>
    <s v="General Zuazu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26"/>
    <s v="Guadalupe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31"/>
    <s v="Juárez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39"/>
    <s v="Monterrey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41"/>
    <s v="Pesquerí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45"/>
    <s v="Salinas Victori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46"/>
    <s v="San Nicolás de los Garz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47"/>
    <s v="Hidalgo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48"/>
    <s v="Santa Catarina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49"/>
    <s v="Santiago"/>
    <x v="0"/>
    <x v="0"/>
    <n v="0"/>
    <n v="0"/>
    <n v="0"/>
    <n v="0"/>
    <n v="0"/>
    <n v="0"/>
    <n v="0"/>
    <s v="Estatal"/>
  </r>
  <r>
    <x v="0"/>
    <s v="Nuevo León"/>
    <s v="19"/>
    <s v="19.01"/>
    <s v="Monterrey"/>
    <s v="19001"/>
    <s v="Abasolo"/>
    <x v="0"/>
    <x v="1"/>
    <n v="0.29122564894441072"/>
    <n v="0.28180139706032864"/>
    <n v="1.1969003684427947E-2"/>
    <n v="2.4265818773929677"/>
    <n v="0.60519823534717099"/>
    <n v="0.97713770858609206"/>
    <n v="1.5902545152450633E-2"/>
    <s v="Estatal"/>
  </r>
  <r>
    <x v="0"/>
    <s v="Nuevo León"/>
    <s v="19"/>
    <s v="19.01"/>
    <s v="Monterrey"/>
    <s v="19006"/>
    <s v="Apodaca"/>
    <x v="0"/>
    <x v="1"/>
    <n v="13.931175906433502"/>
    <n v="13.588630557479757"/>
    <n v="0.78430556429963183"/>
    <n v="119.64240311648521"/>
    <n v="68.389852019980864"/>
    <n v="37.509164173389969"/>
    <n v="0.66895785175391032"/>
    <s v="Estatal"/>
  </r>
  <r>
    <x v="0"/>
    <s v="Nuevo León"/>
    <s v="19"/>
    <s v="19.01"/>
    <s v="Monterrey"/>
    <s v="19009"/>
    <s v="Cadereyta Jiménez"/>
    <x v="0"/>
    <x v="1"/>
    <n v="8.2943279768750884"/>
    <n v="8.0160031032564802"/>
    <n v="0.30493792779856049"/>
    <n v="69.86204320990845"/>
    <n v="13.164489602320304"/>
    <n v="28.758508010425537"/>
    <n v="0.48559429462697051"/>
    <s v="Estatal"/>
  </r>
  <r>
    <x v="0"/>
    <s v="Nuevo León"/>
    <s v="19"/>
    <s v="19.01"/>
    <s v="Monterrey"/>
    <s v="19010"/>
    <s v="El Carmen"/>
    <x v="0"/>
    <x v="1"/>
    <n v="2.7952792945782137"/>
    <n v="2.7027629854280946"/>
    <n v="0.10555983273791265"/>
    <n v="23.567938284187019"/>
    <n v="4.9115425549614145"/>
    <n v="9.5811536573567793"/>
    <n v="0.1621463587708262"/>
    <s v="Estatal"/>
  </r>
  <r>
    <x v="0"/>
    <s v="Nuevo León"/>
    <s v="19"/>
    <s v="19.01"/>
    <s v="Monterrey"/>
    <s v="19012"/>
    <s v="Ciénega de Flores"/>
    <x v="0"/>
    <x v="1"/>
    <n v="2.9733092565292076"/>
    <n v="2.875680766383673"/>
    <n v="0.11398277545662196"/>
    <n v="25.083308164001263"/>
    <n v="5.5133635488357839"/>
    <n v="10.123967523184843"/>
    <n v="0.17155683351898635"/>
    <s v="Estatal"/>
  </r>
  <r>
    <x v="0"/>
    <s v="Nuevo León"/>
    <s v="19"/>
    <s v="19.01"/>
    <s v="Monterrey"/>
    <s v="19018"/>
    <s v="García"/>
    <x v="0"/>
    <x v="1"/>
    <n v="16.097052587099707"/>
    <n v="15.572103901446335"/>
    <n v="0.62492234082030329"/>
    <n v="135.86353791740316"/>
    <n v="31.181150988480027"/>
    <n v="54.498838982932064"/>
    <n v="0.92455957536462885"/>
    <s v="Estatal"/>
  </r>
  <r>
    <x v="0"/>
    <s v="Nuevo León"/>
    <s v="19"/>
    <s v="19.01"/>
    <s v="Monterrey"/>
    <s v="19019"/>
    <s v="San Pedro Garza García"/>
    <x v="0"/>
    <x v="1"/>
    <n v="2.4232091890553509"/>
    <n v="2.3717781544279148"/>
    <n v="0.1541799159314117"/>
    <n v="20.960990017060681"/>
    <n v="14.915563004179006"/>
    <n v="5.8200993477525769"/>
    <n v="0.10679086103081503"/>
    <s v="Estatal"/>
  </r>
  <r>
    <x v="0"/>
    <s v="Nuevo León"/>
    <s v="19"/>
    <s v="19.01"/>
    <s v="Monterrey"/>
    <s v="19021"/>
    <s v="General Escobedo"/>
    <x v="0"/>
    <x v="1"/>
    <n v="18.62206180338022"/>
    <n v="18.050641149011145"/>
    <n v="0.80108770281131991"/>
    <n v="157.8363168654364"/>
    <n v="49.360720623504562"/>
    <n v="59.948315867816177"/>
    <n v="1.0274798946981158"/>
    <s v="Estatal"/>
  </r>
  <r>
    <x v="0"/>
    <s v="Nuevo León"/>
    <s v="19"/>
    <s v="19.01"/>
    <s v="Monterrey"/>
    <s v="19025"/>
    <s v="General Zuazua"/>
    <x v="0"/>
    <x v="1"/>
    <n v="4.7628228938447394"/>
    <n v="4.6051531721363519"/>
    <n v="0.1797905354938458"/>
    <n v="40.156290806546046"/>
    <n v="8.3565023530144362"/>
    <n v="16.32798672061352"/>
    <n v="0.27631538479318862"/>
    <s v="Estatal"/>
  </r>
  <r>
    <x v="0"/>
    <s v="Nuevo León"/>
    <s v="19"/>
    <s v="19.01"/>
    <s v="Monterrey"/>
    <s v="19026"/>
    <s v="Guadalupe"/>
    <x v="0"/>
    <x v="1"/>
    <n v="22.05246714493299"/>
    <n v="21.438288434757638"/>
    <n v="1.084809397453766"/>
    <n v="188.06331559120832"/>
    <n v="81.607560043784176"/>
    <n v="65.591243130889524"/>
    <n v="1.1433833097579933"/>
    <s v="Estatal"/>
  </r>
  <r>
    <x v="0"/>
    <s v="Nuevo León"/>
    <s v="19"/>
    <s v="19.01"/>
    <s v="Monterrey"/>
    <s v="19031"/>
    <s v="Juárez"/>
    <x v="0"/>
    <x v="1"/>
    <n v="24.3104921282651"/>
    <n v="23.502819293440869"/>
    <n v="0.91139019422530376"/>
    <n v="204.91325807826283"/>
    <n v="41.582094820543951"/>
    <n v="83.591490559955147"/>
    <n v="1.4137698301918691"/>
    <s v="Estatal"/>
  </r>
  <r>
    <x v="0"/>
    <s v="Nuevo León"/>
    <s v="19"/>
    <s v="19.01"/>
    <s v="Monterrey"/>
    <s v="19039"/>
    <s v="Monterrey"/>
    <x v="0"/>
    <x v="1"/>
    <n v="41.363363304498939"/>
    <n v="40.160983415199681"/>
    <n v="1.9250193560906141"/>
    <n v="351.8182857319548"/>
    <n v="134.40794946217241"/>
    <n v="127.38066987810537"/>
    <n v="2.2037557036469972"/>
    <s v="Estatal"/>
  </r>
  <r>
    <x v="0"/>
    <s v="Nuevo León"/>
    <s v="19"/>
    <s v="19.01"/>
    <s v="Monterrey"/>
    <s v="19041"/>
    <s v="Pesquería"/>
    <x v="0"/>
    <x v="1"/>
    <n v="5.5978733522859896"/>
    <n v="5.4162797358324024"/>
    <n v="0.21941546408005425"/>
    <n v="47.265302951747778"/>
    <n v="11.199588115423474"/>
    <n v="18.869333657864363"/>
    <n v="0.32039434021041024"/>
    <s v="Estatal"/>
  </r>
  <r>
    <x v="0"/>
    <s v="Nuevo León"/>
    <s v="19"/>
    <s v="19.01"/>
    <s v="Monterrey"/>
    <s v="19045"/>
    <s v="Salinas Victoria"/>
    <x v="0"/>
    <x v="1"/>
    <n v="7.7681768297702725"/>
    <n v="7.4950001090863374"/>
    <n v="0.25834952880504969"/>
    <n v="65.199892339001323"/>
    <n v="7.6961820093952849"/>
    <n v="28.014826995725539"/>
    <n v="0.46947249709396394"/>
    <s v="Estatal"/>
  </r>
  <r>
    <x v="0"/>
    <s v="Nuevo León"/>
    <s v="19"/>
    <s v="19.01"/>
    <s v="Monterrey"/>
    <s v="19046"/>
    <s v="San Nicolás de los Garza"/>
    <x v="0"/>
    <x v="1"/>
    <n v="10.311745789492539"/>
    <n v="10.062544147073195"/>
    <n v="0.59000762846759891"/>
    <n v="88.638440315030579"/>
    <n v="52.232190666962957"/>
    <n v="27.388349978292162"/>
    <n v="0.49005319198584102"/>
    <s v="Estatal"/>
  </r>
  <r>
    <x v="0"/>
    <s v="Nuevo León"/>
    <s v="19"/>
    <s v="19.01"/>
    <s v="Monterrey"/>
    <s v="19047"/>
    <s v="Hidalgo"/>
    <x v="0"/>
    <x v="1"/>
    <n v="0.75905980494855452"/>
    <n v="0.73508010028737081"/>
    <n v="3.1154414134295001E-2"/>
    <n v="6.4209857325832793"/>
    <n v="1.7571858373950164"/>
    <n v="2.5030042922804454"/>
    <n v="4.2689831111577405E-2"/>
    <s v="Estatal"/>
  </r>
  <r>
    <x v="0"/>
    <s v="Nuevo León"/>
    <s v="19"/>
    <s v="19.01"/>
    <s v="Monterrey"/>
    <s v="19048"/>
    <s v="Santa Catarina"/>
    <x v="0"/>
    <x v="1"/>
    <n v="20.273359315196821"/>
    <n v="19.604537930825387"/>
    <n v="0.77033108926311211"/>
    <n v="170.97135650872895"/>
    <n v="36.42700418145143"/>
    <n v="69.30161379476101"/>
    <n v="1.1734463858239876"/>
    <s v="Estatal"/>
  </r>
  <r>
    <x v="0"/>
    <s v="Nuevo León"/>
    <s v="19"/>
    <s v="19.01"/>
    <s v="Monterrey"/>
    <s v="19049"/>
    <s v="Santiago"/>
    <x v="0"/>
    <x v="1"/>
    <n v="8.9938256291502192"/>
    <n v="8.6724508399817584"/>
    <n v="0.28800905457536563"/>
    <n v="75.393121640470184"/>
    <n v="7.0224370346472869"/>
    <n v="32.875305902533761"/>
    <n v="0.54952822783704092"/>
    <s v="Estatal"/>
  </r>
  <r>
    <x v="0"/>
    <s v="Nuevo León"/>
    <s v="19"/>
    <s v="19.01"/>
    <s v="Monterrey"/>
    <s v="19001"/>
    <s v="Abasolo"/>
    <x v="1"/>
    <x v="2"/>
    <m/>
    <m/>
    <m/>
    <m/>
    <m/>
    <n v="0.1215797869899277"/>
    <m/>
    <s v="Estatal"/>
  </r>
  <r>
    <x v="0"/>
    <s v="Nuevo León"/>
    <s v="19"/>
    <s v="19.01"/>
    <s v="Monterrey"/>
    <s v="19006"/>
    <s v="Apodaca"/>
    <x v="1"/>
    <x v="2"/>
    <m/>
    <m/>
    <m/>
    <m/>
    <m/>
    <n v="1.7772030173413882"/>
    <m/>
    <s v="Estatal"/>
  </r>
  <r>
    <x v="0"/>
    <s v="Nuevo León"/>
    <s v="19"/>
    <s v="19.01"/>
    <s v="Monterrey"/>
    <s v="19009"/>
    <s v="Cadereyta Jiménez"/>
    <x v="1"/>
    <x v="2"/>
    <m/>
    <m/>
    <m/>
    <m/>
    <m/>
    <n v="4.0638393168587337"/>
    <m/>
    <s v="Estatal"/>
  </r>
  <r>
    <x v="0"/>
    <s v="Nuevo León"/>
    <s v="19"/>
    <s v="19.01"/>
    <s v="Monterrey"/>
    <s v="19010"/>
    <s v="El Carmen"/>
    <x v="1"/>
    <x v="2"/>
    <m/>
    <m/>
    <m/>
    <m/>
    <m/>
    <n v="0.25783299654760533"/>
    <m/>
    <s v="Estatal"/>
  </r>
  <r>
    <x v="0"/>
    <s v="Nuevo León"/>
    <s v="19"/>
    <s v="19.01"/>
    <s v="Monterrey"/>
    <s v="19012"/>
    <s v="Ciénega de Flores"/>
    <x v="1"/>
    <x v="2"/>
    <m/>
    <m/>
    <m/>
    <m/>
    <m/>
    <n v="0.2753013567473076"/>
    <m/>
    <s v="Estatal"/>
  </r>
  <r>
    <x v="0"/>
    <s v="Nuevo León"/>
    <s v="19"/>
    <s v="19.01"/>
    <s v="Monterrey"/>
    <s v="19018"/>
    <s v="García"/>
    <x v="1"/>
    <x v="2"/>
    <m/>
    <m/>
    <m/>
    <m/>
    <m/>
    <n v="2.789305832623977"/>
    <m/>
    <s v="Estatal"/>
  </r>
  <r>
    <x v="0"/>
    <s v="Nuevo León"/>
    <s v="19"/>
    <s v="19.01"/>
    <s v="Monterrey"/>
    <s v="19019"/>
    <s v="San Pedro Garza García"/>
    <x v="1"/>
    <x v="2"/>
    <m/>
    <m/>
    <m/>
    <m/>
    <m/>
    <n v="0"/>
    <m/>
    <s v="Estatal"/>
  </r>
  <r>
    <x v="0"/>
    <s v="Nuevo León"/>
    <s v="19"/>
    <s v="19.01"/>
    <s v="Monterrey"/>
    <s v="19021"/>
    <s v="General Escobedo"/>
    <x v="1"/>
    <x v="2"/>
    <m/>
    <m/>
    <m/>
    <m/>
    <m/>
    <n v="1.0835973199079305"/>
    <m/>
    <s v="Estatal"/>
  </r>
  <r>
    <x v="0"/>
    <s v="Nuevo León"/>
    <s v="19"/>
    <s v="19.01"/>
    <s v="Monterrey"/>
    <s v="19025"/>
    <s v="General Zuazua"/>
    <x v="1"/>
    <x v="2"/>
    <m/>
    <m/>
    <m/>
    <m/>
    <m/>
    <n v="0.40666342544906858"/>
    <m/>
    <s v="Estatal"/>
  </r>
  <r>
    <x v="0"/>
    <s v="Nuevo León"/>
    <s v="19"/>
    <s v="19.01"/>
    <s v="Monterrey"/>
    <s v="19026"/>
    <s v="Guadalupe"/>
    <x v="1"/>
    <x v="2"/>
    <m/>
    <m/>
    <m/>
    <m/>
    <m/>
    <n v="0.29207098253902181"/>
    <m/>
    <s v="Estatal"/>
  </r>
  <r>
    <x v="0"/>
    <s v="Nuevo León"/>
    <s v="19"/>
    <s v="19.01"/>
    <s v="Monterrey"/>
    <s v="19031"/>
    <s v="Juárez"/>
    <x v="1"/>
    <x v="2"/>
    <m/>
    <m/>
    <m/>
    <m/>
    <m/>
    <n v="0.93770157552001732"/>
    <m/>
    <s v="Estatal"/>
  </r>
  <r>
    <x v="0"/>
    <s v="Nuevo León"/>
    <s v="19"/>
    <s v="19.01"/>
    <s v="Monterrey"/>
    <s v="19039"/>
    <s v="Monterrey"/>
    <x v="1"/>
    <x v="2"/>
    <m/>
    <m/>
    <m/>
    <m/>
    <m/>
    <n v="9.0835473038451742E-2"/>
    <m/>
    <s v="Estatal"/>
  </r>
  <r>
    <x v="0"/>
    <s v="Nuevo León"/>
    <s v="19"/>
    <s v="19.01"/>
    <s v="Monterrey"/>
    <s v="19041"/>
    <s v="Pesquería"/>
    <x v="1"/>
    <x v="2"/>
    <m/>
    <m/>
    <m/>
    <m/>
    <m/>
    <n v="1.3117620534923617"/>
    <m/>
    <s v="Estatal"/>
  </r>
  <r>
    <x v="0"/>
    <s v="Nuevo León"/>
    <s v="19"/>
    <s v="19.01"/>
    <s v="Monterrey"/>
    <s v="19045"/>
    <s v="Salinas Victoria"/>
    <x v="1"/>
    <x v="2"/>
    <m/>
    <m/>
    <m/>
    <m/>
    <m/>
    <n v="2.4972767741494351"/>
    <m/>
    <s v="Estatal"/>
  </r>
  <r>
    <x v="0"/>
    <s v="Nuevo León"/>
    <s v="19"/>
    <s v="19.01"/>
    <s v="Monterrey"/>
    <s v="19046"/>
    <s v="San Nicolás de los Garza"/>
    <x v="1"/>
    <x v="2"/>
    <m/>
    <m/>
    <m/>
    <m/>
    <m/>
    <n v="9.7822817118332645E-3"/>
    <m/>
    <s v="Estatal"/>
  </r>
  <r>
    <x v="0"/>
    <s v="Nuevo León"/>
    <s v="19"/>
    <s v="19.01"/>
    <s v="Monterrey"/>
    <s v="19047"/>
    <s v="Hidalgo"/>
    <x v="1"/>
    <x v="2"/>
    <m/>
    <m/>
    <m/>
    <m/>
    <m/>
    <n v="9.7822817118332656E-2"/>
    <m/>
    <s v="Estatal"/>
  </r>
  <r>
    <x v="0"/>
    <s v="Nuevo León"/>
    <s v="19"/>
    <s v="19.01"/>
    <s v="Monterrey"/>
    <s v="19048"/>
    <s v="Santa Catarina"/>
    <x v="1"/>
    <x v="2"/>
    <m/>
    <m/>
    <m/>
    <m/>
    <m/>
    <n v="0.43265634542622561"/>
    <m/>
    <s v="Estatal"/>
  </r>
  <r>
    <x v="0"/>
    <s v="Nuevo León"/>
    <s v="19"/>
    <s v="19.01"/>
    <s v="Monterrey"/>
    <s v="19049"/>
    <s v="Santiago"/>
    <x v="1"/>
    <x v="2"/>
    <m/>
    <m/>
    <m/>
    <m/>
    <m/>
    <n v="1.7454385511542498"/>
    <m/>
    <s v="Estatal"/>
  </r>
  <r>
    <x v="0"/>
    <s v="Nuevo León"/>
    <s v="19"/>
    <s v="19.01"/>
    <s v="Monterrey"/>
    <s v="19001"/>
    <s v="Abasolo"/>
    <x v="1"/>
    <x v="3"/>
    <m/>
    <m/>
    <m/>
    <m/>
    <m/>
    <n v="0"/>
    <m/>
    <s v="Estatal"/>
  </r>
  <r>
    <x v="0"/>
    <s v="Nuevo León"/>
    <s v="19"/>
    <s v="19.01"/>
    <s v="Monterrey"/>
    <s v="19006"/>
    <s v="Apodaca"/>
    <x v="1"/>
    <x v="3"/>
    <m/>
    <m/>
    <m/>
    <m/>
    <m/>
    <n v="1.2506316290571045"/>
    <m/>
    <s v="Estatal"/>
  </r>
  <r>
    <x v="0"/>
    <s v="Nuevo León"/>
    <s v="19"/>
    <s v="19.01"/>
    <s v="Monterrey"/>
    <s v="19009"/>
    <s v="Cadereyta Jiménez"/>
    <x v="1"/>
    <x v="3"/>
    <m/>
    <m/>
    <m/>
    <m/>
    <m/>
    <n v="0.3110379181074665"/>
    <m/>
    <s v="Estatal"/>
  </r>
  <r>
    <x v="0"/>
    <s v="Nuevo León"/>
    <s v="19"/>
    <s v="19.01"/>
    <s v="Monterrey"/>
    <s v="19010"/>
    <s v="El Carmen"/>
    <x v="1"/>
    <x v="3"/>
    <m/>
    <m/>
    <m/>
    <m/>
    <m/>
    <n v="2.5919826508955548E-2"/>
    <m/>
    <s v="Estatal"/>
  </r>
  <r>
    <x v="0"/>
    <s v="Nuevo León"/>
    <s v="19"/>
    <s v="19.01"/>
    <s v="Monterrey"/>
    <s v="19012"/>
    <s v="Ciénega de Flores"/>
    <x v="1"/>
    <x v="3"/>
    <m/>
    <m/>
    <m/>
    <m/>
    <m/>
    <n v="2.5919826508955548E-2"/>
    <m/>
    <s v="Estatal"/>
  </r>
  <r>
    <x v="0"/>
    <s v="Nuevo León"/>
    <s v="19"/>
    <s v="19.01"/>
    <s v="Monterrey"/>
    <s v="19018"/>
    <s v="García"/>
    <x v="1"/>
    <x v="3"/>
    <m/>
    <m/>
    <m/>
    <m/>
    <m/>
    <n v="0.20735861207164438"/>
    <m/>
    <s v="Estatal"/>
  </r>
  <r>
    <x v="0"/>
    <s v="Nuevo León"/>
    <s v="19"/>
    <s v="19.01"/>
    <s v="Monterrey"/>
    <s v="19019"/>
    <s v="San Pedro Garza García"/>
    <x v="1"/>
    <x v="3"/>
    <m/>
    <m/>
    <m/>
    <m/>
    <m/>
    <n v="1.7431083327272601"/>
    <m/>
    <s v="Estatal"/>
  </r>
  <r>
    <x v="0"/>
    <s v="Nuevo León"/>
    <s v="19"/>
    <s v="19.01"/>
    <s v="Monterrey"/>
    <s v="19021"/>
    <s v="General Escobedo"/>
    <x v="1"/>
    <x v="3"/>
    <m/>
    <m/>
    <m/>
    <m/>
    <m/>
    <n v="0.80351462177762167"/>
    <m/>
    <s v="Estatal"/>
  </r>
  <r>
    <x v="0"/>
    <s v="Nuevo León"/>
    <s v="19"/>
    <s v="19.01"/>
    <s v="Monterrey"/>
    <s v="19025"/>
    <s v="General Zuazua"/>
    <x v="1"/>
    <x v="3"/>
    <m/>
    <m/>
    <m/>
    <m/>
    <m/>
    <n v="0.13607908917201664"/>
    <m/>
    <s v="Estatal"/>
  </r>
  <r>
    <x v="0"/>
    <s v="Nuevo León"/>
    <s v="19"/>
    <s v="19.01"/>
    <s v="Monterrey"/>
    <s v="19026"/>
    <s v="Guadalupe"/>
    <x v="1"/>
    <x v="3"/>
    <m/>
    <m/>
    <m/>
    <m/>
    <m/>
    <n v="3.0131798316660805"/>
    <m/>
    <s v="Estatal"/>
  </r>
  <r>
    <x v="0"/>
    <s v="Nuevo León"/>
    <s v="19"/>
    <s v="19.01"/>
    <s v="Monterrey"/>
    <s v="19031"/>
    <s v="Juárez"/>
    <x v="1"/>
    <x v="3"/>
    <m/>
    <m/>
    <m/>
    <m/>
    <m/>
    <n v="0.23327843858059993"/>
    <m/>
    <s v="Estatal"/>
  </r>
  <r>
    <x v="0"/>
    <s v="Nuevo León"/>
    <s v="19"/>
    <s v="19.01"/>
    <s v="Monterrey"/>
    <s v="19039"/>
    <s v="Monterrey"/>
    <x v="1"/>
    <x v="3"/>
    <m/>
    <m/>
    <m/>
    <m/>
    <m/>
    <n v="9.4283368926325775"/>
    <m/>
    <s v="Estatal"/>
  </r>
  <r>
    <x v="0"/>
    <s v="Nuevo León"/>
    <s v="19"/>
    <s v="19.01"/>
    <s v="Monterrey"/>
    <s v="19041"/>
    <s v="Pesquería"/>
    <x v="1"/>
    <x v="3"/>
    <m/>
    <m/>
    <m/>
    <m/>
    <m/>
    <n v="0"/>
    <m/>
    <s v="Estatal"/>
  </r>
  <r>
    <x v="0"/>
    <s v="Nuevo León"/>
    <s v="19"/>
    <s v="19.01"/>
    <s v="Monterrey"/>
    <s v="19045"/>
    <s v="Salinas Victoria"/>
    <x v="1"/>
    <x v="3"/>
    <m/>
    <m/>
    <m/>
    <m/>
    <m/>
    <n v="5.1839653017911096E-2"/>
    <m/>
    <s v="Estatal"/>
  </r>
  <r>
    <x v="0"/>
    <s v="Nuevo León"/>
    <s v="19"/>
    <s v="19.01"/>
    <s v="Monterrey"/>
    <s v="19046"/>
    <s v="San Nicolás de los Garza"/>
    <x v="1"/>
    <x v="3"/>
    <m/>
    <m/>
    <m/>
    <m/>
    <m/>
    <n v="3.4408569690638466"/>
    <m/>
    <s v="Estatal"/>
  </r>
  <r>
    <x v="0"/>
    <s v="Nuevo León"/>
    <s v="19"/>
    <s v="19.01"/>
    <s v="Monterrey"/>
    <s v="19047"/>
    <s v="Hidalgo"/>
    <x v="1"/>
    <x v="3"/>
    <m/>
    <m/>
    <m/>
    <m/>
    <m/>
    <n v="0"/>
    <m/>
    <s v="Estatal"/>
  </r>
  <r>
    <x v="0"/>
    <s v="Nuevo León"/>
    <s v="19"/>
    <s v="19.01"/>
    <s v="Monterrey"/>
    <s v="19048"/>
    <s v="Santa Catarina"/>
    <x v="1"/>
    <x v="3"/>
    <m/>
    <m/>
    <m/>
    <m/>
    <m/>
    <n v="0.80999457840486055"/>
    <m/>
    <s v="Estatal"/>
  </r>
  <r>
    <x v="0"/>
    <s v="Nuevo León"/>
    <s v="19"/>
    <s v="19.01"/>
    <s v="Monterrey"/>
    <s v="19049"/>
    <s v="Santiago"/>
    <x v="1"/>
    <x v="3"/>
    <m/>
    <m/>
    <m/>
    <m/>
    <m/>
    <n v="7.775947952686664E-2"/>
    <m/>
    <s v="Estatal"/>
  </r>
  <r>
    <x v="0"/>
    <s v="Nuevo León"/>
    <s v="19"/>
    <s v="19.01"/>
    <s v="Monterrey"/>
    <s v="19001"/>
    <s v="Abasolo"/>
    <x v="1"/>
    <x v="4"/>
    <m/>
    <m/>
    <m/>
    <m/>
    <m/>
    <n v="5.3807774324988289"/>
    <m/>
    <s v="Estatal"/>
  </r>
  <r>
    <x v="0"/>
    <s v="Nuevo León"/>
    <s v="19"/>
    <s v="19.01"/>
    <s v="Monterrey"/>
    <s v="19006"/>
    <s v="Apodaca"/>
    <x v="1"/>
    <x v="4"/>
    <m/>
    <m/>
    <m/>
    <m/>
    <m/>
    <n v="2865.1256199573622"/>
    <m/>
    <s v="Estatal"/>
  </r>
  <r>
    <x v="0"/>
    <s v="Nuevo León"/>
    <s v="19"/>
    <s v="19.01"/>
    <s v="Monterrey"/>
    <s v="19009"/>
    <s v="Cadereyta Jiménez"/>
    <x v="1"/>
    <x v="4"/>
    <m/>
    <m/>
    <m/>
    <m/>
    <m/>
    <n v="223.62511009465135"/>
    <m/>
    <s v="Estatal"/>
  </r>
  <r>
    <x v="0"/>
    <s v="Nuevo León"/>
    <s v="19"/>
    <s v="19.01"/>
    <s v="Monterrey"/>
    <s v="19010"/>
    <s v="El Carmen"/>
    <x v="1"/>
    <x v="4"/>
    <m/>
    <m/>
    <m/>
    <m/>
    <m/>
    <n v="135.34961290205629"/>
    <m/>
    <s v="Estatal"/>
  </r>
  <r>
    <x v="0"/>
    <s v="Nuevo León"/>
    <s v="19"/>
    <s v="19.01"/>
    <s v="Monterrey"/>
    <s v="19012"/>
    <s v="Ciénega de Flores"/>
    <x v="1"/>
    <x v="4"/>
    <m/>
    <m/>
    <m/>
    <m/>
    <m/>
    <n v="96.085311294621945"/>
    <m/>
    <s v="Estatal"/>
  </r>
  <r>
    <x v="0"/>
    <s v="Nuevo León"/>
    <s v="19"/>
    <s v="19.01"/>
    <s v="Monterrey"/>
    <s v="19018"/>
    <s v="García"/>
    <x v="1"/>
    <x v="4"/>
    <m/>
    <m/>
    <m/>
    <m/>
    <m/>
    <n v="498.65970514437726"/>
    <m/>
    <s v="Estatal"/>
  </r>
  <r>
    <x v="0"/>
    <s v="Nuevo León"/>
    <s v="19"/>
    <s v="19.01"/>
    <s v="Monterrey"/>
    <s v="19019"/>
    <s v="San Pedro Garza García"/>
    <x v="1"/>
    <x v="4"/>
    <m/>
    <m/>
    <m/>
    <m/>
    <m/>
    <n v="242.38096285936155"/>
    <m/>
    <s v="Estatal"/>
  </r>
  <r>
    <x v="0"/>
    <s v="Nuevo León"/>
    <s v="19"/>
    <s v="19.01"/>
    <s v="Monterrey"/>
    <s v="19021"/>
    <s v="General Escobedo"/>
    <x v="1"/>
    <x v="4"/>
    <m/>
    <m/>
    <m/>
    <m/>
    <m/>
    <n v="889.76535623800646"/>
    <m/>
    <s v="Estatal"/>
  </r>
  <r>
    <x v="0"/>
    <s v="Nuevo León"/>
    <s v="19"/>
    <s v="19.01"/>
    <s v="Monterrey"/>
    <s v="19025"/>
    <s v="General Zuazua"/>
    <x v="1"/>
    <x v="4"/>
    <m/>
    <m/>
    <m/>
    <m/>
    <m/>
    <n v="432.18404337830594"/>
    <m/>
    <s v="Estatal"/>
  </r>
  <r>
    <x v="0"/>
    <s v="Nuevo León"/>
    <s v="19"/>
    <s v="19.01"/>
    <s v="Monterrey"/>
    <s v="19026"/>
    <s v="Guadalupe"/>
    <x v="1"/>
    <x v="4"/>
    <m/>
    <m/>
    <m/>
    <m/>
    <m/>
    <n v="1566.1444531529164"/>
    <m/>
    <s v="Estatal"/>
  </r>
  <r>
    <x v="0"/>
    <s v="Nuevo León"/>
    <s v="19"/>
    <s v="19.01"/>
    <s v="Monterrey"/>
    <s v="19031"/>
    <s v="Juárez"/>
    <x v="1"/>
    <x v="4"/>
    <m/>
    <m/>
    <m/>
    <m/>
    <m/>
    <n v="173.41476982453369"/>
    <m/>
    <s v="Estatal"/>
  </r>
  <r>
    <x v="0"/>
    <s v="Nuevo León"/>
    <s v="19"/>
    <s v="19.01"/>
    <s v="Monterrey"/>
    <s v="19039"/>
    <s v="Monterrey"/>
    <x v="1"/>
    <x v="4"/>
    <m/>
    <m/>
    <m/>
    <m/>
    <m/>
    <n v="2545.4459458677034"/>
    <m/>
    <s v="Estatal"/>
  </r>
  <r>
    <x v="0"/>
    <s v="Nuevo León"/>
    <s v="19"/>
    <s v="19.01"/>
    <s v="Monterrey"/>
    <s v="19041"/>
    <s v="Pesquería"/>
    <x v="1"/>
    <x v="4"/>
    <m/>
    <m/>
    <m/>
    <m/>
    <m/>
    <n v="51.655463351988757"/>
    <m/>
    <s v="Estatal"/>
  </r>
  <r>
    <x v="0"/>
    <s v="Nuevo León"/>
    <s v="19"/>
    <s v="19.01"/>
    <s v="Monterrey"/>
    <s v="19045"/>
    <s v="Salinas Victoria"/>
    <x v="1"/>
    <x v="4"/>
    <m/>
    <m/>
    <m/>
    <m/>
    <m/>
    <n v="59.403782854787075"/>
    <m/>
    <s v="Estatal"/>
  </r>
  <r>
    <x v="0"/>
    <s v="Nuevo León"/>
    <s v="19"/>
    <s v="19.01"/>
    <s v="Monterrey"/>
    <s v="19046"/>
    <s v="San Nicolás de los Garza"/>
    <x v="1"/>
    <x v="4"/>
    <m/>
    <m/>
    <m/>
    <m/>
    <m/>
    <n v="1394.3285429083251"/>
    <m/>
    <s v="Estatal"/>
  </r>
  <r>
    <x v="0"/>
    <s v="Nuevo León"/>
    <s v="19"/>
    <s v="19.01"/>
    <s v="Monterrey"/>
    <s v="19047"/>
    <s v="Hidalgo"/>
    <x v="1"/>
    <x v="4"/>
    <m/>
    <m/>
    <m/>
    <m/>
    <m/>
    <n v="7.2871100085841292"/>
    <m/>
    <s v="Estatal"/>
  </r>
  <r>
    <x v="0"/>
    <s v="Nuevo León"/>
    <s v="19"/>
    <s v="19.01"/>
    <s v="Monterrey"/>
    <s v="19048"/>
    <s v="Santa Catarina"/>
    <x v="1"/>
    <x v="4"/>
    <m/>
    <m/>
    <m/>
    <m/>
    <m/>
    <n v="1308.328345887187"/>
    <m/>
    <s v="Estatal"/>
  </r>
  <r>
    <x v="0"/>
    <s v="Nuevo León"/>
    <s v="19"/>
    <s v="19.01"/>
    <s v="Monterrey"/>
    <s v="19049"/>
    <s v="Santiago"/>
    <x v="1"/>
    <x v="4"/>
    <m/>
    <m/>
    <m/>
    <m/>
    <m/>
    <n v="22.998980111480712"/>
    <m/>
    <s v="Estatal"/>
  </r>
  <r>
    <x v="0"/>
    <s v="Nuevo León"/>
    <s v="19"/>
    <s v="19.01"/>
    <s v="Monterrey"/>
    <s v="19001"/>
    <s v="Abasolo"/>
    <x v="1"/>
    <x v="5"/>
    <m/>
    <m/>
    <m/>
    <m/>
    <m/>
    <n v="0"/>
    <m/>
    <s v="Estatal"/>
  </r>
  <r>
    <x v="0"/>
    <s v="Nuevo León"/>
    <s v="19"/>
    <s v="19.01"/>
    <s v="Monterrey"/>
    <s v="19006"/>
    <s v="Apodaca"/>
    <x v="1"/>
    <x v="5"/>
    <m/>
    <m/>
    <m/>
    <m/>
    <m/>
    <n v="59.479827549028094"/>
    <m/>
    <s v="Estatal"/>
  </r>
  <r>
    <x v="0"/>
    <s v="Nuevo León"/>
    <s v="19"/>
    <s v="19.01"/>
    <s v="Monterrey"/>
    <s v="19009"/>
    <s v="Cadereyta Jiménez"/>
    <x v="1"/>
    <x v="5"/>
    <m/>
    <m/>
    <m/>
    <m/>
    <m/>
    <n v="19.437852140205269"/>
    <m/>
    <s v="Estatal"/>
  </r>
  <r>
    <x v="0"/>
    <s v="Nuevo León"/>
    <s v="19"/>
    <s v="19.01"/>
    <s v="Monterrey"/>
    <s v="19010"/>
    <s v="El Carmen"/>
    <x v="1"/>
    <x v="5"/>
    <m/>
    <m/>
    <m/>
    <m/>
    <m/>
    <n v="0"/>
    <m/>
    <s v="Estatal"/>
  </r>
  <r>
    <x v="0"/>
    <s v="Nuevo León"/>
    <s v="19"/>
    <s v="19.01"/>
    <s v="Monterrey"/>
    <s v="19012"/>
    <s v="Ciénega de Flores"/>
    <x v="1"/>
    <x v="5"/>
    <m/>
    <m/>
    <m/>
    <m/>
    <m/>
    <n v="3.1100563424328422"/>
    <m/>
    <s v="Estatal"/>
  </r>
  <r>
    <x v="0"/>
    <s v="Nuevo León"/>
    <s v="19"/>
    <s v="19.01"/>
    <s v="Monterrey"/>
    <s v="19018"/>
    <s v="García"/>
    <x v="1"/>
    <x v="5"/>
    <m/>
    <m/>
    <m/>
    <m/>
    <m/>
    <n v="4.6650845136492629"/>
    <m/>
    <s v="Estatal"/>
  </r>
  <r>
    <x v="0"/>
    <s v="Nuevo León"/>
    <s v="19"/>
    <s v="19.01"/>
    <s v="Monterrey"/>
    <s v="19019"/>
    <s v="San Pedro Garza García"/>
    <x v="1"/>
    <x v="5"/>
    <m/>
    <m/>
    <m/>
    <m/>
    <m/>
    <n v="51.315929650141904"/>
    <m/>
    <s v="Estatal"/>
  </r>
  <r>
    <x v="0"/>
    <s v="Nuevo León"/>
    <s v="19"/>
    <s v="19.01"/>
    <s v="Monterrey"/>
    <s v="19021"/>
    <s v="General Escobedo"/>
    <x v="1"/>
    <x v="5"/>
    <m/>
    <m/>
    <m/>
    <m/>
    <m/>
    <n v="49.760901478925469"/>
    <m/>
    <s v="Estatal"/>
  </r>
  <r>
    <x v="0"/>
    <s v="Nuevo León"/>
    <s v="19"/>
    <s v="19.01"/>
    <s v="Monterrey"/>
    <s v="19025"/>
    <s v="General Zuazua"/>
    <x v="1"/>
    <x v="5"/>
    <m/>
    <m/>
    <m/>
    <m/>
    <m/>
    <n v="2.3325422568246319"/>
    <m/>
    <s v="Estatal"/>
  </r>
  <r>
    <x v="0"/>
    <s v="Nuevo León"/>
    <s v="19"/>
    <s v="19.01"/>
    <s v="Monterrey"/>
    <s v="19026"/>
    <s v="Guadalupe"/>
    <x v="1"/>
    <x v="5"/>
    <m/>
    <m/>
    <m/>
    <m/>
    <m/>
    <n v="186.60338054597062"/>
    <m/>
    <s v="Estatal"/>
  </r>
  <r>
    <x v="0"/>
    <s v="Nuevo León"/>
    <s v="19"/>
    <s v="19.01"/>
    <s v="Monterrey"/>
    <s v="19031"/>
    <s v="Juárez"/>
    <x v="1"/>
    <x v="5"/>
    <m/>
    <m/>
    <m/>
    <m/>
    <m/>
    <n v="17.299688404782685"/>
    <m/>
    <s v="Estatal"/>
  </r>
  <r>
    <x v="0"/>
    <s v="Nuevo León"/>
    <s v="19"/>
    <s v="19.01"/>
    <s v="Monterrey"/>
    <s v="19039"/>
    <s v="Monterrey"/>
    <x v="1"/>
    <x v="5"/>
    <m/>
    <m/>
    <m/>
    <m/>
    <m/>
    <n v="487.11257463354519"/>
    <m/>
    <s v="Estatal"/>
  </r>
  <r>
    <x v="0"/>
    <s v="Nuevo León"/>
    <s v="19"/>
    <s v="19.01"/>
    <s v="Monterrey"/>
    <s v="19041"/>
    <s v="Pesquería"/>
    <x v="1"/>
    <x v="5"/>
    <m/>
    <m/>
    <m/>
    <m/>
    <m/>
    <n v="1.5550281712164211"/>
    <m/>
    <s v="Estatal"/>
  </r>
  <r>
    <x v="0"/>
    <s v="Nuevo León"/>
    <s v="19"/>
    <s v="19.01"/>
    <s v="Monterrey"/>
    <s v="19045"/>
    <s v="Salinas Victoria"/>
    <x v="1"/>
    <x v="5"/>
    <m/>
    <m/>
    <m/>
    <m/>
    <m/>
    <n v="5.6369771206595267"/>
    <m/>
    <s v="Estatal"/>
  </r>
  <r>
    <x v="0"/>
    <s v="Nuevo León"/>
    <s v="19"/>
    <s v="19.01"/>
    <s v="Monterrey"/>
    <s v="19046"/>
    <s v="San Nicolás de los Garza"/>
    <x v="1"/>
    <x v="5"/>
    <m/>
    <m/>
    <m/>
    <m/>
    <m/>
    <n v="113.32267797739682"/>
    <m/>
    <s v="Estatal"/>
  </r>
  <r>
    <x v="0"/>
    <s v="Nuevo León"/>
    <s v="19"/>
    <s v="19.01"/>
    <s v="Monterrey"/>
    <s v="19047"/>
    <s v="Hidalgo"/>
    <x v="1"/>
    <x v="5"/>
    <m/>
    <m/>
    <m/>
    <m/>
    <m/>
    <n v="0.77751408560821056"/>
    <m/>
    <s v="Estatal"/>
  </r>
  <r>
    <x v="0"/>
    <s v="Nuevo León"/>
    <s v="19"/>
    <s v="19.01"/>
    <s v="Monterrey"/>
    <s v="19048"/>
    <s v="Santa Catarina"/>
    <x v="1"/>
    <x v="5"/>
    <m/>
    <m/>
    <m/>
    <m/>
    <m/>
    <n v="27.601750039091474"/>
    <m/>
    <s v="Estatal"/>
  </r>
  <r>
    <x v="0"/>
    <s v="Nuevo León"/>
    <s v="19"/>
    <s v="19.01"/>
    <s v="Monterrey"/>
    <s v="19049"/>
    <s v="Santiago"/>
    <x v="1"/>
    <x v="5"/>
    <m/>
    <m/>
    <m/>
    <m/>
    <m/>
    <n v="7.1920052918759474"/>
    <m/>
    <s v="Estatal"/>
  </r>
  <r>
    <x v="0"/>
    <s v="Nuevo León"/>
    <s v="19"/>
    <s v="19.01"/>
    <s v="Monterrey"/>
    <s v="19001"/>
    <s v="Abasolo"/>
    <x v="1"/>
    <x v="6"/>
    <m/>
    <m/>
    <m/>
    <m/>
    <m/>
    <n v="2.2078457792419734"/>
    <m/>
    <s v="Estatal"/>
  </r>
  <r>
    <x v="0"/>
    <s v="Nuevo León"/>
    <s v="19"/>
    <s v="19.01"/>
    <s v="Monterrey"/>
    <s v="19006"/>
    <s v="Apodaca"/>
    <x v="1"/>
    <x v="6"/>
    <m/>
    <m/>
    <m/>
    <m/>
    <m/>
    <n v="682.87064245932879"/>
    <m/>
    <s v="Estatal"/>
  </r>
  <r>
    <x v="0"/>
    <s v="Nuevo León"/>
    <s v="19"/>
    <s v="19.01"/>
    <s v="Monterrey"/>
    <s v="19009"/>
    <s v="Cadereyta Jiménez"/>
    <x v="1"/>
    <x v="6"/>
    <m/>
    <m/>
    <m/>
    <m/>
    <m/>
    <n v="86.607768522082893"/>
    <m/>
    <s v="Estatal"/>
  </r>
  <r>
    <x v="0"/>
    <s v="Nuevo León"/>
    <s v="19"/>
    <s v="19.01"/>
    <s v="Monterrey"/>
    <s v="19010"/>
    <s v="El Carmen"/>
    <x v="1"/>
    <x v="6"/>
    <m/>
    <m/>
    <m/>
    <m/>
    <m/>
    <n v="40.034265375236743"/>
    <m/>
    <s v="Estatal"/>
  </r>
  <r>
    <x v="0"/>
    <s v="Nuevo León"/>
    <s v="19"/>
    <s v="19.01"/>
    <s v="Monterrey"/>
    <s v="19012"/>
    <s v="Ciénega de Flores"/>
    <x v="1"/>
    <x v="6"/>
    <m/>
    <m/>
    <m/>
    <m/>
    <m/>
    <n v="49.532016491030383"/>
    <m/>
    <s v="Estatal"/>
  </r>
  <r>
    <x v="0"/>
    <s v="Nuevo León"/>
    <s v="19"/>
    <s v="19.01"/>
    <s v="Monterrey"/>
    <s v="19018"/>
    <s v="García"/>
    <x v="1"/>
    <x v="6"/>
    <m/>
    <m/>
    <m/>
    <m/>
    <m/>
    <n v="284.82414831737435"/>
    <m/>
    <s v="Estatal"/>
  </r>
  <r>
    <x v="0"/>
    <s v="Nuevo León"/>
    <s v="19"/>
    <s v="19.01"/>
    <s v="Monterrey"/>
    <s v="19019"/>
    <s v="San Pedro Garza García"/>
    <x v="1"/>
    <x v="6"/>
    <m/>
    <m/>
    <m/>
    <m/>
    <m/>
    <n v="145.58936494826892"/>
    <m/>
    <s v="Estatal"/>
  </r>
  <r>
    <x v="0"/>
    <s v="Nuevo León"/>
    <s v="19"/>
    <s v="19.01"/>
    <s v="Monterrey"/>
    <s v="19021"/>
    <s v="General Escobedo"/>
    <x v="1"/>
    <x v="6"/>
    <m/>
    <m/>
    <m/>
    <m/>
    <m/>
    <n v="477.39245718285918"/>
    <m/>
    <s v="Estatal"/>
  </r>
  <r>
    <x v="0"/>
    <s v="Nuevo León"/>
    <s v="19"/>
    <s v="19.01"/>
    <s v="Monterrey"/>
    <s v="19025"/>
    <s v="General Zuazua"/>
    <x v="1"/>
    <x v="6"/>
    <m/>
    <m/>
    <m/>
    <m/>
    <m/>
    <n v="89.490010830256935"/>
    <m/>
    <s v="Estatal"/>
  </r>
  <r>
    <x v="0"/>
    <s v="Nuevo León"/>
    <s v="19"/>
    <s v="19.01"/>
    <s v="Monterrey"/>
    <s v="19026"/>
    <s v="Guadalupe"/>
    <x v="1"/>
    <x v="6"/>
    <m/>
    <m/>
    <m/>
    <m/>
    <m/>
    <n v="754.73802970618294"/>
    <m/>
    <s v="Estatal"/>
  </r>
  <r>
    <x v="0"/>
    <s v="Nuevo León"/>
    <s v="19"/>
    <s v="19.01"/>
    <s v="Monterrey"/>
    <s v="19031"/>
    <s v="Juárez"/>
    <x v="1"/>
    <x v="6"/>
    <m/>
    <m/>
    <m/>
    <m/>
    <m/>
    <n v="384.18925117842292"/>
    <m/>
    <s v="Estatal"/>
  </r>
  <r>
    <x v="0"/>
    <s v="Nuevo León"/>
    <s v="19"/>
    <s v="19.01"/>
    <s v="Monterrey"/>
    <s v="19039"/>
    <s v="Monterrey"/>
    <x v="1"/>
    <x v="6"/>
    <m/>
    <m/>
    <m/>
    <m/>
    <m/>
    <n v="1189.4548351088188"/>
    <m/>
    <s v="Estatal"/>
  </r>
  <r>
    <x v="0"/>
    <s v="Nuevo León"/>
    <s v="19"/>
    <s v="19.01"/>
    <s v="Monterrey"/>
    <s v="19041"/>
    <s v="Pesquería"/>
    <x v="1"/>
    <x v="6"/>
    <m/>
    <m/>
    <m/>
    <m/>
    <m/>
    <n v="49.873229020549623"/>
    <m/>
    <s v="Estatal"/>
  </r>
  <r>
    <x v="0"/>
    <s v="Nuevo León"/>
    <s v="19"/>
    <s v="19.01"/>
    <s v="Monterrey"/>
    <s v="19045"/>
    <s v="Salinas Victoria"/>
    <x v="1"/>
    <x v="6"/>
    <m/>
    <m/>
    <m/>
    <m/>
    <m/>
    <n v="51.442806656338"/>
    <m/>
    <s v="Estatal"/>
  </r>
  <r>
    <x v="0"/>
    <s v="Nuevo León"/>
    <s v="19"/>
    <s v="19.01"/>
    <s v="Monterrey"/>
    <s v="19046"/>
    <s v="San Nicolás de los Garza"/>
    <x v="1"/>
    <x v="6"/>
    <m/>
    <m/>
    <m/>
    <m/>
    <m/>
    <n v="508.65153915187221"/>
    <m/>
    <s v="Estatal"/>
  </r>
  <r>
    <x v="0"/>
    <s v="Nuevo León"/>
    <s v="19"/>
    <s v="19.01"/>
    <s v="Monterrey"/>
    <s v="19047"/>
    <s v="Hidalgo"/>
    <x v="1"/>
    <x v="6"/>
    <m/>
    <m/>
    <m/>
    <m/>
    <m/>
    <n v="16.980341174897365"/>
    <m/>
    <s v="Estatal"/>
  </r>
  <r>
    <x v="0"/>
    <s v="Nuevo León"/>
    <s v="19"/>
    <s v="19.01"/>
    <s v="Monterrey"/>
    <s v="19048"/>
    <s v="Santa Catarina"/>
    <x v="1"/>
    <x v="6"/>
    <m/>
    <m/>
    <m/>
    <m/>
    <m/>
    <n v="337.81244701918143"/>
    <m/>
    <s v="Estatal"/>
  </r>
  <r>
    <x v="0"/>
    <s v="Nuevo León"/>
    <s v="19"/>
    <s v="19.01"/>
    <s v="Monterrey"/>
    <s v="19049"/>
    <s v="Santiago"/>
    <x v="1"/>
    <x v="6"/>
    <m/>
    <m/>
    <m/>
    <m/>
    <m/>
    <n v="44.923640209994439"/>
    <m/>
    <s v="Estatal"/>
  </r>
  <r>
    <x v="0"/>
    <s v="Nuevo León"/>
    <s v="19"/>
    <s v="19.01"/>
    <s v="Monterrey"/>
    <s v="19001"/>
    <s v="Abasolo"/>
    <x v="1"/>
    <x v="7"/>
    <m/>
    <m/>
    <m/>
    <m/>
    <m/>
    <n v="0"/>
    <m/>
    <s v="Estatal"/>
  </r>
  <r>
    <x v="0"/>
    <s v="Nuevo León"/>
    <s v="19"/>
    <s v="19.01"/>
    <s v="Monterrey"/>
    <s v="19006"/>
    <s v="Apodaca"/>
    <x v="1"/>
    <x v="7"/>
    <m/>
    <m/>
    <m/>
    <m/>
    <m/>
    <n v="597.71153388063976"/>
    <m/>
    <s v="Estatal"/>
  </r>
  <r>
    <x v="0"/>
    <s v="Nuevo León"/>
    <s v="19"/>
    <s v="19.01"/>
    <s v="Monterrey"/>
    <s v="19009"/>
    <s v="Cadereyta Jiménez"/>
    <x v="1"/>
    <x v="7"/>
    <m/>
    <m/>
    <m/>
    <m/>
    <m/>
    <n v="84.844451446506582"/>
    <m/>
    <s v="Estatal"/>
  </r>
  <r>
    <x v="0"/>
    <s v="Nuevo León"/>
    <s v="19"/>
    <s v="19.01"/>
    <s v="Monterrey"/>
    <s v="19010"/>
    <s v="El Carmen"/>
    <x v="1"/>
    <x v="7"/>
    <m/>
    <m/>
    <m/>
    <m/>
    <m/>
    <n v="37.04846671486073"/>
    <m/>
    <s v="Estatal"/>
  </r>
  <r>
    <x v="0"/>
    <s v="Nuevo León"/>
    <s v="19"/>
    <s v="19.01"/>
    <s v="Monterrey"/>
    <s v="19012"/>
    <s v="Ciénega de Flores"/>
    <x v="1"/>
    <x v="7"/>
    <m/>
    <m/>
    <m/>
    <m/>
    <m/>
    <n v="11.91352081610226"/>
    <m/>
    <s v="Estatal"/>
  </r>
  <r>
    <x v="0"/>
    <s v="Nuevo León"/>
    <s v="19"/>
    <s v="19.01"/>
    <s v="Monterrey"/>
    <s v="19018"/>
    <s v="García"/>
    <x v="1"/>
    <x v="7"/>
    <m/>
    <m/>
    <m/>
    <m/>
    <m/>
    <n v="84.058312567926052"/>
    <m/>
    <s v="Estatal"/>
  </r>
  <r>
    <x v="0"/>
    <s v="Nuevo León"/>
    <s v="19"/>
    <s v="19.01"/>
    <s v="Monterrey"/>
    <s v="19019"/>
    <s v="San Pedro Garza García"/>
    <x v="1"/>
    <x v="7"/>
    <m/>
    <m/>
    <m/>
    <m/>
    <m/>
    <n v="29.467812929303104"/>
    <m/>
    <s v="Estatal"/>
  </r>
  <r>
    <x v="0"/>
    <s v="Nuevo León"/>
    <s v="19"/>
    <s v="19.01"/>
    <s v="Monterrey"/>
    <s v="19021"/>
    <s v="General Escobedo"/>
    <x v="1"/>
    <x v="7"/>
    <m/>
    <m/>
    <m/>
    <m/>
    <m/>
    <n v="172.52713830481622"/>
    <m/>
    <s v="Estatal"/>
  </r>
  <r>
    <x v="0"/>
    <s v="Nuevo León"/>
    <s v="19"/>
    <s v="19.01"/>
    <s v="Monterrey"/>
    <s v="19025"/>
    <s v="General Zuazua"/>
    <x v="1"/>
    <x v="7"/>
    <m/>
    <m/>
    <m/>
    <m/>
    <m/>
    <n v="151.94578911947875"/>
    <m/>
    <s v="Estatal"/>
  </r>
  <r>
    <x v="0"/>
    <s v="Nuevo León"/>
    <s v="19"/>
    <s v="19.01"/>
    <s v="Monterrey"/>
    <s v="19026"/>
    <s v="Guadalupe"/>
    <x v="1"/>
    <x v="7"/>
    <m/>
    <m/>
    <m/>
    <m/>
    <m/>
    <n v="377.48609578447457"/>
    <m/>
    <s v="Estatal"/>
  </r>
  <r>
    <x v="0"/>
    <s v="Nuevo León"/>
    <s v="19"/>
    <s v="19.01"/>
    <s v="Monterrey"/>
    <s v="19031"/>
    <s v="Juárez"/>
    <x v="1"/>
    <x v="7"/>
    <m/>
    <m/>
    <m/>
    <m/>
    <m/>
    <n v="21.591773987074458"/>
    <m/>
    <s v="Estatal"/>
  </r>
  <r>
    <x v="0"/>
    <s v="Nuevo León"/>
    <s v="19"/>
    <s v="19.01"/>
    <s v="Monterrey"/>
    <s v="19039"/>
    <s v="Monterrey"/>
    <x v="1"/>
    <x v="7"/>
    <m/>
    <m/>
    <m/>
    <m/>
    <m/>
    <n v="428.63180871810795"/>
    <m/>
    <s v="Estatal"/>
  </r>
  <r>
    <x v="0"/>
    <s v="Nuevo León"/>
    <s v="19"/>
    <s v="19.01"/>
    <s v="Monterrey"/>
    <s v="19041"/>
    <s v="Pesquería"/>
    <x v="1"/>
    <x v="7"/>
    <m/>
    <m/>
    <m/>
    <m/>
    <m/>
    <n v="50.129116709035024"/>
    <m/>
    <s v="Estatal"/>
  </r>
  <r>
    <x v="0"/>
    <s v="Nuevo León"/>
    <s v="19"/>
    <s v="19.01"/>
    <s v="Monterrey"/>
    <s v="19045"/>
    <s v="Salinas Victoria"/>
    <x v="1"/>
    <x v="7"/>
    <m/>
    <m/>
    <m/>
    <m/>
    <m/>
    <n v="27.917312485211731"/>
    <m/>
    <s v="Estatal"/>
  </r>
  <r>
    <x v="0"/>
    <s v="Nuevo León"/>
    <s v="19"/>
    <s v="19.01"/>
    <s v="Monterrey"/>
    <s v="19046"/>
    <s v="San Nicolás de los Garza"/>
    <x v="1"/>
    <x v="7"/>
    <m/>
    <m/>
    <m/>
    <m/>
    <m/>
    <n v="298.49440216914417"/>
    <m/>
    <s v="Estatal"/>
  </r>
  <r>
    <x v="0"/>
    <s v="Nuevo León"/>
    <s v="19"/>
    <s v="19.01"/>
    <s v="Monterrey"/>
    <s v="19047"/>
    <s v="Hidalgo"/>
    <x v="1"/>
    <x v="7"/>
    <m/>
    <m/>
    <m/>
    <m/>
    <m/>
    <n v="1.1432722118567549"/>
    <m/>
    <s v="Estatal"/>
  </r>
  <r>
    <x v="0"/>
    <s v="Nuevo León"/>
    <s v="19"/>
    <s v="19.01"/>
    <s v="Monterrey"/>
    <s v="19048"/>
    <s v="Santa Catarina"/>
    <x v="1"/>
    <x v="7"/>
    <m/>
    <m/>
    <m/>
    <m/>
    <m/>
    <n v="147.91323098584786"/>
    <m/>
    <s v="Estatal"/>
  </r>
  <r>
    <x v="0"/>
    <s v="Nuevo León"/>
    <s v="19"/>
    <s v="19.01"/>
    <s v="Monterrey"/>
    <s v="19049"/>
    <s v="Santiago"/>
    <x v="1"/>
    <x v="7"/>
    <m/>
    <m/>
    <m/>
    <m/>
    <m/>
    <n v="11.845787536647746"/>
    <m/>
    <s v="Estatal"/>
  </r>
  <r>
    <x v="0"/>
    <s v="Nuevo León"/>
    <s v="19"/>
    <s v="19.01"/>
    <s v="Monterrey"/>
    <s v="19001"/>
    <s v="Abasolo"/>
    <x v="1"/>
    <x v="8"/>
    <m/>
    <m/>
    <m/>
    <m/>
    <m/>
    <n v="5.2930499999999991"/>
    <m/>
    <s v="Estatal"/>
  </r>
  <r>
    <x v="0"/>
    <s v="Nuevo León"/>
    <s v="19"/>
    <s v="19.01"/>
    <s v="Monterrey"/>
    <s v="19006"/>
    <s v="Apodaca"/>
    <x v="1"/>
    <x v="8"/>
    <m/>
    <m/>
    <m/>
    <m/>
    <m/>
    <n v="1633.3549999999991"/>
    <m/>
    <s v="Estatal"/>
  </r>
  <r>
    <x v="0"/>
    <s v="Nuevo León"/>
    <s v="19"/>
    <s v="19.01"/>
    <s v="Monterrey"/>
    <s v="19009"/>
    <s v="Cadereyta Jiménez"/>
    <x v="1"/>
    <x v="8"/>
    <m/>
    <m/>
    <m/>
    <m/>
    <m/>
    <n v="207.14959999999996"/>
    <m/>
    <s v="Estatal"/>
  </r>
  <r>
    <x v="0"/>
    <s v="Nuevo León"/>
    <s v="19"/>
    <s v="19.01"/>
    <s v="Monterrey"/>
    <s v="19010"/>
    <s v="El Carmen"/>
    <x v="1"/>
    <x v="8"/>
    <m/>
    <m/>
    <m/>
    <m/>
    <m/>
    <n v="95.747050000000002"/>
    <m/>
    <s v="Estatal"/>
  </r>
  <r>
    <x v="0"/>
    <s v="Nuevo León"/>
    <s v="19"/>
    <s v="19.01"/>
    <s v="Monterrey"/>
    <s v="19012"/>
    <s v="Ciénega de Flores"/>
    <x v="1"/>
    <x v="8"/>
    <m/>
    <m/>
    <m/>
    <m/>
    <m/>
    <n v="118.51675"/>
    <m/>
    <s v="Estatal"/>
  </r>
  <r>
    <x v="0"/>
    <s v="Nuevo León"/>
    <s v="19"/>
    <s v="19.01"/>
    <s v="Monterrey"/>
    <s v="19018"/>
    <s v="García"/>
    <x v="1"/>
    <x v="8"/>
    <m/>
    <m/>
    <m/>
    <m/>
    <m/>
    <n v="681.16334999999879"/>
    <m/>
    <s v="Estatal"/>
  </r>
  <r>
    <x v="0"/>
    <s v="Nuevo León"/>
    <s v="19"/>
    <s v="19.01"/>
    <s v="Monterrey"/>
    <s v="19019"/>
    <s v="San Pedro Garza García"/>
    <x v="1"/>
    <x v="8"/>
    <m/>
    <m/>
    <m/>
    <m/>
    <m/>
    <n v="348.16980000000001"/>
    <m/>
    <s v="Estatal"/>
  </r>
  <r>
    <x v="0"/>
    <s v="Nuevo León"/>
    <s v="19"/>
    <s v="19.01"/>
    <s v="Monterrey"/>
    <s v="19021"/>
    <s v="General Escobedo"/>
    <x v="1"/>
    <x v="8"/>
    <m/>
    <m/>
    <m/>
    <m/>
    <m/>
    <n v="1141.6658000000002"/>
    <m/>
    <s v="Estatal"/>
  </r>
  <r>
    <x v="0"/>
    <s v="Nuevo León"/>
    <s v="19"/>
    <s v="19.01"/>
    <s v="Monterrey"/>
    <s v="19025"/>
    <s v="General Zuazua"/>
    <x v="1"/>
    <x v="8"/>
    <m/>
    <m/>
    <m/>
    <m/>
    <m/>
    <n v="214.07920000000001"/>
    <m/>
    <s v="Estatal"/>
  </r>
  <r>
    <x v="0"/>
    <s v="Nuevo León"/>
    <s v="19"/>
    <s v="19.01"/>
    <s v="Monterrey"/>
    <s v="19026"/>
    <s v="Guadalupe"/>
    <x v="1"/>
    <x v="8"/>
    <m/>
    <m/>
    <m/>
    <m/>
    <m/>
    <n v="1805.143050000001"/>
    <m/>
    <s v="Estatal"/>
  </r>
  <r>
    <x v="0"/>
    <s v="Nuevo León"/>
    <s v="19"/>
    <s v="19.01"/>
    <s v="Monterrey"/>
    <s v="19031"/>
    <s v="Juárez"/>
    <x v="1"/>
    <x v="8"/>
    <m/>
    <m/>
    <m/>
    <m/>
    <m/>
    <n v="918.64060000000109"/>
    <m/>
    <s v="Estatal"/>
  </r>
  <r>
    <x v="0"/>
    <s v="Nuevo León"/>
    <s v="19"/>
    <s v="19.01"/>
    <s v="Monterrey"/>
    <s v="19039"/>
    <s v="Monterrey"/>
    <x v="1"/>
    <x v="8"/>
    <m/>
    <m/>
    <m/>
    <m/>
    <m/>
    <n v="2844.6753499999959"/>
    <m/>
    <s v="Estatal"/>
  </r>
  <r>
    <x v="0"/>
    <s v="Nuevo León"/>
    <s v="19"/>
    <s v="19.01"/>
    <s v="Monterrey"/>
    <s v="19041"/>
    <s v="Pesquería"/>
    <x v="1"/>
    <x v="8"/>
    <m/>
    <m/>
    <m/>
    <m/>
    <m/>
    <n v="119.20190000000005"/>
    <m/>
    <s v="Estatal"/>
  </r>
  <r>
    <x v="0"/>
    <s v="Nuevo León"/>
    <s v="19"/>
    <s v="19.01"/>
    <s v="Monterrey"/>
    <s v="19045"/>
    <s v="Salinas Victoria"/>
    <x v="1"/>
    <x v="8"/>
    <m/>
    <m/>
    <m/>
    <m/>
    <m/>
    <n v="123.02880000000002"/>
    <m/>
    <s v="Estatal"/>
  </r>
  <r>
    <x v="0"/>
    <s v="Nuevo León"/>
    <s v="19"/>
    <s v="19.01"/>
    <s v="Monterrey"/>
    <s v="19046"/>
    <s v="San Nicolás de los Garza"/>
    <x v="1"/>
    <x v="8"/>
    <m/>
    <m/>
    <m/>
    <m/>
    <m/>
    <n v="1216.5743500000001"/>
    <m/>
    <s v="Estatal"/>
  </r>
  <r>
    <x v="0"/>
    <s v="Nuevo León"/>
    <s v="19"/>
    <s v="19.01"/>
    <s v="Monterrey"/>
    <s v="19047"/>
    <s v="Hidalgo"/>
    <x v="1"/>
    <x v="8"/>
    <m/>
    <m/>
    <m/>
    <m/>
    <m/>
    <n v="40.604899999999994"/>
    <m/>
    <s v="Estatal"/>
  </r>
  <r>
    <x v="0"/>
    <s v="Nuevo León"/>
    <s v="19"/>
    <s v="19.01"/>
    <s v="Monterrey"/>
    <s v="19048"/>
    <s v="Santa Catarina"/>
    <x v="1"/>
    <x v="8"/>
    <m/>
    <m/>
    <m/>
    <m/>
    <m/>
    <n v="807.93385000000023"/>
    <m/>
    <s v="Estatal"/>
  </r>
  <r>
    <x v="0"/>
    <s v="Nuevo León"/>
    <s v="19"/>
    <s v="19.01"/>
    <s v="Monterrey"/>
    <s v="19049"/>
    <s v="Santiago"/>
    <x v="1"/>
    <x v="8"/>
    <m/>
    <m/>
    <m/>
    <m/>
    <m/>
    <n v="107.46205"/>
    <m/>
    <s v="Estatal"/>
  </r>
  <r>
    <x v="0"/>
    <s v="Nuevo León"/>
    <s v="19"/>
    <s v="19.01"/>
    <s v="Monterrey"/>
    <s v="19001"/>
    <s v="Abasolo"/>
    <x v="2"/>
    <x v="9"/>
    <m/>
    <m/>
    <m/>
    <m/>
    <m/>
    <n v="13.624364139412725"/>
    <m/>
    <s v="Federal"/>
  </r>
  <r>
    <x v="0"/>
    <s v="Nuevo León"/>
    <s v="19"/>
    <s v="19.01"/>
    <s v="Monterrey"/>
    <s v="19006"/>
    <s v="Apodaca"/>
    <x v="2"/>
    <x v="9"/>
    <m/>
    <m/>
    <m/>
    <m/>
    <m/>
    <n v="2145.244942185243"/>
    <m/>
    <s v="Federal"/>
  </r>
  <r>
    <x v="0"/>
    <s v="Nuevo León"/>
    <s v="19"/>
    <s v="19.01"/>
    <s v="Monterrey"/>
    <s v="19009"/>
    <s v="Cadereyta Jiménez"/>
    <x v="2"/>
    <x v="9"/>
    <m/>
    <m/>
    <m/>
    <m/>
    <m/>
    <n v="417.76889810395977"/>
    <m/>
    <s v="Federal"/>
  </r>
  <r>
    <x v="0"/>
    <s v="Nuevo León"/>
    <s v="19"/>
    <s v="19.01"/>
    <s v="Monterrey"/>
    <s v="19010"/>
    <s v="El Carmen"/>
    <x v="2"/>
    <x v="9"/>
    <m/>
    <m/>
    <m/>
    <m/>
    <m/>
    <n v="108.27590820967723"/>
    <m/>
    <s v="Federal"/>
  </r>
  <r>
    <x v="0"/>
    <s v="Nuevo León"/>
    <s v="19"/>
    <s v="19.01"/>
    <s v="Monterrey"/>
    <s v="19012"/>
    <s v="Ciénega de Flores"/>
    <x v="2"/>
    <x v="9"/>
    <m/>
    <m/>
    <m/>
    <m/>
    <m/>
    <n v="138.88604000456752"/>
    <m/>
    <s v="Federal"/>
  </r>
  <r>
    <x v="0"/>
    <s v="Nuevo León"/>
    <s v="19"/>
    <s v="19.01"/>
    <s v="Monterrey"/>
    <s v="19018"/>
    <s v="García"/>
    <x v="2"/>
    <x v="9"/>
    <m/>
    <m/>
    <m/>
    <m/>
    <m/>
    <n v="669.10738575644723"/>
    <m/>
    <s v="Federal"/>
  </r>
  <r>
    <x v="0"/>
    <s v="Nuevo León"/>
    <s v="19"/>
    <s v="19.01"/>
    <s v="Monterrey"/>
    <s v="19019"/>
    <s v="San Pedro Garza García"/>
    <x v="2"/>
    <x v="9"/>
    <m/>
    <m/>
    <m/>
    <m/>
    <m/>
    <n v="521.45684811502019"/>
    <m/>
    <s v="Federal"/>
  </r>
  <r>
    <x v="0"/>
    <s v="Nuevo León"/>
    <s v="19"/>
    <s v="19.01"/>
    <s v="Monterrey"/>
    <s v="19021"/>
    <s v="General Escobedo"/>
    <x v="2"/>
    <x v="9"/>
    <m/>
    <m/>
    <m/>
    <m/>
    <m/>
    <n v="1035.6526387981553"/>
    <m/>
    <s v="Federal"/>
  </r>
  <r>
    <x v="0"/>
    <s v="Nuevo León"/>
    <s v="19"/>
    <s v="19.01"/>
    <s v="Monterrey"/>
    <s v="19025"/>
    <s v="General Zuazua"/>
    <x v="2"/>
    <x v="9"/>
    <m/>
    <m/>
    <m/>
    <m/>
    <m/>
    <n v="483.69793642802688"/>
    <m/>
    <s v="Federal"/>
  </r>
  <r>
    <x v="0"/>
    <s v="Nuevo León"/>
    <s v="19"/>
    <s v="19.01"/>
    <s v="Monterrey"/>
    <s v="19026"/>
    <s v="Guadalupe"/>
    <x v="2"/>
    <x v="9"/>
    <m/>
    <m/>
    <m/>
    <m/>
    <m/>
    <n v="1991.7053820703586"/>
    <m/>
    <s v="Federal"/>
  </r>
  <r>
    <x v="0"/>
    <s v="Nuevo León"/>
    <s v="19"/>
    <s v="19.01"/>
    <s v="Monterrey"/>
    <s v="19031"/>
    <s v="Juárez"/>
    <x v="2"/>
    <x v="9"/>
    <m/>
    <m/>
    <m/>
    <m/>
    <m/>
    <n v="782.89365425842573"/>
    <m/>
    <s v="Federal"/>
  </r>
  <r>
    <x v="0"/>
    <s v="Nuevo León"/>
    <s v="19"/>
    <s v="19.01"/>
    <s v="Monterrey"/>
    <s v="19039"/>
    <s v="Monterrey"/>
    <x v="2"/>
    <x v="9"/>
    <m/>
    <m/>
    <m/>
    <m/>
    <m/>
    <n v="4121.0500617897524"/>
    <m/>
    <s v="Federal"/>
  </r>
  <r>
    <x v="0"/>
    <s v="Nuevo León"/>
    <s v="19"/>
    <s v="19.01"/>
    <s v="Monterrey"/>
    <s v="19041"/>
    <s v="Pesquería"/>
    <x v="2"/>
    <x v="9"/>
    <m/>
    <m/>
    <m/>
    <m/>
    <m/>
    <n v="220.5947216813029"/>
    <m/>
    <s v="Federal"/>
  </r>
  <r>
    <x v="0"/>
    <s v="Nuevo León"/>
    <s v="19"/>
    <s v="19.01"/>
    <s v="Monterrey"/>
    <s v="19045"/>
    <s v="Salinas Victoria"/>
    <x v="2"/>
    <x v="9"/>
    <m/>
    <m/>
    <m/>
    <m/>
    <m/>
    <n v="180.63446928103306"/>
    <m/>
    <s v="Federal"/>
  </r>
  <r>
    <x v="0"/>
    <s v="Nuevo León"/>
    <s v="19"/>
    <s v="19.01"/>
    <s v="Monterrey"/>
    <s v="19046"/>
    <s v="San Nicolás de los Garza"/>
    <x v="2"/>
    <x v="9"/>
    <m/>
    <m/>
    <m/>
    <m/>
    <m/>
    <n v="1526.4397566264042"/>
    <m/>
    <s v="Federal"/>
  </r>
  <r>
    <x v="0"/>
    <s v="Nuevo León"/>
    <s v="19"/>
    <s v="19.01"/>
    <s v="Monterrey"/>
    <s v="19047"/>
    <s v="Hidalgo"/>
    <x v="2"/>
    <x v="9"/>
    <m/>
    <m/>
    <m/>
    <m/>
    <m/>
    <n v="47.564426896387253"/>
    <m/>
    <s v="Federal"/>
  </r>
  <r>
    <x v="0"/>
    <s v="Nuevo León"/>
    <s v="19"/>
    <s v="19.01"/>
    <s v="Monterrey"/>
    <s v="19048"/>
    <s v="Santa Catarina"/>
    <x v="2"/>
    <x v="9"/>
    <m/>
    <m/>
    <m/>
    <m/>
    <m/>
    <n v="1088.9871131851401"/>
    <m/>
    <s v="Federal"/>
  </r>
  <r>
    <x v="0"/>
    <s v="Nuevo León"/>
    <s v="19"/>
    <s v="19.01"/>
    <s v="Monterrey"/>
    <s v="19049"/>
    <s v="Santiago"/>
    <x v="2"/>
    <x v="9"/>
    <m/>
    <m/>
    <m/>
    <m/>
    <m/>
    <n v="135.21200067942584"/>
    <m/>
    <s v="Federal"/>
  </r>
  <r>
    <x v="0"/>
    <s v="Nuevo León"/>
    <s v="19"/>
    <s v="19.01"/>
    <s v="Monterrey"/>
    <s v="19001"/>
    <s v="Abasolo"/>
    <x v="2"/>
    <x v="10"/>
    <m/>
    <m/>
    <m/>
    <m/>
    <m/>
    <n v="0.84311050958062861"/>
    <m/>
    <s v="Federal"/>
  </r>
  <r>
    <x v="0"/>
    <s v="Nuevo León"/>
    <s v="19"/>
    <s v="19.01"/>
    <s v="Monterrey"/>
    <s v="19006"/>
    <s v="Apodaca"/>
    <x v="2"/>
    <x v="10"/>
    <m/>
    <m/>
    <m/>
    <m/>
    <m/>
    <n v="217.29391082820982"/>
    <m/>
    <s v="Federal"/>
  </r>
  <r>
    <x v="0"/>
    <s v="Nuevo León"/>
    <s v="19"/>
    <s v="19.01"/>
    <s v="Monterrey"/>
    <s v="19009"/>
    <s v="Cadereyta Jiménez"/>
    <x v="2"/>
    <x v="10"/>
    <m/>
    <m/>
    <m/>
    <m/>
    <m/>
    <n v="39.521834726788271"/>
    <m/>
    <s v="Federal"/>
  </r>
  <r>
    <x v="0"/>
    <s v="Nuevo León"/>
    <s v="19"/>
    <s v="19.01"/>
    <s v="Monterrey"/>
    <s v="19010"/>
    <s v="El Carmen"/>
    <x v="2"/>
    <x v="10"/>
    <m/>
    <m/>
    <m/>
    <m/>
    <m/>
    <n v="2.0868112375169221"/>
    <m/>
    <s v="Federal"/>
  </r>
  <r>
    <x v="0"/>
    <s v="Nuevo León"/>
    <s v="19"/>
    <s v="19.01"/>
    <s v="Monterrey"/>
    <s v="19012"/>
    <s v="Ciénega de Flores"/>
    <x v="2"/>
    <x v="10"/>
    <m/>
    <m/>
    <m/>
    <m/>
    <m/>
    <n v="11.282508305286308"/>
    <m/>
    <s v="Federal"/>
  </r>
  <r>
    <x v="0"/>
    <s v="Nuevo León"/>
    <s v="19"/>
    <s v="19.01"/>
    <s v="Monterrey"/>
    <s v="19018"/>
    <s v="García"/>
    <x v="2"/>
    <x v="10"/>
    <m/>
    <m/>
    <m/>
    <m/>
    <m/>
    <n v="52.806355262617508"/>
    <m/>
    <s v="Federal"/>
  </r>
  <r>
    <x v="0"/>
    <s v="Nuevo León"/>
    <s v="19"/>
    <s v="19.01"/>
    <s v="Monterrey"/>
    <s v="19019"/>
    <s v="San Pedro Garza García"/>
    <x v="2"/>
    <x v="10"/>
    <m/>
    <m/>
    <m/>
    <m/>
    <m/>
    <n v="99.5118453478281"/>
    <m/>
    <s v="Federal"/>
  </r>
  <r>
    <x v="0"/>
    <s v="Nuevo León"/>
    <s v="19"/>
    <s v="19.01"/>
    <s v="Monterrey"/>
    <s v="19021"/>
    <s v="General Escobedo"/>
    <x v="2"/>
    <x v="10"/>
    <m/>
    <m/>
    <m/>
    <m/>
    <m/>
    <n v="144.08501000707108"/>
    <m/>
    <s v="Federal"/>
  </r>
  <r>
    <x v="0"/>
    <s v="Nuevo León"/>
    <s v="19"/>
    <s v="19.01"/>
    <s v="Monterrey"/>
    <s v="19025"/>
    <s v="General Zuazua"/>
    <x v="2"/>
    <x v="10"/>
    <m/>
    <m/>
    <m/>
    <m/>
    <m/>
    <n v="9.2965823737843571"/>
    <m/>
    <s v="Federal"/>
  </r>
  <r>
    <x v="0"/>
    <s v="Nuevo León"/>
    <s v="19"/>
    <s v="19.01"/>
    <s v="Monterrey"/>
    <s v="19026"/>
    <s v="Guadalupe"/>
    <x v="2"/>
    <x v="10"/>
    <m/>
    <m/>
    <m/>
    <m/>
    <m/>
    <n v="258.6810398070682"/>
    <m/>
    <s v="Federal"/>
  </r>
  <r>
    <x v="0"/>
    <s v="Nuevo León"/>
    <s v="19"/>
    <s v="19.01"/>
    <s v="Monterrey"/>
    <s v="19031"/>
    <s v="Juárez"/>
    <x v="2"/>
    <x v="10"/>
    <m/>
    <m/>
    <m/>
    <m/>
    <m/>
    <n v="57.896228627685872"/>
    <m/>
    <s v="Federal"/>
  </r>
  <r>
    <x v="0"/>
    <s v="Nuevo León"/>
    <s v="19"/>
    <s v="19.01"/>
    <s v="Monterrey"/>
    <s v="19039"/>
    <s v="Monterrey"/>
    <x v="2"/>
    <x v="10"/>
    <m/>
    <m/>
    <m/>
    <m/>
    <m/>
    <n v="656.56427494360855"/>
    <m/>
    <s v="Federal"/>
  </r>
  <r>
    <x v="0"/>
    <s v="Nuevo León"/>
    <s v="19"/>
    <s v="19.01"/>
    <s v="Monterrey"/>
    <s v="19041"/>
    <s v="Pesquería"/>
    <x v="2"/>
    <x v="10"/>
    <m/>
    <m/>
    <m/>
    <m/>
    <m/>
    <n v="6.1161254194934083"/>
    <m/>
    <s v="Federal"/>
  </r>
  <r>
    <x v="0"/>
    <s v="Nuevo León"/>
    <s v="19"/>
    <s v="19.01"/>
    <s v="Monterrey"/>
    <s v="19045"/>
    <s v="Salinas Victoria"/>
    <x v="2"/>
    <x v="10"/>
    <m/>
    <m/>
    <m/>
    <m/>
    <m/>
    <n v="0"/>
    <m/>
    <s v="Federal"/>
  </r>
  <r>
    <x v="0"/>
    <s v="Nuevo León"/>
    <s v="19"/>
    <s v="19.01"/>
    <s v="Monterrey"/>
    <s v="19046"/>
    <s v="San Nicolás de los Garza"/>
    <x v="2"/>
    <x v="10"/>
    <m/>
    <m/>
    <m/>
    <m/>
    <m/>
    <n v="200.20064100377652"/>
    <m/>
    <s v="Federal"/>
  </r>
  <r>
    <x v="0"/>
    <s v="Nuevo León"/>
    <s v="19"/>
    <s v="19.01"/>
    <s v="Monterrey"/>
    <s v="19047"/>
    <s v="Hidalgo"/>
    <x v="2"/>
    <x v="10"/>
    <m/>
    <m/>
    <m/>
    <m/>
    <m/>
    <n v="7.9461503634575879"/>
    <m/>
    <s v="Federal"/>
  </r>
  <r>
    <x v="0"/>
    <s v="Nuevo León"/>
    <s v="19"/>
    <s v="19.01"/>
    <s v="Monterrey"/>
    <s v="19048"/>
    <s v="Santa Catarina"/>
    <x v="2"/>
    <x v="10"/>
    <m/>
    <m/>
    <m/>
    <m/>
    <m/>
    <n v="101.45478561568243"/>
    <m/>
    <s v="Federal"/>
  </r>
  <r>
    <x v="0"/>
    <s v="Nuevo León"/>
    <s v="19"/>
    <s v="19.01"/>
    <s v="Monterrey"/>
    <s v="19049"/>
    <s v="Santiago"/>
    <x v="2"/>
    <x v="10"/>
    <m/>
    <m/>
    <m/>
    <m/>
    <m/>
    <n v="26.784525097412885"/>
    <m/>
    <s v="Federal"/>
  </r>
  <r>
    <x v="0"/>
    <s v="Nuevo León"/>
    <s v="19"/>
    <s v="19.01"/>
    <s v="Monterrey"/>
    <s v="19001"/>
    <s v="Abasolo"/>
    <x v="3"/>
    <x v="11"/>
    <n v="0"/>
    <n v="0"/>
    <m/>
    <m/>
    <m/>
    <m/>
    <m/>
    <s v="Estatal"/>
  </r>
  <r>
    <x v="0"/>
    <s v="Nuevo León"/>
    <s v="19"/>
    <s v="19.01"/>
    <s v="Monterrey"/>
    <s v="19006"/>
    <s v="Apodaca"/>
    <x v="3"/>
    <x v="11"/>
    <n v="0"/>
    <n v="0"/>
    <m/>
    <m/>
    <m/>
    <m/>
    <m/>
    <s v="Estatal"/>
  </r>
  <r>
    <x v="0"/>
    <s v="Nuevo León"/>
    <s v="19"/>
    <s v="19.01"/>
    <s v="Monterrey"/>
    <s v="19009"/>
    <s v="Cadereyta Jiménez"/>
    <x v="3"/>
    <x v="11"/>
    <n v="0"/>
    <n v="0"/>
    <m/>
    <m/>
    <m/>
    <m/>
    <m/>
    <s v="Estatal"/>
  </r>
  <r>
    <x v="0"/>
    <s v="Nuevo León"/>
    <s v="19"/>
    <s v="19.01"/>
    <s v="Monterrey"/>
    <s v="19010"/>
    <s v="El Carmen"/>
    <x v="3"/>
    <x v="11"/>
    <n v="0"/>
    <n v="0"/>
    <m/>
    <m/>
    <m/>
    <m/>
    <m/>
    <s v="Estatal"/>
  </r>
  <r>
    <x v="0"/>
    <s v="Nuevo León"/>
    <s v="19"/>
    <s v="19.01"/>
    <s v="Monterrey"/>
    <s v="19012"/>
    <s v="Ciénega de Flores"/>
    <x v="3"/>
    <x v="11"/>
    <n v="0"/>
    <n v="0"/>
    <m/>
    <m/>
    <m/>
    <m/>
    <m/>
    <s v="Estatal"/>
  </r>
  <r>
    <x v="0"/>
    <s v="Nuevo León"/>
    <s v="19"/>
    <s v="19.01"/>
    <s v="Monterrey"/>
    <s v="19018"/>
    <s v="García"/>
    <x v="3"/>
    <x v="11"/>
    <n v="0"/>
    <n v="0"/>
    <m/>
    <m/>
    <m/>
    <m/>
    <m/>
    <s v="Estatal"/>
  </r>
  <r>
    <x v="0"/>
    <s v="Nuevo León"/>
    <s v="19"/>
    <s v="19.01"/>
    <s v="Monterrey"/>
    <s v="19019"/>
    <s v="San Pedro Garza García"/>
    <x v="3"/>
    <x v="11"/>
    <n v="0"/>
    <n v="0"/>
    <m/>
    <m/>
    <m/>
    <m/>
    <m/>
    <s v="Estatal"/>
  </r>
  <r>
    <x v="0"/>
    <s v="Nuevo León"/>
    <s v="19"/>
    <s v="19.01"/>
    <s v="Monterrey"/>
    <s v="19021"/>
    <s v="General Escobedo"/>
    <x v="3"/>
    <x v="11"/>
    <n v="83.394875592562983"/>
    <n v="8.3394875592562983"/>
    <m/>
    <m/>
    <m/>
    <m/>
    <m/>
    <s v="Estatal"/>
  </r>
  <r>
    <x v="0"/>
    <s v="Nuevo León"/>
    <s v="19"/>
    <s v="19.01"/>
    <s v="Monterrey"/>
    <s v="19025"/>
    <s v="General Zuazua"/>
    <x v="3"/>
    <x v="11"/>
    <n v="0"/>
    <n v="0"/>
    <m/>
    <m/>
    <m/>
    <m/>
    <m/>
    <s v="Estatal"/>
  </r>
  <r>
    <x v="0"/>
    <s v="Nuevo León"/>
    <s v="19"/>
    <s v="19.01"/>
    <s v="Monterrey"/>
    <s v="19026"/>
    <s v="Guadalupe"/>
    <x v="3"/>
    <x v="11"/>
    <n v="0"/>
    <n v="0"/>
    <m/>
    <m/>
    <m/>
    <m/>
    <m/>
    <s v="Estatal"/>
  </r>
  <r>
    <x v="0"/>
    <s v="Nuevo León"/>
    <s v="19"/>
    <s v="19.01"/>
    <s v="Monterrey"/>
    <s v="19031"/>
    <s v="Juárez"/>
    <x v="3"/>
    <x v="11"/>
    <n v="0"/>
    <n v="0"/>
    <m/>
    <m/>
    <m/>
    <m/>
    <m/>
    <s v="Estatal"/>
  </r>
  <r>
    <x v="0"/>
    <s v="Nuevo León"/>
    <s v="19"/>
    <s v="19.01"/>
    <s v="Monterrey"/>
    <s v="19039"/>
    <s v="Monterrey"/>
    <x v="3"/>
    <x v="11"/>
    <n v="0"/>
    <n v="0"/>
    <m/>
    <m/>
    <m/>
    <m/>
    <m/>
    <s v="Estatal"/>
  </r>
  <r>
    <x v="0"/>
    <s v="Nuevo León"/>
    <s v="19"/>
    <s v="19.01"/>
    <s v="Monterrey"/>
    <s v="19041"/>
    <s v="Pesquería"/>
    <x v="3"/>
    <x v="11"/>
    <n v="0"/>
    <n v="0"/>
    <m/>
    <m/>
    <m/>
    <m/>
    <m/>
    <s v="Estatal"/>
  </r>
  <r>
    <x v="0"/>
    <s v="Nuevo León"/>
    <s v="19"/>
    <s v="19.01"/>
    <s v="Monterrey"/>
    <s v="19045"/>
    <s v="Salinas Victoria"/>
    <x v="3"/>
    <x v="11"/>
    <n v="0"/>
    <n v="0"/>
    <m/>
    <m/>
    <m/>
    <m/>
    <m/>
    <s v="Estatal"/>
  </r>
  <r>
    <x v="0"/>
    <s v="Nuevo León"/>
    <s v="19"/>
    <s v="19.01"/>
    <s v="Monterrey"/>
    <s v="19046"/>
    <s v="San Nicolás de los Garza"/>
    <x v="3"/>
    <x v="11"/>
    <n v="43.39326744539494"/>
    <n v="4.3393267445394939"/>
    <m/>
    <m/>
    <m/>
    <m/>
    <m/>
    <s v="Estatal"/>
  </r>
  <r>
    <x v="0"/>
    <s v="Nuevo León"/>
    <s v="19"/>
    <s v="19.01"/>
    <s v="Monterrey"/>
    <s v="19047"/>
    <s v="Hidalgo"/>
    <x v="3"/>
    <x v="11"/>
    <n v="0"/>
    <n v="0"/>
    <m/>
    <m/>
    <m/>
    <m/>
    <m/>
    <s v="Estatal"/>
  </r>
  <r>
    <x v="0"/>
    <s v="Nuevo León"/>
    <s v="19"/>
    <s v="19.01"/>
    <s v="Monterrey"/>
    <s v="19048"/>
    <s v="Santa Catarina"/>
    <x v="3"/>
    <x v="11"/>
    <n v="114.46344581357947"/>
    <n v="11.446344581357948"/>
    <m/>
    <m/>
    <m/>
    <m/>
    <m/>
    <s v="Estatal"/>
  </r>
  <r>
    <x v="0"/>
    <s v="Nuevo León"/>
    <s v="19"/>
    <s v="19.01"/>
    <s v="Monterrey"/>
    <s v="19049"/>
    <s v="Santiago"/>
    <x v="3"/>
    <x v="11"/>
    <n v="0"/>
    <n v="0"/>
    <m/>
    <m/>
    <m/>
    <m/>
    <m/>
    <s v="Estatal"/>
  </r>
  <r>
    <x v="0"/>
    <s v="Nuevo León"/>
    <s v="19"/>
    <s v="19.01"/>
    <s v="Monterrey"/>
    <s v="19001"/>
    <s v="Abasolo"/>
    <x v="3"/>
    <x v="12"/>
    <n v="0.16469700000000001"/>
    <n v="0.13144467569999999"/>
    <n v="0"/>
    <n v="0.32789019999999997"/>
    <n v="6.0358000000000009E-3"/>
    <n v="2.11562E-2"/>
    <n v="0"/>
    <s v="Estatal"/>
  </r>
  <r>
    <x v="0"/>
    <s v="Nuevo León"/>
    <s v="19"/>
    <s v="19.01"/>
    <s v="Monterrey"/>
    <s v="19006"/>
    <s v="Apodaca"/>
    <x v="3"/>
    <x v="12"/>
    <n v="50.80630620000003"/>
    <n v="40.548512978219989"/>
    <n v="0"/>
    <n v="101.14871491999986"/>
    <n v="1.8619446799999981"/>
    <n v="6.5263385199999933"/>
    <n v="0"/>
    <s v="Estatal"/>
  </r>
  <r>
    <x v="0"/>
    <s v="Nuevo León"/>
    <s v="19"/>
    <s v="19.01"/>
    <s v="Monterrey"/>
    <s v="19009"/>
    <s v="Cadereyta Jiménez"/>
    <x v="3"/>
    <x v="12"/>
    <n v="6.4438100999999985"/>
    <n v="5.1428048408099984"/>
    <n v="0"/>
    <n v="12.828783659999999"/>
    <n v="0.23615214000000004"/>
    <n v="0.82774145999999982"/>
    <n v="0"/>
    <s v="Estatal"/>
  </r>
  <r>
    <x v="0"/>
    <s v="Nuevo León"/>
    <s v="19"/>
    <s v="19.01"/>
    <s v="Monterrey"/>
    <s v="19010"/>
    <s v="El Carmen"/>
    <x v="3"/>
    <x v="12"/>
    <n v="2.9783773500000001"/>
    <n v="2.3770429630350001"/>
    <n v="0"/>
    <n v="5.9295600099999985"/>
    <n v="0.10915129000000001"/>
    <n v="0.38258830999999999"/>
    <n v="0"/>
    <s v="Estatal"/>
  </r>
  <r>
    <x v="0"/>
    <s v="Nuevo León"/>
    <s v="19"/>
    <s v="19.01"/>
    <s v="Monterrey"/>
    <s v="19012"/>
    <s v="Ciénega de Flores"/>
    <x v="3"/>
    <x v="12"/>
    <n v="3.6870541499999985"/>
    <n v="2.9426379171150012"/>
    <n v="0"/>
    <n v="7.3404428900000038"/>
    <n v="0.13512281000000004"/>
    <n v="0.47362159000000015"/>
    <n v="0"/>
    <s v="Estatal"/>
  </r>
  <r>
    <x v="0"/>
    <s v="Nuevo León"/>
    <s v="19"/>
    <s v="19.01"/>
    <s v="Monterrey"/>
    <s v="19018"/>
    <s v="García"/>
    <x v="3"/>
    <x v="12"/>
    <n v="21.18938834999998"/>
    <n v="16.911250842135015"/>
    <n v="0"/>
    <n v="42.185302609999994"/>
    <n v="0.77654668999999943"/>
    <n v="2.7218889100000014"/>
    <n v="0"/>
    <s v="Estatal"/>
  </r>
  <r>
    <x v="0"/>
    <s v="Nuevo León"/>
    <s v="19"/>
    <s v="19.01"/>
    <s v="Monterrey"/>
    <s v="19019"/>
    <s v="San Pedro Garza García"/>
    <x v="3"/>
    <x v="12"/>
    <n v="10.831146300000002"/>
    <n v="8.6443378620299995"/>
    <n v="0"/>
    <n v="21.563396579999999"/>
    <n v="0.39693881999999997"/>
    <n v="1.3913179800000002"/>
    <n v="0"/>
    <s v="Estatal"/>
  </r>
  <r>
    <x v="0"/>
    <s v="Nuevo León"/>
    <s v="19"/>
    <s v="19.01"/>
    <s v="Monterrey"/>
    <s v="19021"/>
    <s v="General Escobedo"/>
    <x v="3"/>
    <x v="12"/>
    <n v="35.514989250000006"/>
    <n v="28.344512920425011"/>
    <n v="0"/>
    <n v="70.705701550000001"/>
    <n v="1.3015499500000007"/>
    <n v="4.5620880499999981"/>
    <n v="0"/>
    <s v="Estatal"/>
  </r>
  <r>
    <x v="0"/>
    <s v="Nuevo León"/>
    <s v="19"/>
    <s v="19.01"/>
    <s v="Monterrey"/>
    <s v="19025"/>
    <s v="General Zuazua"/>
    <x v="3"/>
    <x v="12"/>
    <n v="6.6589555500000008"/>
    <n v="5.3145124244550015"/>
    <n v="0"/>
    <n v="13.257110129999996"/>
    <n v="0.24403677000000004"/>
    <n v="0.85537802999999979"/>
    <n v="0"/>
    <s v="Estatal"/>
  </r>
  <r>
    <x v="0"/>
    <s v="Nuevo León"/>
    <s v="19"/>
    <s v="19.01"/>
    <s v="Monterrey"/>
    <s v="19026"/>
    <s v="Guadalupe"/>
    <x v="3"/>
    <x v="12"/>
    <n v="56.151683250000026"/>
    <n v="44.814658401825028"/>
    <n v="0"/>
    <n v="111.79066194999993"/>
    <n v="2.0578415499999987"/>
    <n v="7.2129804499999999"/>
    <n v="0"/>
    <s v="Estatal"/>
  </r>
  <r>
    <x v="0"/>
    <s v="Nuevo León"/>
    <s v="19"/>
    <s v="19.01"/>
    <s v="Monterrey"/>
    <s v="19031"/>
    <s v="Juárez"/>
    <x v="3"/>
    <x v="12"/>
    <n v="28.579086900000039"/>
    <n v="22.80896925488997"/>
    <n v="0"/>
    <n v="56.89722653999997"/>
    <n v="1.0473636600000009"/>
    <n v="3.6711347400000043"/>
    <n v="0"/>
    <s v="Estatal"/>
  </r>
  <r>
    <x v="0"/>
    <s v="Nuevo León"/>
    <s v="19"/>
    <s v="19.01"/>
    <s v="Monterrey"/>
    <s v="19039"/>
    <s v="Monterrey"/>
    <x v="3"/>
    <x v="12"/>
    <n v="88.487060999999983"/>
    <n v="70.621523384099831"/>
    <n v="0"/>
    <n v="176.16617260000012"/>
    <n v="3.2428653999999995"/>
    <n v="11.366630600000002"/>
    <n v="0"/>
    <s v="Estatal"/>
  </r>
  <r>
    <x v="0"/>
    <s v="Nuevo León"/>
    <s v="19"/>
    <s v="19.01"/>
    <s v="Monterrey"/>
    <s v="19041"/>
    <s v="Pesquería"/>
    <x v="3"/>
    <x v="12"/>
    <n v="3.7084008000000015"/>
    <n v="2.9596746784800008"/>
    <n v="0"/>
    <n v="7.3829412799999989"/>
    <n v="0.13590511999999999"/>
    <n v="0.4763636799999999"/>
    <n v="0"/>
    <s v="Estatal"/>
  </r>
  <r>
    <x v="0"/>
    <s v="Nuevo León"/>
    <s v="19"/>
    <s v="19.01"/>
    <s v="Monterrey"/>
    <s v="19045"/>
    <s v="Salinas Victoria"/>
    <x v="3"/>
    <x v="12"/>
    <n v="3.8271265500000009"/>
    <n v="3.0544296995549995"/>
    <n v="0"/>
    <n v="7.6193087299999984"/>
    <n v="0.14025616999999999"/>
    <n v="0.49161463"/>
    <n v="0"/>
    <s v="Estatal"/>
  </r>
  <r>
    <x v="0"/>
    <s v="Nuevo León"/>
    <s v="19"/>
    <s v="19.01"/>
    <s v="Monterrey"/>
    <s v="19046"/>
    <s v="San Nicolás de los Garza"/>
    <x v="3"/>
    <x v="12"/>
    <n v="37.843293150000001"/>
    <n v="30.202732263015012"/>
    <n v="0"/>
    <n v="75.341050289999998"/>
    <n v="1.3868774100000003"/>
    <n v="4.8611709899999989"/>
    <n v="0"/>
    <s v="Estatal"/>
  </r>
  <r>
    <x v="0"/>
    <s v="Nuevo León"/>
    <s v="19"/>
    <s v="19.01"/>
    <s v="Monterrey"/>
    <s v="19047"/>
    <s v="Hidalgo"/>
    <x v="3"/>
    <x v="12"/>
    <n v="1.2626503500000001"/>
    <n v="1.0077212443350001"/>
    <n v="0"/>
    <n v="2.5137718099999997"/>
    <n v="4.6273490000000007E-2"/>
    <n v="0.16219410999999997"/>
    <n v="0"/>
    <s v="Estatal"/>
  </r>
  <r>
    <x v="0"/>
    <s v="Nuevo León"/>
    <s v="19"/>
    <s v="19.01"/>
    <s v="Monterrey"/>
    <s v="19048"/>
    <s v="Santa Catarina"/>
    <x v="3"/>
    <x v="12"/>
    <n v="25.13188275000001"/>
    <n v="20.057755622774994"/>
    <n v="0"/>
    <n v="50.034293649999974"/>
    <n v="0.92103085000000062"/>
    <n v="3.2283231500000023"/>
    <n v="0"/>
    <s v="Estatal"/>
  </r>
  <r>
    <x v="0"/>
    <s v="Nuevo León"/>
    <s v="19"/>
    <s v="19.01"/>
    <s v="Monterrey"/>
    <s v="19049"/>
    <s v="Santiago"/>
    <x v="3"/>
    <x v="12"/>
    <n v="3.342869400000001"/>
    <n v="2.6679440681400002"/>
    <n v="0"/>
    <n v="6.65521604"/>
    <n v="0.12250915999999998"/>
    <n v="0.42940924000000008"/>
    <n v="0"/>
    <s v="Estatal"/>
  </r>
  <r>
    <x v="0"/>
    <s v="Nuevo León"/>
    <s v="19"/>
    <s v="19.01"/>
    <s v="Monterrey"/>
    <s v="19001"/>
    <s v="Abasolo"/>
    <x v="3"/>
    <x v="13"/>
    <m/>
    <m/>
    <m/>
    <m/>
    <m/>
    <n v="0"/>
    <m/>
    <s v="Estatal"/>
  </r>
  <r>
    <x v="0"/>
    <s v="Nuevo León"/>
    <s v="19"/>
    <s v="19.01"/>
    <s v="Monterrey"/>
    <s v="19006"/>
    <s v="Apodaca"/>
    <x v="3"/>
    <x v="13"/>
    <m/>
    <m/>
    <m/>
    <m/>
    <m/>
    <n v="8.4985298402400744"/>
    <m/>
    <s v="Estatal"/>
  </r>
  <r>
    <x v="0"/>
    <s v="Nuevo León"/>
    <s v="19"/>
    <s v="19.01"/>
    <s v="Monterrey"/>
    <s v="19009"/>
    <s v="Cadereyta Jiménez"/>
    <x v="3"/>
    <x v="13"/>
    <m/>
    <m/>
    <m/>
    <m/>
    <m/>
    <n v="1.5869490610767705"/>
    <m/>
    <s v="Estatal"/>
  </r>
  <r>
    <x v="0"/>
    <s v="Nuevo León"/>
    <s v="19"/>
    <s v="19.01"/>
    <s v="Monterrey"/>
    <s v="19010"/>
    <s v="El Carmen"/>
    <x v="3"/>
    <x v="13"/>
    <m/>
    <m/>
    <m/>
    <m/>
    <m/>
    <n v="0.25057090438054275"/>
    <m/>
    <s v="Estatal"/>
  </r>
  <r>
    <x v="0"/>
    <s v="Nuevo León"/>
    <s v="19"/>
    <s v="19.01"/>
    <s v="Monterrey"/>
    <s v="19012"/>
    <s v="Ciénega de Flores"/>
    <x v="3"/>
    <x v="13"/>
    <m/>
    <m/>
    <m/>
    <m/>
    <m/>
    <n v="0.66818907834811392"/>
    <m/>
    <s v="Estatal"/>
  </r>
  <r>
    <x v="0"/>
    <s v="Nuevo León"/>
    <s v="19"/>
    <s v="19.01"/>
    <s v="Monterrey"/>
    <s v="19018"/>
    <s v="García"/>
    <x v="3"/>
    <x v="13"/>
    <m/>
    <m/>
    <m/>
    <m/>
    <m/>
    <n v="2.5265899525038056"/>
    <m/>
    <s v="Estatal"/>
  </r>
  <r>
    <x v="0"/>
    <s v="Nuevo León"/>
    <s v="19"/>
    <s v="19.01"/>
    <s v="Monterrey"/>
    <s v="19019"/>
    <s v="San Pedro Garza García"/>
    <x v="3"/>
    <x v="13"/>
    <m/>
    <m/>
    <m/>
    <m/>
    <m/>
    <n v="4.5729190049449047"/>
    <m/>
    <s v="Estatal"/>
  </r>
  <r>
    <x v="0"/>
    <s v="Nuevo León"/>
    <s v="19"/>
    <s v="19.01"/>
    <s v="Monterrey"/>
    <s v="19021"/>
    <s v="General Escobedo"/>
    <x v="3"/>
    <x v="13"/>
    <m/>
    <m/>
    <m/>
    <m/>
    <m/>
    <n v="5.7422498920541036"/>
    <m/>
    <s v="Estatal"/>
  </r>
  <r>
    <x v="0"/>
    <s v="Nuevo León"/>
    <s v="19"/>
    <s v="19.01"/>
    <s v="Monterrey"/>
    <s v="19025"/>
    <s v="General Zuazua"/>
    <x v="3"/>
    <x v="13"/>
    <m/>
    <m/>
    <m/>
    <m/>
    <m/>
    <n v="0.66818907834811392"/>
    <m/>
    <s v="Estatal"/>
  </r>
  <r>
    <x v="0"/>
    <s v="Nuevo León"/>
    <s v="19"/>
    <s v="19.01"/>
    <s v="Monterrey"/>
    <s v="19026"/>
    <s v="Guadalupe"/>
    <x v="3"/>
    <x v="13"/>
    <m/>
    <m/>
    <m/>
    <m/>
    <m/>
    <n v="20.400647798315887"/>
    <m/>
    <s v="Estatal"/>
  </r>
  <r>
    <x v="0"/>
    <s v="Nuevo León"/>
    <s v="19"/>
    <s v="19.01"/>
    <s v="Monterrey"/>
    <s v="19031"/>
    <s v="Juárez"/>
    <x v="3"/>
    <x v="13"/>
    <m/>
    <m/>
    <m/>
    <m/>
    <m/>
    <n v="5.074060813705989"/>
    <m/>
    <s v="Estatal"/>
  </r>
  <r>
    <x v="0"/>
    <s v="Nuevo León"/>
    <s v="19"/>
    <s v="19.01"/>
    <s v="Monterrey"/>
    <s v="19039"/>
    <s v="Monterrey"/>
    <x v="3"/>
    <x v="13"/>
    <m/>
    <m/>
    <m/>
    <m/>
    <m/>
    <n v="36.478947496067448"/>
    <m/>
    <s v="Estatal"/>
  </r>
  <r>
    <x v="0"/>
    <s v="Nuevo León"/>
    <s v="19"/>
    <s v="19.01"/>
    <s v="Monterrey"/>
    <s v="19041"/>
    <s v="Pesquería"/>
    <x v="3"/>
    <x v="13"/>
    <m/>
    <m/>
    <m/>
    <m/>
    <m/>
    <n v="8.352363479351424E-2"/>
    <m/>
    <s v="Estatal"/>
  </r>
  <r>
    <x v="0"/>
    <s v="Nuevo León"/>
    <s v="19"/>
    <s v="19.01"/>
    <s v="Monterrey"/>
    <s v="19045"/>
    <s v="Salinas Victoria"/>
    <x v="3"/>
    <x v="13"/>
    <m/>
    <m/>
    <m/>
    <m/>
    <m/>
    <n v="0.60554635225297826"/>
    <m/>
    <s v="Estatal"/>
  </r>
  <r>
    <x v="0"/>
    <s v="Nuevo León"/>
    <s v="19"/>
    <s v="19.01"/>
    <s v="Monterrey"/>
    <s v="19046"/>
    <s v="San Nicolás de los Garza"/>
    <x v="3"/>
    <x v="13"/>
    <m/>
    <m/>
    <m/>
    <m/>
    <m/>
    <n v="10.983357975347133"/>
    <m/>
    <s v="Estatal"/>
  </r>
  <r>
    <x v="0"/>
    <s v="Nuevo León"/>
    <s v="19"/>
    <s v="19.01"/>
    <s v="Monterrey"/>
    <s v="19047"/>
    <s v="Hidalgo"/>
    <x v="3"/>
    <x v="13"/>
    <m/>
    <m/>
    <m/>
    <m/>
    <m/>
    <n v="0.33409453917405696"/>
    <m/>
    <s v="Estatal"/>
  </r>
  <r>
    <x v="0"/>
    <s v="Nuevo León"/>
    <s v="19"/>
    <s v="19.01"/>
    <s v="Monterrey"/>
    <s v="19048"/>
    <s v="Santa Catarina"/>
    <x v="3"/>
    <x v="13"/>
    <m/>
    <m/>
    <m/>
    <m/>
    <m/>
    <n v="5.0531799050076112"/>
    <m/>
    <s v="Estatal"/>
  </r>
  <r>
    <x v="0"/>
    <s v="Nuevo León"/>
    <s v="19"/>
    <s v="19.01"/>
    <s v="Monterrey"/>
    <s v="19049"/>
    <s v="Santiago"/>
    <x v="3"/>
    <x v="13"/>
    <m/>
    <m/>
    <m/>
    <m/>
    <m/>
    <n v="1.2528545219027136"/>
    <m/>
    <s v="Estatal"/>
  </r>
  <r>
    <x v="0"/>
    <s v="Nuevo León"/>
    <s v="19"/>
    <s v="19.01"/>
    <s v="Monterrey"/>
    <s v="19001"/>
    <s v="Abasolo"/>
    <x v="4"/>
    <x v="14"/>
    <m/>
    <m/>
    <m/>
    <m/>
    <m/>
    <m/>
    <n v="2.7195752714285714E-2"/>
    <s v="Estatal"/>
  </r>
  <r>
    <x v="0"/>
    <s v="Nuevo León"/>
    <s v="19"/>
    <s v="19.01"/>
    <s v="Monterrey"/>
    <s v="19006"/>
    <s v="Apodaca"/>
    <x v="4"/>
    <x v="14"/>
    <m/>
    <m/>
    <m/>
    <m/>
    <m/>
    <m/>
    <n v="4.2833310524999994E-2"/>
    <s v="Estatal"/>
  </r>
  <r>
    <x v="0"/>
    <s v="Nuevo León"/>
    <s v="19"/>
    <s v="19.01"/>
    <s v="Monterrey"/>
    <s v="19009"/>
    <s v="Cadereyta Jiménez"/>
    <x v="4"/>
    <x v="14"/>
    <m/>
    <m/>
    <m/>
    <m/>
    <m/>
    <m/>
    <n v="185.55368618964621"/>
    <s v="Estatal"/>
  </r>
  <r>
    <x v="0"/>
    <s v="Nuevo León"/>
    <s v="19"/>
    <s v="19.01"/>
    <s v="Monterrey"/>
    <s v="19010"/>
    <s v="El Carmen"/>
    <x v="4"/>
    <x v="14"/>
    <m/>
    <m/>
    <m/>
    <m/>
    <m/>
    <m/>
    <n v="1.3733855120714287"/>
    <s v="Estatal"/>
  </r>
  <r>
    <x v="0"/>
    <s v="Nuevo León"/>
    <s v="19"/>
    <s v="19.01"/>
    <s v="Monterrey"/>
    <s v="19012"/>
    <s v="Ciénega de Flores"/>
    <x v="4"/>
    <x v="14"/>
    <m/>
    <m/>
    <m/>
    <m/>
    <m/>
    <m/>
    <n v="0.21076708353571427"/>
    <s v="Estatal"/>
  </r>
  <r>
    <x v="0"/>
    <s v="Nuevo León"/>
    <s v="19"/>
    <s v="19.01"/>
    <s v="Monterrey"/>
    <s v="19018"/>
    <s v="García"/>
    <x v="4"/>
    <x v="14"/>
    <m/>
    <m/>
    <m/>
    <m/>
    <m/>
    <m/>
    <n v="1.3257929448214285"/>
    <s v="Estatal"/>
  </r>
  <r>
    <x v="0"/>
    <s v="Nuevo León"/>
    <s v="19"/>
    <s v="19.01"/>
    <s v="Monterrey"/>
    <s v="19019"/>
    <s v="San Pedro Garza García"/>
    <x v="4"/>
    <x v="14"/>
    <m/>
    <m/>
    <m/>
    <m/>
    <m/>
    <m/>
    <n v="0"/>
    <s v="Estatal"/>
  </r>
  <r>
    <x v="0"/>
    <s v="Nuevo León"/>
    <s v="19"/>
    <s v="19.01"/>
    <s v="Monterrey"/>
    <s v="19021"/>
    <s v="General Escobedo"/>
    <x v="4"/>
    <x v="14"/>
    <m/>
    <m/>
    <m/>
    <m/>
    <m/>
    <m/>
    <n v="0"/>
    <s v="Estatal"/>
  </r>
  <r>
    <x v="0"/>
    <s v="Nuevo León"/>
    <s v="19"/>
    <s v="19.01"/>
    <s v="Monterrey"/>
    <s v="19025"/>
    <s v="General Zuazua"/>
    <x v="4"/>
    <x v="14"/>
    <m/>
    <m/>
    <m/>
    <m/>
    <m/>
    <m/>
    <n v="7.4788319964285713E-2"/>
    <s v="Estatal"/>
  </r>
  <r>
    <x v="0"/>
    <s v="Nuevo León"/>
    <s v="19"/>
    <s v="19.01"/>
    <s v="Monterrey"/>
    <s v="19026"/>
    <s v="Guadalupe"/>
    <x v="4"/>
    <x v="14"/>
    <m/>
    <m/>
    <m/>
    <m/>
    <m/>
    <m/>
    <n v="0"/>
    <s v="Estatal"/>
  </r>
  <r>
    <x v="0"/>
    <s v="Nuevo León"/>
    <s v="19"/>
    <s v="19.01"/>
    <s v="Monterrey"/>
    <s v="19031"/>
    <s v="Juárez"/>
    <x v="4"/>
    <x v="14"/>
    <m/>
    <m/>
    <m/>
    <m/>
    <m/>
    <m/>
    <n v="0.2452383618575486"/>
    <s v="Estatal"/>
  </r>
  <r>
    <x v="0"/>
    <s v="Nuevo León"/>
    <s v="19"/>
    <s v="19.01"/>
    <s v="Monterrey"/>
    <s v="19039"/>
    <s v="Monterrey"/>
    <x v="4"/>
    <x v="14"/>
    <m/>
    <m/>
    <m/>
    <m/>
    <m/>
    <m/>
    <n v="0"/>
    <s v="Estatal"/>
  </r>
  <r>
    <x v="0"/>
    <s v="Nuevo León"/>
    <s v="19"/>
    <s v="19.01"/>
    <s v="Monterrey"/>
    <s v="19041"/>
    <s v="Pesquería"/>
    <x v="4"/>
    <x v="14"/>
    <m/>
    <m/>
    <m/>
    <m/>
    <m/>
    <m/>
    <n v="26.732535882447991"/>
    <s v="Estatal"/>
  </r>
  <r>
    <x v="0"/>
    <s v="Nuevo León"/>
    <s v="19"/>
    <s v="19.01"/>
    <s v="Monterrey"/>
    <s v="19045"/>
    <s v="Salinas Victoria"/>
    <x v="4"/>
    <x v="14"/>
    <m/>
    <m/>
    <m/>
    <m/>
    <m/>
    <m/>
    <n v="0.14957663992857143"/>
    <s v="Estatal"/>
  </r>
  <r>
    <x v="0"/>
    <s v="Nuevo León"/>
    <s v="19"/>
    <s v="19.01"/>
    <s v="Monterrey"/>
    <s v="19046"/>
    <s v="San Nicolás de los Garza"/>
    <x v="4"/>
    <x v="14"/>
    <m/>
    <m/>
    <m/>
    <m/>
    <m/>
    <m/>
    <n v="0"/>
    <s v="Estatal"/>
  </r>
  <r>
    <x v="0"/>
    <s v="Nuevo León"/>
    <s v="19"/>
    <s v="19.01"/>
    <s v="Monterrey"/>
    <s v="19047"/>
    <s v="Hidalgo"/>
    <x v="4"/>
    <x v="14"/>
    <m/>
    <m/>
    <m/>
    <m/>
    <m/>
    <m/>
    <n v="4.4218241605263144E-2"/>
    <s v="Estatal"/>
  </r>
  <r>
    <x v="0"/>
    <s v="Nuevo León"/>
    <s v="19"/>
    <s v="19.01"/>
    <s v="Monterrey"/>
    <s v="19048"/>
    <s v="Santa Catarina"/>
    <x v="4"/>
    <x v="14"/>
    <m/>
    <m/>
    <m/>
    <m/>
    <m/>
    <m/>
    <n v="1.0004659024854761"/>
    <s v="Estatal"/>
  </r>
  <r>
    <x v="0"/>
    <s v="Nuevo León"/>
    <s v="19"/>
    <s v="19.01"/>
    <s v="Monterrey"/>
    <s v="19049"/>
    <s v="Santiago"/>
    <x v="4"/>
    <x v="14"/>
    <m/>
    <m/>
    <m/>
    <m/>
    <m/>
    <m/>
    <n v="0"/>
    <s v="Estatal"/>
  </r>
  <r>
    <x v="0"/>
    <s v="Nuevo León"/>
    <s v="19"/>
    <s v="19.01"/>
    <s v="Monterrey"/>
    <s v="19001"/>
    <s v="Abasolo"/>
    <x v="4"/>
    <x v="15"/>
    <m/>
    <m/>
    <m/>
    <m/>
    <m/>
    <n v="3.2477950389622442E-4"/>
    <m/>
    <s v="Estatal"/>
  </r>
  <r>
    <x v="0"/>
    <s v="Nuevo León"/>
    <s v="19"/>
    <s v="19.01"/>
    <s v="Monterrey"/>
    <s v="19006"/>
    <s v="Apodaca"/>
    <x v="4"/>
    <x v="15"/>
    <m/>
    <m/>
    <m/>
    <m/>
    <m/>
    <n v="3.802459130484239E-4"/>
    <m/>
    <s v="Estatal"/>
  </r>
  <r>
    <x v="0"/>
    <s v="Nuevo León"/>
    <s v="19"/>
    <s v="19.01"/>
    <s v="Monterrey"/>
    <s v="19009"/>
    <s v="Cadereyta Jiménez"/>
    <x v="4"/>
    <x v="15"/>
    <m/>
    <m/>
    <m/>
    <m/>
    <m/>
    <n v="1.7419881349890756"/>
    <m/>
    <s v="Estatal"/>
  </r>
  <r>
    <x v="0"/>
    <s v="Nuevo León"/>
    <s v="19"/>
    <s v="19.01"/>
    <s v="Monterrey"/>
    <s v="19010"/>
    <s v="El Carmen"/>
    <x v="4"/>
    <x v="15"/>
    <m/>
    <m/>
    <m/>
    <m/>
    <m/>
    <n v="1.2192011815203432E-2"/>
    <m/>
    <s v="Estatal"/>
  </r>
  <r>
    <x v="0"/>
    <s v="Nuevo León"/>
    <s v="19"/>
    <s v="19.01"/>
    <s v="Monterrey"/>
    <s v="19012"/>
    <s v="Ciénega de Flores"/>
    <x v="4"/>
    <x v="15"/>
    <m/>
    <m/>
    <m/>
    <m/>
    <m/>
    <n v="1.8710513181747841E-3"/>
    <m/>
    <s v="Estatal"/>
  </r>
  <r>
    <x v="0"/>
    <s v="Nuevo León"/>
    <s v="19"/>
    <s v="19.01"/>
    <s v="Monterrey"/>
    <s v="19018"/>
    <s v="García"/>
    <x v="4"/>
    <x v="15"/>
    <m/>
    <m/>
    <m/>
    <m/>
    <m/>
    <n v="1.3983678197905292E-2"/>
    <m/>
    <s v="Estatal"/>
  </r>
  <r>
    <x v="0"/>
    <s v="Nuevo León"/>
    <s v="19"/>
    <s v="19.01"/>
    <s v="Monterrey"/>
    <s v="19019"/>
    <s v="San Pedro Garza García"/>
    <x v="4"/>
    <x v="15"/>
    <m/>
    <m/>
    <m/>
    <m/>
    <m/>
    <n v="0"/>
    <m/>
    <s v="Estatal"/>
  </r>
  <r>
    <x v="0"/>
    <s v="Nuevo León"/>
    <s v="19"/>
    <s v="19.01"/>
    <s v="Monterrey"/>
    <s v="19021"/>
    <s v="General Escobedo"/>
    <x v="4"/>
    <x v="15"/>
    <m/>
    <m/>
    <m/>
    <m/>
    <m/>
    <n v="8.0207736401593805E-3"/>
    <m/>
    <s v="Estatal"/>
  </r>
  <r>
    <x v="0"/>
    <s v="Nuevo León"/>
    <s v="19"/>
    <s v="19.01"/>
    <s v="Monterrey"/>
    <s v="19025"/>
    <s v="General Zuazua"/>
    <x v="4"/>
    <x v="15"/>
    <m/>
    <m/>
    <m/>
    <m/>
    <m/>
    <n v="1.5404777254047156E-3"/>
    <m/>
    <s v="Estatal"/>
  </r>
  <r>
    <x v="0"/>
    <s v="Nuevo León"/>
    <s v="19"/>
    <s v="19.01"/>
    <s v="Monterrey"/>
    <s v="19026"/>
    <s v="Guadalupe"/>
    <x v="4"/>
    <x v="15"/>
    <m/>
    <m/>
    <m/>
    <m/>
    <m/>
    <n v="0"/>
    <m/>
    <s v="Estatal"/>
  </r>
  <r>
    <x v="0"/>
    <s v="Nuevo León"/>
    <s v="19"/>
    <s v="19.01"/>
    <s v="Monterrey"/>
    <s v="19031"/>
    <s v="Juárez"/>
    <x v="4"/>
    <x v="15"/>
    <m/>
    <m/>
    <m/>
    <m/>
    <m/>
    <n v="1.1138475119905771E-2"/>
    <m/>
    <s v="Estatal"/>
  </r>
  <r>
    <x v="0"/>
    <s v="Nuevo León"/>
    <s v="19"/>
    <s v="19.01"/>
    <s v="Monterrey"/>
    <s v="19039"/>
    <s v="Monterrey"/>
    <x v="4"/>
    <x v="15"/>
    <m/>
    <m/>
    <m/>
    <m/>
    <m/>
    <n v="0"/>
    <m/>
    <s v="Estatal"/>
  </r>
  <r>
    <x v="0"/>
    <s v="Nuevo León"/>
    <s v="19"/>
    <s v="19.01"/>
    <s v="Monterrey"/>
    <s v="19041"/>
    <s v="Pesquería"/>
    <x v="4"/>
    <x v="15"/>
    <m/>
    <m/>
    <m/>
    <m/>
    <m/>
    <n v="0.36692826091641578"/>
    <m/>
    <s v="Estatal"/>
  </r>
  <r>
    <x v="0"/>
    <s v="Nuevo León"/>
    <s v="19"/>
    <s v="19.01"/>
    <s v="Monterrey"/>
    <s v="19045"/>
    <s v="Salinas Victoria"/>
    <x v="4"/>
    <x v="15"/>
    <m/>
    <m/>
    <m/>
    <m/>
    <m/>
    <n v="7.492957712654705E-3"/>
    <m/>
    <s v="Estatal"/>
  </r>
  <r>
    <x v="0"/>
    <s v="Nuevo León"/>
    <s v="19"/>
    <s v="19.01"/>
    <s v="Monterrey"/>
    <s v="19046"/>
    <s v="San Nicolás de los Garza"/>
    <x v="4"/>
    <x v="15"/>
    <m/>
    <m/>
    <m/>
    <m/>
    <m/>
    <n v="0"/>
    <m/>
    <s v="Estatal"/>
  </r>
  <r>
    <x v="0"/>
    <s v="Nuevo León"/>
    <s v="19"/>
    <s v="19.01"/>
    <s v="Monterrey"/>
    <s v="19047"/>
    <s v="Hidalgo"/>
    <x v="4"/>
    <x v="15"/>
    <m/>
    <m/>
    <m/>
    <m/>
    <m/>
    <n v="2.7797257022886472E-3"/>
    <m/>
    <s v="Estatal"/>
  </r>
  <r>
    <x v="0"/>
    <s v="Nuevo León"/>
    <s v="19"/>
    <s v="19.01"/>
    <s v="Monterrey"/>
    <s v="19048"/>
    <s v="Santa Catarina"/>
    <x v="4"/>
    <x v="15"/>
    <m/>
    <m/>
    <m/>
    <m/>
    <m/>
    <n v="3.567190410904629E-2"/>
    <m/>
    <s v="Estatal"/>
  </r>
  <r>
    <x v="0"/>
    <s v="Nuevo León"/>
    <s v="19"/>
    <s v="19.01"/>
    <s v="Monterrey"/>
    <s v="19049"/>
    <s v="Santiago"/>
    <x v="4"/>
    <x v="15"/>
    <m/>
    <m/>
    <m/>
    <m/>
    <m/>
    <n v="0.2473777430463279"/>
    <m/>
    <s v="Estatal"/>
  </r>
  <r>
    <x v="0"/>
    <s v="Nuevo León"/>
    <s v="19"/>
    <s v="19.01"/>
    <s v="Monterrey"/>
    <s v="19001"/>
    <s v="Abasolo"/>
    <x v="4"/>
    <x v="16"/>
    <m/>
    <m/>
    <m/>
    <m/>
    <m/>
    <m/>
    <n v="0.19979999999999998"/>
    <s v="Estatal"/>
  </r>
  <r>
    <x v="0"/>
    <s v="Nuevo León"/>
    <s v="19"/>
    <s v="19.01"/>
    <s v="Monterrey"/>
    <s v="19006"/>
    <s v="Apodaca"/>
    <x v="4"/>
    <x v="16"/>
    <m/>
    <m/>
    <m/>
    <m/>
    <m/>
    <m/>
    <n v="143.22319000000002"/>
    <s v="Estatal"/>
  </r>
  <r>
    <x v="0"/>
    <s v="Nuevo León"/>
    <s v="19"/>
    <s v="19.01"/>
    <s v="Monterrey"/>
    <s v="19009"/>
    <s v="Cadereyta Jiménez"/>
    <x v="4"/>
    <x v="16"/>
    <m/>
    <m/>
    <m/>
    <m/>
    <m/>
    <m/>
    <n v="473.34028000000012"/>
    <s v="Estatal"/>
  </r>
  <r>
    <x v="0"/>
    <s v="Nuevo León"/>
    <s v="19"/>
    <s v="19.01"/>
    <s v="Monterrey"/>
    <s v="19010"/>
    <s v="El Carmen"/>
    <x v="4"/>
    <x v="16"/>
    <m/>
    <m/>
    <m/>
    <m/>
    <m/>
    <m/>
    <n v="28.06512"/>
    <s v="Estatal"/>
  </r>
  <r>
    <x v="0"/>
    <s v="Nuevo León"/>
    <s v="19"/>
    <s v="19.01"/>
    <s v="Monterrey"/>
    <s v="19012"/>
    <s v="Ciénega de Flores"/>
    <x v="4"/>
    <x v="16"/>
    <m/>
    <m/>
    <m/>
    <m/>
    <m/>
    <m/>
    <n v="13.797889999999999"/>
    <s v="Estatal"/>
  </r>
  <r>
    <x v="0"/>
    <s v="Nuevo León"/>
    <s v="19"/>
    <s v="19.01"/>
    <s v="Monterrey"/>
    <s v="19018"/>
    <s v="García"/>
    <x v="4"/>
    <x v="16"/>
    <m/>
    <m/>
    <m/>
    <m/>
    <m/>
    <m/>
    <n v="84.974240000000009"/>
    <s v="Estatal"/>
  </r>
  <r>
    <x v="0"/>
    <s v="Nuevo León"/>
    <s v="19"/>
    <s v="19.01"/>
    <s v="Monterrey"/>
    <s v="19019"/>
    <s v="San Pedro Garza García"/>
    <x v="4"/>
    <x v="16"/>
    <m/>
    <m/>
    <m/>
    <m/>
    <m/>
    <m/>
    <n v="3.6599999999999994E-2"/>
    <s v="Estatal"/>
  </r>
  <r>
    <x v="0"/>
    <s v="Nuevo León"/>
    <s v="19"/>
    <s v="19.01"/>
    <s v="Monterrey"/>
    <s v="19021"/>
    <s v="General Escobedo"/>
    <x v="4"/>
    <x v="16"/>
    <m/>
    <m/>
    <m/>
    <m/>
    <m/>
    <m/>
    <n v="18.009279999999997"/>
    <s v="Estatal"/>
  </r>
  <r>
    <x v="0"/>
    <s v="Nuevo León"/>
    <s v="19"/>
    <s v="19.01"/>
    <s v="Monterrey"/>
    <s v="19025"/>
    <s v="General Zuazua"/>
    <x v="4"/>
    <x v="16"/>
    <m/>
    <m/>
    <m/>
    <m/>
    <m/>
    <m/>
    <n v="104.22672000000001"/>
    <s v="Estatal"/>
  </r>
  <r>
    <x v="0"/>
    <s v="Nuevo León"/>
    <s v="19"/>
    <s v="19.01"/>
    <s v="Monterrey"/>
    <s v="19026"/>
    <s v="Guadalupe"/>
    <x v="4"/>
    <x v="16"/>
    <m/>
    <m/>
    <m/>
    <m/>
    <m/>
    <m/>
    <n v="0.62219999999999998"/>
    <s v="Estatal"/>
  </r>
  <r>
    <x v="0"/>
    <s v="Nuevo León"/>
    <s v="19"/>
    <s v="19.01"/>
    <s v="Monterrey"/>
    <s v="19031"/>
    <s v="Juárez"/>
    <x v="4"/>
    <x v="16"/>
    <m/>
    <m/>
    <m/>
    <m/>
    <m/>
    <m/>
    <n v="274.44958000000003"/>
    <s v="Estatal"/>
  </r>
  <r>
    <x v="0"/>
    <s v="Nuevo León"/>
    <s v="19"/>
    <s v="19.01"/>
    <s v="Monterrey"/>
    <s v="19039"/>
    <s v="Monterrey"/>
    <x v="4"/>
    <x v="16"/>
    <m/>
    <m/>
    <m/>
    <m/>
    <m/>
    <m/>
    <n v="8.539999999999999E-2"/>
    <s v="Estatal"/>
  </r>
  <r>
    <x v="0"/>
    <s v="Nuevo León"/>
    <s v="19"/>
    <s v="19.01"/>
    <s v="Monterrey"/>
    <s v="19041"/>
    <s v="Pesquería"/>
    <x v="4"/>
    <x v="16"/>
    <m/>
    <m/>
    <m/>
    <m/>
    <m/>
    <m/>
    <n v="1880.1489300000001"/>
    <s v="Estatal"/>
  </r>
  <r>
    <x v="0"/>
    <s v="Nuevo León"/>
    <s v="19"/>
    <s v="19.01"/>
    <s v="Monterrey"/>
    <s v="19045"/>
    <s v="Salinas Victoria"/>
    <x v="4"/>
    <x v="16"/>
    <m/>
    <m/>
    <m/>
    <m/>
    <m/>
    <m/>
    <n v="1562.1987799999997"/>
    <s v="Estatal"/>
  </r>
  <r>
    <x v="0"/>
    <s v="Nuevo León"/>
    <s v="19"/>
    <s v="19.01"/>
    <s v="Monterrey"/>
    <s v="19046"/>
    <s v="San Nicolás de los Garza"/>
    <x v="4"/>
    <x v="16"/>
    <m/>
    <m/>
    <m/>
    <m/>
    <m/>
    <m/>
    <n v="0"/>
    <s v="Estatal"/>
  </r>
  <r>
    <x v="0"/>
    <s v="Nuevo León"/>
    <s v="19"/>
    <s v="19.01"/>
    <s v="Monterrey"/>
    <s v="19047"/>
    <s v="Hidalgo"/>
    <x v="4"/>
    <x v="16"/>
    <m/>
    <m/>
    <m/>
    <m/>
    <m/>
    <m/>
    <n v="88.180669999999992"/>
    <s v="Estatal"/>
  </r>
  <r>
    <x v="0"/>
    <s v="Nuevo León"/>
    <s v="19"/>
    <s v="19.01"/>
    <s v="Monterrey"/>
    <s v="19048"/>
    <s v="Santa Catarina"/>
    <x v="4"/>
    <x v="16"/>
    <m/>
    <m/>
    <m/>
    <m/>
    <m/>
    <m/>
    <n v="23.773870000000002"/>
    <s v="Estatal"/>
  </r>
  <r>
    <x v="0"/>
    <s v="Nuevo León"/>
    <s v="19"/>
    <s v="19.01"/>
    <s v="Monterrey"/>
    <s v="19049"/>
    <s v="Santiago"/>
    <x v="4"/>
    <x v="16"/>
    <m/>
    <m/>
    <m/>
    <m/>
    <m/>
    <m/>
    <n v="14.09097"/>
    <s v="Estatal"/>
  </r>
  <r>
    <x v="0"/>
    <s v="Nuevo León"/>
    <s v="19"/>
    <s v="19.01"/>
    <s v="Monterrey"/>
    <s v="19001"/>
    <s v="Abasolo"/>
    <x v="4"/>
    <x v="17"/>
    <n v="0"/>
    <n v="0"/>
    <m/>
    <m/>
    <m/>
    <m/>
    <m/>
    <s v="Estatal"/>
  </r>
  <r>
    <x v="0"/>
    <s v="Nuevo León"/>
    <s v="19"/>
    <s v="19.01"/>
    <s v="Monterrey"/>
    <s v="19006"/>
    <s v="Apodaca"/>
    <x v="4"/>
    <x v="17"/>
    <n v="3.5023992000000002"/>
    <n v="0.39997398864"/>
    <m/>
    <m/>
    <m/>
    <m/>
    <m/>
    <s v="Estatal"/>
  </r>
  <r>
    <x v="0"/>
    <s v="Nuevo León"/>
    <s v="19"/>
    <s v="19.01"/>
    <s v="Monterrey"/>
    <s v="19009"/>
    <s v="Cadereyta Jiménez"/>
    <x v="4"/>
    <x v="17"/>
    <n v="6.3782604000000003"/>
    <n v="0.72839733767999992"/>
    <m/>
    <m/>
    <m/>
    <m/>
    <m/>
    <s v="Estatal"/>
  </r>
  <r>
    <x v="0"/>
    <s v="Nuevo León"/>
    <s v="19"/>
    <s v="19.01"/>
    <s v="Monterrey"/>
    <s v="19010"/>
    <s v="El Carmen"/>
    <x v="4"/>
    <x v="17"/>
    <n v="5.8273212000000001"/>
    <n v="0.66548008104"/>
    <m/>
    <m/>
    <m/>
    <m/>
    <m/>
    <s v="Estatal"/>
  </r>
  <r>
    <x v="0"/>
    <s v="Nuevo León"/>
    <s v="19"/>
    <s v="19.01"/>
    <s v="Monterrey"/>
    <s v="19012"/>
    <s v="Ciénega de Flores"/>
    <x v="4"/>
    <x v="17"/>
    <n v="1.4943708000000002"/>
    <n v="0.17065714535999998"/>
    <m/>
    <m/>
    <m/>
    <m/>
    <m/>
    <s v="Estatal"/>
  </r>
  <r>
    <x v="0"/>
    <s v="Nuevo León"/>
    <s v="19"/>
    <s v="19.01"/>
    <s v="Monterrey"/>
    <s v="19018"/>
    <s v="García"/>
    <x v="4"/>
    <x v="17"/>
    <n v="0.32207160000000007"/>
    <n v="3.6780576719999999E-2"/>
    <m/>
    <m/>
    <m/>
    <m/>
    <m/>
    <s v="Estatal"/>
  </r>
  <r>
    <x v="0"/>
    <s v="Nuevo León"/>
    <s v="19"/>
    <s v="19.01"/>
    <s v="Monterrey"/>
    <s v="19019"/>
    <s v="San Pedro Garza García"/>
    <x v="4"/>
    <x v="17"/>
    <n v="0"/>
    <n v="0"/>
    <m/>
    <m/>
    <m/>
    <m/>
    <m/>
    <s v="Estatal"/>
  </r>
  <r>
    <x v="0"/>
    <s v="Nuevo León"/>
    <s v="19"/>
    <s v="19.01"/>
    <s v="Monterrey"/>
    <s v="19021"/>
    <s v="General Escobedo"/>
    <x v="4"/>
    <x v="17"/>
    <n v="0"/>
    <n v="0"/>
    <m/>
    <m/>
    <m/>
    <m/>
    <m/>
    <s v="Estatal"/>
  </r>
  <r>
    <x v="0"/>
    <s v="Nuevo León"/>
    <s v="19"/>
    <s v="19.01"/>
    <s v="Monterrey"/>
    <s v="19025"/>
    <s v="General Zuazua"/>
    <x v="4"/>
    <x v="17"/>
    <n v="2.4502296000000001"/>
    <n v="0.27981622032000003"/>
    <m/>
    <m/>
    <m/>
    <m/>
    <m/>
    <s v="Estatal"/>
  </r>
  <r>
    <x v="0"/>
    <s v="Nuevo León"/>
    <s v="19"/>
    <s v="19.01"/>
    <s v="Monterrey"/>
    <s v="19026"/>
    <s v="Guadalupe"/>
    <x v="4"/>
    <x v="17"/>
    <n v="0"/>
    <n v="0"/>
    <m/>
    <m/>
    <m/>
    <m/>
    <m/>
    <s v="Estatal"/>
  </r>
  <r>
    <x v="0"/>
    <s v="Nuevo León"/>
    <s v="19"/>
    <s v="19.01"/>
    <s v="Monterrey"/>
    <s v="19031"/>
    <s v="Juárez"/>
    <x v="4"/>
    <x v="17"/>
    <n v="0.43805880000000003"/>
    <n v="5.0026314959999998E-2"/>
    <m/>
    <m/>
    <m/>
    <m/>
    <m/>
    <s v="Estatal"/>
  </r>
  <r>
    <x v="0"/>
    <s v="Nuevo León"/>
    <s v="19"/>
    <s v="19.01"/>
    <s v="Monterrey"/>
    <s v="19039"/>
    <s v="Monterrey"/>
    <x v="4"/>
    <x v="17"/>
    <n v="0"/>
    <n v="0"/>
    <m/>
    <m/>
    <m/>
    <m/>
    <m/>
    <s v="Estatal"/>
  </r>
  <r>
    <x v="0"/>
    <s v="Nuevo León"/>
    <s v="19"/>
    <s v="19.01"/>
    <s v="Monterrey"/>
    <s v="19041"/>
    <s v="Pesquería"/>
    <x v="4"/>
    <x v="17"/>
    <n v="2.0774136000000003"/>
    <n v="0.23724063311999999"/>
    <m/>
    <m/>
    <m/>
    <m/>
    <m/>
    <s v="Estatal"/>
  </r>
  <r>
    <x v="0"/>
    <s v="Nuevo León"/>
    <s v="19"/>
    <s v="19.01"/>
    <s v="Monterrey"/>
    <s v="19045"/>
    <s v="Salinas Victoria"/>
    <x v="4"/>
    <x v="17"/>
    <n v="3.9062832000000003"/>
    <n v="0.44609754143999997"/>
    <m/>
    <m/>
    <m/>
    <m/>
    <m/>
    <s v="Estatal"/>
  </r>
  <r>
    <x v="0"/>
    <s v="Nuevo León"/>
    <s v="19"/>
    <s v="19.01"/>
    <s v="Monterrey"/>
    <s v="19046"/>
    <s v="San Nicolás de los Garza"/>
    <x v="4"/>
    <x v="17"/>
    <n v="0"/>
    <n v="0"/>
    <m/>
    <m/>
    <m/>
    <m/>
    <m/>
    <s v="Estatal"/>
  </r>
  <r>
    <x v="0"/>
    <s v="Nuevo León"/>
    <s v="19"/>
    <s v="19.01"/>
    <s v="Monterrey"/>
    <s v="19047"/>
    <s v="Hidalgo"/>
    <x v="4"/>
    <x v="17"/>
    <n v="5.0071260000000004"/>
    <n v="0.57181378919999992"/>
    <m/>
    <m/>
    <m/>
    <m/>
    <m/>
    <s v="Estatal"/>
  </r>
  <r>
    <x v="0"/>
    <s v="Nuevo León"/>
    <s v="19"/>
    <s v="19.01"/>
    <s v="Monterrey"/>
    <s v="19048"/>
    <s v="Santa Catarina"/>
    <x v="4"/>
    <x v="17"/>
    <n v="0.19158600000000001"/>
    <n v="2.1879121200000001E-2"/>
    <m/>
    <m/>
    <m/>
    <m/>
    <m/>
    <s v="Estatal"/>
  </r>
  <r>
    <x v="0"/>
    <s v="Nuevo León"/>
    <s v="19"/>
    <s v="19.01"/>
    <s v="Monterrey"/>
    <s v="19049"/>
    <s v="Santiago"/>
    <x v="4"/>
    <x v="17"/>
    <n v="0"/>
    <n v="0"/>
    <m/>
    <m/>
    <m/>
    <m/>
    <m/>
    <s v="Estatal"/>
  </r>
  <r>
    <x v="0"/>
    <s v="Nuevo León"/>
    <s v="19"/>
    <s v="19.01"/>
    <s v="Monterrey"/>
    <s v="19001"/>
    <s v="Abasolo"/>
    <x v="4"/>
    <x v="18"/>
    <n v="0.24191573333333333"/>
    <n v="5.3632718080000003E-2"/>
    <m/>
    <m/>
    <m/>
    <m/>
    <m/>
    <s v="Estatal"/>
  </r>
  <r>
    <x v="0"/>
    <s v="Nuevo León"/>
    <s v="19"/>
    <s v="19.01"/>
    <s v="Monterrey"/>
    <s v="19006"/>
    <s v="Apodaca"/>
    <x v="4"/>
    <x v="18"/>
    <n v="0.38101727999999996"/>
    <n v="8.4471530975999992E-2"/>
    <m/>
    <m/>
    <m/>
    <m/>
    <m/>
    <s v="Estatal"/>
  </r>
  <r>
    <x v="0"/>
    <s v="Nuevo León"/>
    <s v="19"/>
    <s v="19.01"/>
    <s v="Monterrey"/>
    <s v="19009"/>
    <s v="Cadereyta Jiménez"/>
    <x v="4"/>
    <x v="18"/>
    <n v="146.92951344102795"/>
    <n v="32.574273129875891"/>
    <m/>
    <m/>
    <m/>
    <m/>
    <m/>
    <s v="Estatal"/>
  </r>
  <r>
    <x v="0"/>
    <s v="Nuevo León"/>
    <s v="19"/>
    <s v="19.01"/>
    <s v="Monterrey"/>
    <s v="19010"/>
    <s v="El Carmen"/>
    <x v="4"/>
    <x v="18"/>
    <n v="12.207598719841856"/>
    <n v="2.7064246361889395"/>
    <m/>
    <m/>
    <m/>
    <m/>
    <m/>
    <s v="Estatal"/>
  </r>
  <r>
    <x v="0"/>
    <s v="Nuevo León"/>
    <s v="19"/>
    <s v="19.01"/>
    <s v="Monterrey"/>
    <s v="19012"/>
    <s v="Ciénega de Flores"/>
    <x v="4"/>
    <x v="18"/>
    <n v="1.8748469333333333"/>
    <n v="0.41565356511999996"/>
    <m/>
    <m/>
    <m/>
    <m/>
    <m/>
    <s v="Estatal"/>
  </r>
  <r>
    <x v="0"/>
    <s v="Nuevo León"/>
    <s v="19"/>
    <s v="19.01"/>
    <s v="Monterrey"/>
    <s v="19018"/>
    <s v="García"/>
    <x v="4"/>
    <x v="18"/>
    <n v="12.121273896911292"/>
    <n v="2.6872864229452329"/>
    <m/>
    <m/>
    <m/>
    <m/>
    <m/>
    <s v="Estatal"/>
  </r>
  <r>
    <x v="0"/>
    <s v="Nuevo León"/>
    <s v="19"/>
    <s v="19.01"/>
    <s v="Monterrey"/>
    <s v="19019"/>
    <s v="San Pedro Garza García"/>
    <x v="4"/>
    <x v="18"/>
    <n v="0"/>
    <n v="0"/>
    <m/>
    <m/>
    <m/>
    <m/>
    <m/>
    <s v="Estatal"/>
  </r>
  <r>
    <x v="0"/>
    <s v="Nuevo León"/>
    <s v="19"/>
    <s v="19.01"/>
    <s v="Monterrey"/>
    <s v="19021"/>
    <s v="General Escobedo"/>
    <x v="4"/>
    <x v="18"/>
    <n v="1.7362699259698544"/>
    <n v="0.38493104258751676"/>
    <m/>
    <m/>
    <m/>
    <m/>
    <m/>
    <s v="Estatal"/>
  </r>
  <r>
    <x v="0"/>
    <s v="Nuevo León"/>
    <s v="19"/>
    <s v="19.01"/>
    <s v="Monterrey"/>
    <s v="19025"/>
    <s v="General Zuazua"/>
    <x v="4"/>
    <x v="18"/>
    <n v="0.84174660111687671"/>
    <n v="0.18661522146761156"/>
    <m/>
    <m/>
    <m/>
    <m/>
    <m/>
    <s v="Estatal"/>
  </r>
  <r>
    <x v="0"/>
    <s v="Nuevo León"/>
    <s v="19"/>
    <s v="19.01"/>
    <s v="Monterrey"/>
    <s v="19026"/>
    <s v="Guadalupe"/>
    <x v="4"/>
    <x v="18"/>
    <n v="0"/>
    <n v="0"/>
    <m/>
    <m/>
    <m/>
    <m/>
    <m/>
    <s v="Estatal"/>
  </r>
  <r>
    <x v="0"/>
    <s v="Nuevo León"/>
    <s v="19"/>
    <s v="19.01"/>
    <s v="Monterrey"/>
    <s v="19031"/>
    <s v="Juárez"/>
    <x v="4"/>
    <x v="18"/>
    <n v="1.7069046914751669"/>
    <n v="0.37842077010004449"/>
    <m/>
    <m/>
    <m/>
    <m/>
    <m/>
    <s v="Estatal"/>
  </r>
  <r>
    <x v="0"/>
    <s v="Nuevo León"/>
    <s v="19"/>
    <s v="19.01"/>
    <s v="Monterrey"/>
    <s v="19039"/>
    <s v="Monterrey"/>
    <x v="4"/>
    <x v="18"/>
    <n v="0"/>
    <n v="0"/>
    <m/>
    <m/>
    <m/>
    <m/>
    <m/>
    <s v="Estatal"/>
  </r>
  <r>
    <x v="0"/>
    <s v="Nuevo León"/>
    <s v="19"/>
    <s v="19.01"/>
    <s v="Monterrey"/>
    <s v="19041"/>
    <s v="Pesquería"/>
    <x v="4"/>
    <x v="18"/>
    <n v="131.90241285198911"/>
    <n v="29.242764929285993"/>
    <m/>
    <m/>
    <m/>
    <m/>
    <m/>
    <s v="Estatal"/>
  </r>
  <r>
    <x v="0"/>
    <s v="Nuevo León"/>
    <s v="19"/>
    <s v="19.01"/>
    <s v="Monterrey"/>
    <s v="19045"/>
    <s v="Salinas Victoria"/>
    <x v="4"/>
    <x v="18"/>
    <n v="2.1924173738571784"/>
    <n v="0.48605893178413639"/>
    <m/>
    <m/>
    <m/>
    <m/>
    <m/>
    <s v="Estatal"/>
  </r>
  <r>
    <x v="0"/>
    <s v="Nuevo León"/>
    <s v="19"/>
    <s v="19.01"/>
    <s v="Monterrey"/>
    <s v="19046"/>
    <s v="San Nicolás de los Garza"/>
    <x v="4"/>
    <x v="18"/>
    <n v="0"/>
    <n v="0"/>
    <m/>
    <m/>
    <m/>
    <m/>
    <m/>
    <s v="Estatal"/>
  </r>
  <r>
    <x v="0"/>
    <s v="Nuevo León"/>
    <s v="19"/>
    <s v="19.01"/>
    <s v="Monterrey"/>
    <s v="19047"/>
    <s v="Hidalgo"/>
    <x v="4"/>
    <x v="18"/>
    <n v="0.38432591252779835"/>
    <n v="8.5205054807412903E-2"/>
    <m/>
    <m/>
    <m/>
    <m/>
    <m/>
    <s v="Estatal"/>
  </r>
  <r>
    <x v="0"/>
    <s v="Nuevo León"/>
    <s v="19"/>
    <s v="19.01"/>
    <s v="Monterrey"/>
    <s v="19048"/>
    <s v="Santa Catarina"/>
    <x v="4"/>
    <x v="18"/>
    <n v="0.71767736456634534"/>
    <n v="0.15910907172435876"/>
    <m/>
    <m/>
    <m/>
    <m/>
    <m/>
    <s v="Estatal"/>
  </r>
  <r>
    <x v="0"/>
    <s v="Nuevo León"/>
    <s v="19"/>
    <s v="19.01"/>
    <s v="Monterrey"/>
    <s v="19049"/>
    <s v="Santiago"/>
    <x v="4"/>
    <x v="18"/>
    <n v="1.0999185696071161"/>
    <n v="0.24385194688189768"/>
    <m/>
    <m/>
    <m/>
    <m/>
    <m/>
    <s v="Estatal"/>
  </r>
  <r>
    <x v="0"/>
    <s v="Nuevo León"/>
    <s v="19"/>
    <s v="19.01"/>
    <s v="Monterrey"/>
    <s v="19001"/>
    <s v="Abasolo"/>
    <x v="5"/>
    <x v="19"/>
    <m/>
    <m/>
    <m/>
    <m/>
    <m/>
    <n v="0.85695864532782651"/>
    <m/>
    <s v="Estatal"/>
  </r>
  <r>
    <x v="0"/>
    <s v="Nuevo León"/>
    <s v="19"/>
    <s v="19.01"/>
    <s v="Monterrey"/>
    <s v="19006"/>
    <s v="Apodaca"/>
    <x v="5"/>
    <x v="19"/>
    <m/>
    <m/>
    <m/>
    <m/>
    <m/>
    <n v="629.0076456706247"/>
    <m/>
    <s v="Estatal"/>
  </r>
  <r>
    <x v="0"/>
    <s v="Nuevo León"/>
    <s v="19"/>
    <s v="19.01"/>
    <s v="Monterrey"/>
    <s v="19009"/>
    <s v="Cadereyta Jiménez"/>
    <x v="5"/>
    <x v="19"/>
    <m/>
    <m/>
    <m/>
    <m/>
    <m/>
    <n v="93.408492340733076"/>
    <m/>
    <s v="Estatal"/>
  </r>
  <r>
    <x v="0"/>
    <s v="Nuevo León"/>
    <s v="19"/>
    <s v="19.01"/>
    <s v="Monterrey"/>
    <s v="19010"/>
    <s v="El Carmen"/>
    <x v="5"/>
    <x v="19"/>
    <m/>
    <m/>
    <m/>
    <m/>
    <m/>
    <n v="6.8556691626226121"/>
    <m/>
    <s v="Estatal"/>
  </r>
  <r>
    <x v="0"/>
    <s v="Nuevo León"/>
    <s v="19"/>
    <s v="19.01"/>
    <s v="Monterrey"/>
    <s v="19012"/>
    <s v="Ciénega de Flores"/>
    <x v="5"/>
    <x v="19"/>
    <m/>
    <m/>
    <m/>
    <m/>
    <m/>
    <n v="2.5708759359834792"/>
    <m/>
    <s v="Estatal"/>
  </r>
  <r>
    <x v="0"/>
    <s v="Nuevo León"/>
    <s v="19"/>
    <s v="19.01"/>
    <s v="Monterrey"/>
    <s v="19018"/>
    <s v="García"/>
    <x v="5"/>
    <x v="19"/>
    <m/>
    <m/>
    <m/>
    <m/>
    <m/>
    <n v="43.276411589055243"/>
    <m/>
    <s v="Estatal"/>
  </r>
  <r>
    <x v="0"/>
    <s v="Nuevo León"/>
    <s v="19"/>
    <s v="19.01"/>
    <s v="Monterrey"/>
    <s v="19019"/>
    <s v="San Pedro Garza García"/>
    <x v="5"/>
    <x v="19"/>
    <m/>
    <m/>
    <m/>
    <m/>
    <m/>
    <n v="0"/>
    <m/>
    <s v="Estatal"/>
  </r>
  <r>
    <x v="0"/>
    <s v="Nuevo León"/>
    <s v="19"/>
    <s v="19.01"/>
    <s v="Monterrey"/>
    <s v="19021"/>
    <s v="General Escobedo"/>
    <x v="5"/>
    <x v="19"/>
    <m/>
    <m/>
    <m/>
    <m/>
    <m/>
    <n v="1102.4772972142487"/>
    <m/>
    <s v="Estatal"/>
  </r>
  <r>
    <x v="0"/>
    <s v="Nuevo León"/>
    <s v="19"/>
    <s v="19.01"/>
    <s v="Monterrey"/>
    <s v="19025"/>
    <s v="General Zuazua"/>
    <x v="5"/>
    <x v="19"/>
    <m/>
    <m/>
    <m/>
    <m/>
    <m/>
    <n v="67.271253658234386"/>
    <m/>
    <s v="Estatal"/>
  </r>
  <r>
    <x v="0"/>
    <s v="Nuevo León"/>
    <s v="19"/>
    <s v="19.01"/>
    <s v="Monterrey"/>
    <s v="19026"/>
    <s v="Guadalupe"/>
    <x v="5"/>
    <x v="19"/>
    <m/>
    <m/>
    <m/>
    <m/>
    <m/>
    <n v="0"/>
    <m/>
    <s v="Estatal"/>
  </r>
  <r>
    <x v="0"/>
    <s v="Nuevo León"/>
    <s v="19"/>
    <s v="19.01"/>
    <s v="Monterrey"/>
    <s v="19031"/>
    <s v="Juárez"/>
    <x v="5"/>
    <x v="19"/>
    <m/>
    <m/>
    <m/>
    <m/>
    <m/>
    <n v="0"/>
    <m/>
    <s v="Estatal"/>
  </r>
  <r>
    <x v="0"/>
    <s v="Nuevo León"/>
    <s v="19"/>
    <s v="19.01"/>
    <s v="Monterrey"/>
    <s v="19039"/>
    <s v="Monterrey"/>
    <x v="5"/>
    <x v="19"/>
    <m/>
    <m/>
    <m/>
    <m/>
    <m/>
    <n v="0"/>
    <m/>
    <s v="Estatal"/>
  </r>
  <r>
    <x v="0"/>
    <s v="Nuevo León"/>
    <s v="19"/>
    <s v="19.01"/>
    <s v="Monterrey"/>
    <s v="19041"/>
    <s v="Pesquería"/>
    <x v="5"/>
    <x v="19"/>
    <m/>
    <m/>
    <m/>
    <m/>
    <m/>
    <n v="3058.0569258523487"/>
    <m/>
    <s v="Estatal"/>
  </r>
  <r>
    <x v="0"/>
    <s v="Nuevo León"/>
    <s v="19"/>
    <s v="19.01"/>
    <s v="Monterrey"/>
    <s v="19045"/>
    <s v="Salinas Victoria"/>
    <x v="5"/>
    <x v="19"/>
    <m/>
    <m/>
    <m/>
    <m/>
    <m/>
    <n v="0"/>
    <m/>
    <s v="Estatal"/>
  </r>
  <r>
    <x v="0"/>
    <s v="Nuevo León"/>
    <s v="19"/>
    <s v="19.01"/>
    <s v="Monterrey"/>
    <s v="19046"/>
    <s v="San Nicolás de los Garza"/>
    <x v="5"/>
    <x v="19"/>
    <m/>
    <m/>
    <m/>
    <m/>
    <m/>
    <n v="25.280280037170883"/>
    <m/>
    <s v="Estatal"/>
  </r>
  <r>
    <x v="0"/>
    <s v="Nuevo León"/>
    <s v="19"/>
    <s v="19.01"/>
    <s v="Monterrey"/>
    <s v="19047"/>
    <s v="Hidalgo"/>
    <x v="5"/>
    <x v="19"/>
    <m/>
    <m/>
    <m/>
    <m/>
    <m/>
    <n v="7.2841484852865248"/>
    <m/>
    <s v="Estatal"/>
  </r>
  <r>
    <x v="0"/>
    <s v="Nuevo León"/>
    <s v="19"/>
    <s v="19.01"/>
    <s v="Monterrey"/>
    <s v="19048"/>
    <s v="Santa Catarina"/>
    <x v="5"/>
    <x v="19"/>
    <m/>
    <m/>
    <m/>
    <m/>
    <m/>
    <n v="0"/>
    <m/>
    <s v="Estatal"/>
  </r>
  <r>
    <x v="0"/>
    <s v="Nuevo León"/>
    <s v="19"/>
    <s v="19.01"/>
    <s v="Monterrey"/>
    <s v="19049"/>
    <s v="Santiago"/>
    <x v="5"/>
    <x v="19"/>
    <m/>
    <m/>
    <m/>
    <m/>
    <m/>
    <n v="65.985815690242632"/>
    <m/>
    <s v="Estatal"/>
  </r>
  <r>
    <x v="0"/>
    <s v="Nuevo León"/>
    <s v="19"/>
    <s v="19.01"/>
    <s v="Monterrey"/>
    <s v="19001"/>
    <s v="Abasolo"/>
    <x v="5"/>
    <x v="20"/>
    <n v="9.7843422323242127E-2"/>
    <n v="8.9603976232863841E-2"/>
    <n v="2.5748269032432138E-3"/>
    <n v="0.21886028677567321"/>
    <n v="1.5448961419459284E-2"/>
    <n v="2.2030218984148937E-2"/>
    <m/>
    <s v="Estatal"/>
  </r>
  <r>
    <x v="0"/>
    <s v="Nuevo León"/>
    <s v="19"/>
    <s v="19.01"/>
    <s v="Monterrey"/>
    <s v="19006"/>
    <s v="Apodaca"/>
    <x v="5"/>
    <x v="20"/>
    <n v="0.60897638326965786"/>
    <n v="0.557694161520634"/>
    <n v="1.6025694296569946E-2"/>
    <n v="1.3621840152084452"/>
    <n v="9.6154165779419654E-2"/>
    <n v="0.13711584040145244"/>
    <m/>
    <s v="Estatal"/>
  </r>
  <r>
    <x v="0"/>
    <s v="Nuevo León"/>
    <s v="19"/>
    <s v="19.01"/>
    <s v="Monterrey"/>
    <s v="19009"/>
    <s v="Cadereyta Jiménez"/>
    <x v="5"/>
    <x v="20"/>
    <n v="4.1943602868952032"/>
    <n v="3.841150999577712"/>
    <n v="0.11037790228671586"/>
    <n v="9.3821216943708503"/>
    <n v="0.66226741372029518"/>
    <n v="0.94439333196514086"/>
    <m/>
    <s v="Estatal"/>
  </r>
  <r>
    <x v="0"/>
    <s v="Nuevo León"/>
    <s v="19"/>
    <s v="19.01"/>
    <s v="Monterrey"/>
    <s v="19010"/>
    <s v="El Carmen"/>
    <x v="5"/>
    <x v="20"/>
    <n v="0.43070004909938447"/>
    <n v="0.39443057128048897"/>
    <n v="1.1334211818404855E-2"/>
    <n v="0.96340800456441278"/>
    <n v="6.8005270910429128E-2"/>
    <n v="9.6975516318271934E-2"/>
    <m/>
    <s v="Estatal"/>
  </r>
  <r>
    <x v="0"/>
    <s v="Nuevo León"/>
    <s v="19"/>
    <s v="19.01"/>
    <s v="Monterrey"/>
    <s v="19012"/>
    <s v="Ciénega de Flores"/>
    <x v="5"/>
    <x v="20"/>
    <n v="0.42206303186098998"/>
    <n v="0.3865208818095382"/>
    <n v="1.1106921891078682E-2"/>
    <n v="0.94408836074168812"/>
    <n v="6.6641531346472105E-2"/>
    <n v="9.5030823700069211E-2"/>
    <m/>
    <s v="Estatal"/>
  </r>
  <r>
    <x v="0"/>
    <s v="Nuevo León"/>
    <s v="19"/>
    <s v="19.01"/>
    <s v="Monterrey"/>
    <s v="19018"/>
    <s v="García"/>
    <x v="5"/>
    <x v="20"/>
    <n v="2.7735635400737566"/>
    <n v="2.5400002945938609"/>
    <n v="7.2988514212467284E-2"/>
    <n v="6.2040237080597187"/>
    <n v="0.43793108527480362"/>
    <n v="0.62448972760186994"/>
    <m/>
    <s v="Estatal"/>
  </r>
  <r>
    <x v="0"/>
    <s v="Nuevo León"/>
    <s v="19"/>
    <s v="19.01"/>
    <s v="Monterrey"/>
    <s v="19019"/>
    <s v="San Pedro Garza García"/>
    <x v="5"/>
    <x v="20"/>
    <n v="3.734962953526829E-2"/>
    <n v="3.4204397574403599E-2"/>
    <n v="9.8288498777021832E-4"/>
    <n v="8.3545223960468568E-2"/>
    <n v="5.8973099266213099E-3"/>
    <n v="8.4095639553619875E-3"/>
    <m/>
    <s v="Estatal"/>
  </r>
  <r>
    <x v="0"/>
    <s v="Nuevo León"/>
    <s v="19"/>
    <s v="19.01"/>
    <s v="Monterrey"/>
    <s v="19021"/>
    <s v="General Escobedo"/>
    <x v="5"/>
    <x v="20"/>
    <n v="4.9168552438979454"/>
    <n v="4.5028042759907505"/>
    <n v="0.12939092747099859"/>
    <n v="10.99822883503488"/>
    <n v="0.77634556482599137"/>
    <n v="1.1070687754418636"/>
    <m/>
    <s v="Estatal"/>
  </r>
  <r>
    <x v="0"/>
    <s v="Nuevo León"/>
    <s v="19"/>
    <s v="19.01"/>
    <s v="Monterrey"/>
    <s v="19025"/>
    <s v="General Zuazua"/>
    <x v="5"/>
    <x v="20"/>
    <n v="1.0978021993692118"/>
    <n v="1.0053556983696994"/>
    <n v="2.8889531562347685E-2"/>
    <n v="2.4556101827995533"/>
    <n v="0.1733371893740861"/>
    <n v="0.24717883204744676"/>
    <m/>
    <s v="Estatal"/>
  </r>
  <r>
    <x v="0"/>
    <s v="Nuevo León"/>
    <s v="19"/>
    <s v="19.01"/>
    <s v="Monterrey"/>
    <s v="19026"/>
    <s v="Guadalupe"/>
    <x v="5"/>
    <x v="20"/>
    <n v="1.3669833480383529"/>
    <n v="1.2518689608351232"/>
    <n v="3.597324600100929E-2"/>
    <n v="3.0577259100857899"/>
    <n v="0.21583947600605574"/>
    <n v="0.30778709278463545"/>
    <m/>
    <s v="Estatal"/>
  </r>
  <r>
    <x v="0"/>
    <s v="Nuevo León"/>
    <s v="19"/>
    <s v="19.01"/>
    <s v="Monterrey"/>
    <s v="19031"/>
    <s v="Juárez"/>
    <x v="5"/>
    <x v="20"/>
    <n v="3.4852654009447162"/>
    <n v="3.1917693671809508"/>
    <n v="9.1717510551176745E-2"/>
    <n v="7.7959883968500234"/>
    <n v="0.55030506330706042"/>
    <n v="0.78473502027586817"/>
    <m/>
    <s v="Estatal"/>
  </r>
  <r>
    <x v="0"/>
    <s v="Nuevo León"/>
    <s v="19"/>
    <s v="19.01"/>
    <s v="Monterrey"/>
    <s v="19039"/>
    <s v="Monterrey"/>
    <x v="5"/>
    <x v="20"/>
    <n v="1.5934126524506473"/>
    <n v="1.4592305343495402"/>
    <n v="4.1931911906595988E-2"/>
    <n v="3.5642125120606587"/>
    <n v="0.25159147143957589"/>
    <n v="0.35876943827283519"/>
    <m/>
    <s v="Estatal"/>
  </r>
  <r>
    <x v="0"/>
    <s v="Nuevo León"/>
    <s v="19"/>
    <s v="19.01"/>
    <s v="Monterrey"/>
    <s v="19041"/>
    <s v="Pesquería"/>
    <x v="5"/>
    <x v="20"/>
    <n v="0.84791130531223846"/>
    <n v="0.77650824802278695"/>
    <n v="2.2313455402953646E-2"/>
    <n v="1.89664370925106"/>
    <n v="0.13388073241772186"/>
    <n v="0.19091392442767136"/>
    <m/>
    <s v="Estatal"/>
  </r>
  <r>
    <x v="0"/>
    <s v="Nuevo León"/>
    <s v="19"/>
    <s v="19.01"/>
    <s v="Monterrey"/>
    <s v="19045"/>
    <s v="Salinas Victoria"/>
    <x v="5"/>
    <x v="20"/>
    <n v="5.3179792666942625"/>
    <n v="4.8701494337094822"/>
    <n v="0.13994682280774373"/>
    <n v="11.895479938658218"/>
    <n v="0.8396809368464625"/>
    <n v="1.1973850159430552"/>
    <m/>
    <s v="Estatal"/>
  </r>
  <r>
    <x v="0"/>
    <s v="Nuevo León"/>
    <s v="19"/>
    <s v="19.01"/>
    <s v="Monterrey"/>
    <s v="19046"/>
    <s v="San Nicolás de los Garza"/>
    <x v="5"/>
    <x v="20"/>
    <n v="0"/>
    <n v="0"/>
    <n v="0"/>
    <n v="0"/>
    <n v="0"/>
    <n v="0"/>
    <m/>
    <s v="Estatal"/>
  </r>
  <r>
    <x v="0"/>
    <s v="Nuevo León"/>
    <s v="19"/>
    <s v="19.01"/>
    <s v="Monterrey"/>
    <s v="19047"/>
    <s v="Hidalgo"/>
    <x v="5"/>
    <x v="20"/>
    <n v="0.57647088528430712"/>
    <n v="0.5279259686287866"/>
    <n v="1.5170286454850189E-2"/>
    <n v="1.289474348662266"/>
    <n v="9.1021718729101128E-2"/>
    <n v="0.12979697090769818"/>
    <m/>
    <s v="Estatal"/>
  </r>
  <r>
    <x v="0"/>
    <s v="Nuevo León"/>
    <s v="19"/>
    <s v="19.01"/>
    <s v="Monterrey"/>
    <s v="19048"/>
    <s v="Santa Catarina"/>
    <x v="5"/>
    <x v="20"/>
    <n v="4.8413069655380117"/>
    <n v="4.433617957913758"/>
    <n v="0.12740281488257926"/>
    <n v="10.829239265019238"/>
    <n v="0.76441688929547558"/>
    <n v="1.090058484135348"/>
    <m/>
    <s v="Estatal"/>
  </r>
  <r>
    <x v="0"/>
    <s v="Nuevo León"/>
    <s v="19"/>
    <s v="19.01"/>
    <s v="Monterrey"/>
    <s v="19049"/>
    <s v="Santiago"/>
    <x v="5"/>
    <x v="20"/>
    <n v="1.3029995731347817"/>
    <n v="1.1932732932918528"/>
    <n v="3.4289462450915312E-2"/>
    <n v="2.9146043083278017"/>
    <n v="0.20573677470549187"/>
    <n v="0.29338064073003134"/>
    <m/>
    <s v="Estatal"/>
  </r>
  <r>
    <x v="0"/>
    <s v="Nuevo León"/>
    <s v="19"/>
    <s v="19.01"/>
    <s v="Monterrey"/>
    <s v="19001"/>
    <s v="Abasolo"/>
    <x v="5"/>
    <x v="21"/>
    <n v="0"/>
    <n v="0"/>
    <n v="0"/>
    <n v="0"/>
    <m/>
    <n v="0"/>
    <m/>
    <s v="Estatal"/>
  </r>
  <r>
    <x v="0"/>
    <s v="Nuevo León"/>
    <s v="19"/>
    <s v="19.01"/>
    <s v="Monterrey"/>
    <s v="19006"/>
    <s v="Apodaca"/>
    <x v="5"/>
    <x v="21"/>
    <n v="0"/>
    <n v="0"/>
    <n v="0"/>
    <n v="0"/>
    <m/>
    <n v="0"/>
    <m/>
    <s v="Estatal"/>
  </r>
  <r>
    <x v="0"/>
    <s v="Nuevo León"/>
    <s v="19"/>
    <s v="19.01"/>
    <s v="Monterrey"/>
    <s v="19009"/>
    <s v="Cadereyta Jiménez"/>
    <x v="5"/>
    <x v="21"/>
    <n v="0"/>
    <n v="0"/>
    <n v="0"/>
    <n v="1.8453032683837118"/>
    <m/>
    <n v="97.846122642109165"/>
    <m/>
    <s v="Estatal"/>
  </r>
  <r>
    <x v="0"/>
    <s v="Nuevo León"/>
    <s v="19"/>
    <s v="19.01"/>
    <s v="Monterrey"/>
    <s v="19010"/>
    <s v="El Carmen"/>
    <x v="5"/>
    <x v="21"/>
    <n v="0"/>
    <n v="0"/>
    <n v="0"/>
    <n v="0"/>
    <m/>
    <n v="0"/>
    <m/>
    <s v="Estatal"/>
  </r>
  <r>
    <x v="0"/>
    <s v="Nuevo León"/>
    <s v="19"/>
    <s v="19.01"/>
    <s v="Monterrey"/>
    <s v="19012"/>
    <s v="Ciénega de Flores"/>
    <x v="5"/>
    <x v="21"/>
    <n v="0"/>
    <n v="0"/>
    <n v="0"/>
    <n v="0"/>
    <m/>
    <n v="0"/>
    <m/>
    <s v="Estatal"/>
  </r>
  <r>
    <x v="0"/>
    <s v="Nuevo León"/>
    <s v="19"/>
    <s v="19.01"/>
    <s v="Monterrey"/>
    <s v="19018"/>
    <s v="García"/>
    <x v="5"/>
    <x v="21"/>
    <n v="0"/>
    <n v="0"/>
    <n v="0"/>
    <n v="1.1438810390553376"/>
    <m/>
    <n v="60.653620655766545"/>
    <m/>
    <s v="Estatal"/>
  </r>
  <r>
    <x v="0"/>
    <s v="Nuevo León"/>
    <s v="19"/>
    <s v="19.01"/>
    <s v="Monterrey"/>
    <s v="19019"/>
    <s v="San Pedro Garza García"/>
    <x v="5"/>
    <x v="21"/>
    <n v="0"/>
    <n v="0"/>
    <n v="0"/>
    <n v="0"/>
    <m/>
    <n v="0"/>
    <m/>
    <s v="Estatal"/>
  </r>
  <r>
    <x v="0"/>
    <s v="Nuevo León"/>
    <s v="19"/>
    <s v="19.01"/>
    <s v="Monterrey"/>
    <s v="19021"/>
    <s v="General Escobedo"/>
    <x v="5"/>
    <x v="21"/>
    <n v="0"/>
    <n v="0"/>
    <n v="0"/>
    <n v="0"/>
    <m/>
    <n v="0"/>
    <m/>
    <s v="Estatal"/>
  </r>
  <r>
    <x v="0"/>
    <s v="Nuevo León"/>
    <s v="19"/>
    <s v="19.01"/>
    <s v="Monterrey"/>
    <s v="19025"/>
    <s v="General Zuazua"/>
    <x v="5"/>
    <x v="21"/>
    <n v="0"/>
    <n v="0"/>
    <n v="0"/>
    <n v="0.30625290333259203"/>
    <m/>
    <n v="16.238880433582882"/>
    <m/>
    <s v="Estatal"/>
  </r>
  <r>
    <x v="0"/>
    <s v="Nuevo León"/>
    <s v="19"/>
    <s v="19.01"/>
    <s v="Monterrey"/>
    <s v="19026"/>
    <s v="Guadalupe"/>
    <x v="5"/>
    <x v="21"/>
    <n v="0"/>
    <n v="0"/>
    <n v="0"/>
    <n v="0"/>
    <m/>
    <n v="0"/>
    <m/>
    <s v="Estatal"/>
  </r>
  <r>
    <x v="0"/>
    <s v="Nuevo León"/>
    <s v="19"/>
    <s v="19.01"/>
    <s v="Monterrey"/>
    <s v="19031"/>
    <s v="Juárez"/>
    <x v="5"/>
    <x v="21"/>
    <n v="0"/>
    <n v="0"/>
    <n v="0"/>
    <n v="0"/>
    <m/>
    <n v="0"/>
    <m/>
    <s v="Estatal"/>
  </r>
  <r>
    <x v="0"/>
    <s v="Nuevo León"/>
    <s v="19"/>
    <s v="19.01"/>
    <s v="Monterrey"/>
    <s v="19039"/>
    <s v="Monterrey"/>
    <x v="5"/>
    <x v="21"/>
    <n v="0"/>
    <n v="0"/>
    <n v="0"/>
    <n v="0"/>
    <m/>
    <n v="0"/>
    <m/>
    <s v="Estatal"/>
  </r>
  <r>
    <x v="0"/>
    <s v="Nuevo León"/>
    <s v="19"/>
    <s v="19.01"/>
    <s v="Monterrey"/>
    <s v="19041"/>
    <s v="Pesquería"/>
    <x v="5"/>
    <x v="21"/>
    <n v="0"/>
    <n v="0"/>
    <n v="0"/>
    <n v="0"/>
    <m/>
    <n v="0"/>
    <m/>
    <s v="Estatal"/>
  </r>
  <r>
    <x v="0"/>
    <s v="Nuevo León"/>
    <s v="19"/>
    <s v="19.01"/>
    <s v="Monterrey"/>
    <s v="19045"/>
    <s v="Salinas Victoria"/>
    <x v="5"/>
    <x v="21"/>
    <n v="0"/>
    <n v="0"/>
    <n v="0"/>
    <n v="19.173565646540645"/>
    <m/>
    <n v="1016.6670638269527"/>
    <m/>
    <s v="Estatal"/>
  </r>
  <r>
    <x v="0"/>
    <s v="Nuevo León"/>
    <s v="19"/>
    <s v="19.01"/>
    <s v="Monterrey"/>
    <s v="19046"/>
    <s v="San Nicolás de los Garza"/>
    <x v="5"/>
    <x v="21"/>
    <n v="0"/>
    <n v="0"/>
    <n v="0"/>
    <n v="0"/>
    <m/>
    <n v="0"/>
    <m/>
    <s v="Estatal"/>
  </r>
  <r>
    <x v="0"/>
    <s v="Nuevo León"/>
    <s v="19"/>
    <s v="19.01"/>
    <s v="Monterrey"/>
    <s v="19047"/>
    <s v="Hidalgo"/>
    <x v="5"/>
    <x v="21"/>
    <n v="0"/>
    <n v="0"/>
    <n v="0"/>
    <n v="0"/>
    <m/>
    <n v="0"/>
    <m/>
    <s v="Estatal"/>
  </r>
  <r>
    <x v="0"/>
    <s v="Nuevo León"/>
    <s v="19"/>
    <s v="19.01"/>
    <s v="Monterrey"/>
    <s v="19048"/>
    <s v="Santa Catarina"/>
    <x v="5"/>
    <x v="21"/>
    <n v="0"/>
    <n v="0"/>
    <n v="0"/>
    <n v="0"/>
    <m/>
    <n v="0"/>
    <m/>
    <s v="Estatal"/>
  </r>
  <r>
    <x v="0"/>
    <s v="Nuevo León"/>
    <s v="19"/>
    <s v="19.01"/>
    <s v="Monterrey"/>
    <s v="19049"/>
    <s v="Santiago"/>
    <x v="5"/>
    <x v="21"/>
    <n v="0"/>
    <n v="0"/>
    <n v="0"/>
    <n v="0"/>
    <m/>
    <n v="0"/>
    <m/>
    <s v="Estatal"/>
  </r>
  <r>
    <x v="0"/>
    <s v="Nuevo León"/>
    <s v="19"/>
    <s v="19.01"/>
    <s v="Monterrey"/>
    <s v="19001"/>
    <s v="Abasolo"/>
    <x v="6"/>
    <x v="22"/>
    <n v="0.22615779329987259"/>
    <n v="3.5066874757293427E-2"/>
    <m/>
    <m/>
    <m/>
    <m/>
    <m/>
    <s v="Estatal"/>
  </r>
  <r>
    <x v="0"/>
    <s v="Nuevo León"/>
    <s v="19"/>
    <s v="19.01"/>
    <s v="Monterrey"/>
    <s v="19006"/>
    <s v="Apodaca"/>
    <x v="6"/>
    <x v="22"/>
    <n v="48.324001090810206"/>
    <n v="7.492873313350052"/>
    <m/>
    <m/>
    <m/>
    <m/>
    <m/>
    <s v="Estatal"/>
  </r>
  <r>
    <x v="0"/>
    <s v="Nuevo León"/>
    <s v="19"/>
    <s v="19.01"/>
    <s v="Monterrey"/>
    <s v="19009"/>
    <s v="Cadereyta Jiménez"/>
    <x v="6"/>
    <x v="22"/>
    <n v="252.67475721493125"/>
    <n v="39.178460031386003"/>
    <m/>
    <m/>
    <m/>
    <m/>
    <m/>
    <s v="Estatal"/>
  </r>
  <r>
    <x v="0"/>
    <s v="Nuevo León"/>
    <s v="19"/>
    <s v="19.01"/>
    <s v="Monterrey"/>
    <s v="19010"/>
    <s v="El Carmen"/>
    <x v="6"/>
    <x v="22"/>
    <n v="1.0171050103548673"/>
    <n v="0.15770711896643647"/>
    <m/>
    <m/>
    <m/>
    <m/>
    <m/>
    <s v="Estatal"/>
  </r>
  <r>
    <x v="0"/>
    <s v="Nuevo León"/>
    <s v="19"/>
    <s v="19.01"/>
    <s v="Monterrey"/>
    <s v="19012"/>
    <s v="Ciénega de Flores"/>
    <x v="6"/>
    <x v="22"/>
    <n v="1.1595927863885267"/>
    <n v="0.17980054729235048"/>
    <m/>
    <m/>
    <m/>
    <m/>
    <m/>
    <s v="Estatal"/>
  </r>
  <r>
    <x v="0"/>
    <s v="Nuevo León"/>
    <s v="19"/>
    <s v="19.01"/>
    <s v="Monterrey"/>
    <s v="19018"/>
    <s v="García"/>
    <x v="6"/>
    <x v="22"/>
    <n v="119.03675288381579"/>
    <n v="18.457232200514252"/>
    <m/>
    <m/>
    <m/>
    <m/>
    <m/>
    <s v="Estatal"/>
  </r>
  <r>
    <x v="0"/>
    <s v="Nuevo León"/>
    <s v="19"/>
    <s v="19.01"/>
    <s v="Monterrey"/>
    <s v="19019"/>
    <s v="San Pedro Garza García"/>
    <x v="6"/>
    <x v="22"/>
    <n v="0"/>
    <n v="0"/>
    <m/>
    <m/>
    <m/>
    <m/>
    <m/>
    <s v="Estatal"/>
  </r>
  <r>
    <x v="0"/>
    <s v="Nuevo León"/>
    <s v="19"/>
    <s v="19.01"/>
    <s v="Monterrey"/>
    <s v="19021"/>
    <s v="General Escobedo"/>
    <x v="6"/>
    <x v="22"/>
    <n v="17.964893462521978"/>
    <n v="2.7855448175649156"/>
    <m/>
    <m/>
    <m/>
    <m/>
    <m/>
    <s v="Estatal"/>
  </r>
  <r>
    <x v="0"/>
    <s v="Nuevo León"/>
    <s v="19"/>
    <s v="19.01"/>
    <s v="Monterrey"/>
    <s v="19025"/>
    <s v="General Zuazua"/>
    <x v="6"/>
    <x v="22"/>
    <n v="2.5302243485832356"/>
    <n v="0.39232369154741237"/>
    <m/>
    <m/>
    <m/>
    <m/>
    <m/>
    <s v="Estatal"/>
  </r>
  <r>
    <x v="0"/>
    <s v="Nuevo León"/>
    <s v="19"/>
    <s v="19.01"/>
    <s v="Monterrey"/>
    <s v="19026"/>
    <s v="Guadalupe"/>
    <x v="6"/>
    <x v="22"/>
    <n v="1.3051656188574106"/>
    <n v="0.20237232874532105"/>
    <m/>
    <m/>
    <m/>
    <m/>
    <m/>
    <s v="Estatal"/>
  </r>
  <r>
    <x v="0"/>
    <s v="Nuevo León"/>
    <s v="19"/>
    <s v="19.01"/>
    <s v="Monterrey"/>
    <s v="19031"/>
    <s v="Juárez"/>
    <x v="6"/>
    <x v="22"/>
    <n v="13.45296750074356"/>
    <n v="2.0859485741311348"/>
    <m/>
    <m/>
    <m/>
    <m/>
    <m/>
    <s v="Estatal"/>
  </r>
  <r>
    <x v="0"/>
    <s v="Nuevo León"/>
    <s v="19"/>
    <s v="19.01"/>
    <s v="Monterrey"/>
    <s v="19039"/>
    <s v="Monterrey"/>
    <x v="6"/>
    <x v="22"/>
    <n v="0.12624080812418578"/>
    <n v="1.9574256288752118E-2"/>
    <m/>
    <m/>
    <m/>
    <m/>
    <m/>
    <s v="Estatal"/>
  </r>
  <r>
    <x v="0"/>
    <s v="Nuevo León"/>
    <s v="19"/>
    <s v="19.01"/>
    <s v="Monterrey"/>
    <s v="19041"/>
    <s v="Pesquería"/>
    <x v="6"/>
    <x v="22"/>
    <n v="26.326851798641982"/>
    <n v="4.0821074582766688"/>
    <m/>
    <m/>
    <m/>
    <m/>
    <m/>
    <s v="Estatal"/>
  </r>
  <r>
    <x v="0"/>
    <s v="Nuevo León"/>
    <s v="19"/>
    <s v="19.01"/>
    <s v="Monterrey"/>
    <s v="19045"/>
    <s v="Salinas Victoria"/>
    <x v="6"/>
    <x v="22"/>
    <n v="95.416209041117881"/>
    <n v="14.794751060486641"/>
    <m/>
    <m/>
    <m/>
    <m/>
    <m/>
    <s v="Estatal"/>
  </r>
  <r>
    <x v="0"/>
    <s v="Nuevo León"/>
    <s v="19"/>
    <s v="19.01"/>
    <s v="Monterrey"/>
    <s v="19046"/>
    <s v="San Nicolás de los Garza"/>
    <x v="6"/>
    <x v="22"/>
    <n v="1.4640945794284262E-3"/>
    <n v="2.2701504334884107E-4"/>
    <m/>
    <m/>
    <m/>
    <m/>
    <m/>
    <s v="Estatal"/>
  </r>
  <r>
    <x v="0"/>
    <s v="Nuevo León"/>
    <s v="19"/>
    <s v="19.01"/>
    <s v="Monterrey"/>
    <s v="19047"/>
    <s v="Hidalgo"/>
    <x v="6"/>
    <x v="22"/>
    <n v="0.14640945794284269"/>
    <n v="2.2701504334884114E-2"/>
    <m/>
    <m/>
    <m/>
    <m/>
    <m/>
    <s v="Estatal"/>
  </r>
  <r>
    <x v="0"/>
    <s v="Nuevo León"/>
    <s v="19"/>
    <s v="19.01"/>
    <s v="Monterrey"/>
    <s v="19048"/>
    <s v="Santa Catarina"/>
    <x v="6"/>
    <x v="22"/>
    <n v="2.8640128139287002"/>
    <n v="0.44407922974449104"/>
    <m/>
    <m/>
    <m/>
    <m/>
    <m/>
    <s v="Estatal"/>
  </r>
  <r>
    <x v="0"/>
    <s v="Nuevo León"/>
    <s v="19"/>
    <s v="19.01"/>
    <s v="Monterrey"/>
    <s v="19049"/>
    <s v="Santiago"/>
    <x v="6"/>
    <x v="22"/>
    <n v="46.612020571488273"/>
    <n v="7.2274223395762345"/>
    <m/>
    <m/>
    <m/>
    <m/>
    <m/>
    <s v="Estatal"/>
  </r>
  <r>
    <x v="0"/>
    <s v="Nuevo León"/>
    <s v="19"/>
    <s v="19.01"/>
    <s v="Monterrey"/>
    <s v="19001"/>
    <s v="Abasolo"/>
    <x v="6"/>
    <x v="23"/>
    <m/>
    <m/>
    <m/>
    <m/>
    <m/>
    <m/>
    <n v="3.9514339213871388"/>
    <s v="Estatal"/>
  </r>
  <r>
    <x v="0"/>
    <s v="Nuevo León"/>
    <s v="19"/>
    <s v="19.01"/>
    <s v="Monterrey"/>
    <s v="19006"/>
    <s v="Apodaca"/>
    <x v="6"/>
    <x v="23"/>
    <m/>
    <m/>
    <m/>
    <m/>
    <m/>
    <m/>
    <n v="632.81235817903939"/>
    <s v="Estatal"/>
  </r>
  <r>
    <x v="0"/>
    <s v="Nuevo León"/>
    <s v="19"/>
    <s v="19.01"/>
    <s v="Monterrey"/>
    <s v="19009"/>
    <s v="Cadereyta Jiménez"/>
    <x v="6"/>
    <x v="23"/>
    <m/>
    <m/>
    <m/>
    <m/>
    <m/>
    <m/>
    <n v="150.65446169570066"/>
    <s v="Estatal"/>
  </r>
  <r>
    <x v="0"/>
    <s v="Nuevo León"/>
    <s v="19"/>
    <s v="19.01"/>
    <s v="Monterrey"/>
    <s v="19010"/>
    <s v="El Carmen"/>
    <x v="6"/>
    <x v="23"/>
    <m/>
    <m/>
    <m/>
    <m/>
    <m/>
    <m/>
    <n v="52.448347895061517"/>
    <s v="Estatal"/>
  </r>
  <r>
    <x v="0"/>
    <s v="Nuevo León"/>
    <s v="19"/>
    <s v="19.01"/>
    <s v="Monterrey"/>
    <s v="19012"/>
    <s v="Ciénega de Flores"/>
    <x v="6"/>
    <x v="23"/>
    <m/>
    <m/>
    <m/>
    <m/>
    <m/>
    <m/>
    <n v="54.924383850230711"/>
    <s v="Estatal"/>
  </r>
  <r>
    <x v="0"/>
    <s v="Nuevo León"/>
    <s v="19"/>
    <s v="19.01"/>
    <s v="Monterrey"/>
    <s v="19018"/>
    <s v="García"/>
    <x v="6"/>
    <x v="23"/>
    <m/>
    <m/>
    <m/>
    <m/>
    <m/>
    <m/>
    <n v="290.07180635256753"/>
    <s v="Estatal"/>
  </r>
  <r>
    <x v="0"/>
    <s v="Nuevo León"/>
    <s v="19"/>
    <s v="19.01"/>
    <s v="Monterrey"/>
    <s v="19019"/>
    <s v="San Pedro Garza García"/>
    <x v="6"/>
    <x v="23"/>
    <m/>
    <m/>
    <m/>
    <m/>
    <m/>
    <m/>
    <n v="152.85767772929961"/>
    <s v="Estatal"/>
  </r>
  <r>
    <x v="0"/>
    <s v="Nuevo León"/>
    <s v="19"/>
    <s v="19.01"/>
    <s v="Monterrey"/>
    <s v="19021"/>
    <s v="General Escobedo"/>
    <x v="6"/>
    <x v="23"/>
    <m/>
    <m/>
    <m/>
    <m/>
    <m/>
    <m/>
    <n v="444.97796391104504"/>
    <s v="Estatal"/>
  </r>
  <r>
    <x v="0"/>
    <s v="Nuevo León"/>
    <s v="19"/>
    <s v="19.01"/>
    <s v="Monterrey"/>
    <s v="19025"/>
    <s v="General Zuazua"/>
    <x v="6"/>
    <x v="23"/>
    <m/>
    <m/>
    <m/>
    <m/>
    <m/>
    <m/>
    <n v="103.44050886950058"/>
    <s v="Estatal"/>
  </r>
  <r>
    <x v="0"/>
    <s v="Nuevo León"/>
    <s v="19"/>
    <s v="19.01"/>
    <s v="Monterrey"/>
    <s v="19026"/>
    <s v="Guadalupe"/>
    <x v="6"/>
    <x v="23"/>
    <m/>
    <m/>
    <m/>
    <m/>
    <m/>
    <m/>
    <n v="671.97755558731524"/>
    <s v="Estatal"/>
  </r>
  <r>
    <x v="0"/>
    <s v="Nuevo León"/>
    <s v="19"/>
    <s v="19.01"/>
    <s v="Monterrey"/>
    <s v="19031"/>
    <s v="Juárez"/>
    <x v="6"/>
    <x v="23"/>
    <m/>
    <m/>
    <m/>
    <m/>
    <m/>
    <m/>
    <n v="381.6606039147639"/>
    <s v="Estatal"/>
  </r>
  <r>
    <x v="0"/>
    <s v="Nuevo León"/>
    <s v="19"/>
    <s v="19.01"/>
    <s v="Monterrey"/>
    <s v="19039"/>
    <s v="Monterrey"/>
    <x v="6"/>
    <x v="23"/>
    <m/>
    <m/>
    <m/>
    <m/>
    <m/>
    <m/>
    <n v="924.98786571128437"/>
    <s v="Estatal"/>
  </r>
  <r>
    <x v="0"/>
    <s v="Nuevo León"/>
    <s v="19"/>
    <s v="19.01"/>
    <s v="Monterrey"/>
    <s v="19041"/>
    <s v="Pesquería"/>
    <x v="6"/>
    <x v="23"/>
    <m/>
    <m/>
    <m/>
    <m/>
    <m/>
    <m/>
    <n v="125.85033250552777"/>
    <s v="Estatal"/>
  </r>
  <r>
    <x v="0"/>
    <s v="Nuevo León"/>
    <s v="19"/>
    <s v="19.01"/>
    <s v="Monterrey"/>
    <s v="19045"/>
    <s v="Salinas Victoria"/>
    <x v="6"/>
    <x v="23"/>
    <m/>
    <m/>
    <m/>
    <m/>
    <m/>
    <m/>
    <n v="84.61430870321783"/>
    <s v="Estatal"/>
  </r>
  <r>
    <x v="0"/>
    <s v="Nuevo León"/>
    <s v="19"/>
    <s v="19.01"/>
    <s v="Monterrey"/>
    <s v="19046"/>
    <s v="San Nicolás de los Garza"/>
    <x v="6"/>
    <x v="23"/>
    <m/>
    <m/>
    <m/>
    <m/>
    <m/>
    <m/>
    <n v="440.40775959738176"/>
    <s v="Estatal"/>
  </r>
  <r>
    <x v="0"/>
    <s v="Nuevo León"/>
    <s v="19"/>
    <s v="19.01"/>
    <s v="Monterrey"/>
    <s v="19047"/>
    <s v="Hidalgo"/>
    <x v="6"/>
    <x v="23"/>
    <m/>
    <m/>
    <m/>
    <m/>
    <m/>
    <m/>
    <n v="23.319511506657093"/>
    <s v="Estatal"/>
  </r>
  <r>
    <x v="0"/>
    <s v="Nuevo León"/>
    <s v="19"/>
    <s v="19.01"/>
    <s v="Monterrey"/>
    <s v="19048"/>
    <s v="Santa Catarina"/>
    <x v="6"/>
    <x v="23"/>
    <m/>
    <m/>
    <m/>
    <m/>
    <m/>
    <m/>
    <n v="323.63859914967816"/>
    <s v="Estatal"/>
  </r>
  <r>
    <x v="0"/>
    <s v="Nuevo León"/>
    <s v="19"/>
    <s v="19.01"/>
    <s v="Monterrey"/>
    <s v="19049"/>
    <s v="Santiago"/>
    <x v="6"/>
    <x v="23"/>
    <m/>
    <m/>
    <m/>
    <m/>
    <m/>
    <m/>
    <n v="51.736472331461101"/>
    <s v="Estatal"/>
  </r>
  <r>
    <x v="0"/>
    <s v="Nuevo León"/>
    <s v="19"/>
    <s v="19.01"/>
    <s v="Monterrey"/>
    <s v="19001"/>
    <s v="Abasolo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06"/>
    <s v="Apodaca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09"/>
    <s v="Cadereyta Jiménez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10"/>
    <s v="El Carmen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12"/>
    <s v="Ciénega de Flores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18"/>
    <s v="García"/>
    <x v="6"/>
    <x v="24"/>
    <n v="1.1974359127224221"/>
    <n v="1.016150794461657"/>
    <n v="0.10972520315783152"/>
    <n v="11.888487229100702"/>
    <n v="0.35302891450780577"/>
    <n v="0.83009501519402951"/>
    <n v="0.11926652517155602"/>
    <s v="Federal"/>
  </r>
  <r>
    <x v="0"/>
    <s v="Nuevo León"/>
    <s v="19"/>
    <s v="19.01"/>
    <s v="Monterrey"/>
    <s v="19019"/>
    <s v="San Pedro Garza García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21"/>
    <s v="General Escobedo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25"/>
    <s v="General Zuazua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26"/>
    <s v="Guadalupe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31"/>
    <s v="Juárez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39"/>
    <s v="Monterrey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41"/>
    <s v="Pesquería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45"/>
    <s v="Salinas Victoria"/>
    <x v="6"/>
    <x v="24"/>
    <n v="4.6614811860308576"/>
    <n v="3.9557589347592539"/>
    <n v="0.42714767840123402"/>
    <n v="46.280522372864134"/>
    <n v="1.3743012261604921"/>
    <n v="3.2314650452962916"/>
    <n v="0.4642909547839501"/>
    <s v="Federal"/>
  </r>
  <r>
    <x v="0"/>
    <s v="Nuevo León"/>
    <s v="19"/>
    <s v="19.01"/>
    <s v="Monterrey"/>
    <s v="19046"/>
    <s v="San Nicolás de los Garza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47"/>
    <s v="Hidalgo"/>
    <x v="6"/>
    <x v="24"/>
    <n v="0"/>
    <n v="0"/>
    <n v="0"/>
    <n v="0"/>
    <n v="0"/>
    <n v="0"/>
    <n v="0"/>
    <s v="Federal"/>
  </r>
  <r>
    <x v="0"/>
    <s v="Nuevo León"/>
    <s v="19"/>
    <s v="19.01"/>
    <s v="Monterrey"/>
    <s v="19048"/>
    <s v="Santa Catarina"/>
    <x v="6"/>
    <x v="24"/>
    <n v="4.7449276270617206E-3"/>
    <n v="4.0265720500563601E-3"/>
    <n v="4.3479416502956002E-4"/>
    <n v="4.7109002576246242E-2"/>
    <n v="1.3989029657472802E-3"/>
    <n v="3.2893123789192796E-3"/>
    <n v="4.7260235329300013E-4"/>
    <s v="Federal"/>
  </r>
  <r>
    <x v="0"/>
    <s v="Nuevo León"/>
    <s v="19"/>
    <s v="19.01"/>
    <s v="Monterrey"/>
    <s v="19049"/>
    <s v="Santiago"/>
    <x v="6"/>
    <x v="24"/>
    <n v="1.1979410725702322"/>
    <n v="1.0165794759261333"/>
    <n v="0.10977149270563882"/>
    <n v="11.89350260097617"/>
    <n v="0.35317784609640318"/>
    <n v="0.830445205686137"/>
    <n v="0.11931683989743352"/>
    <s v="Federal"/>
  </r>
  <r>
    <x v="0"/>
    <s v="Nuevo León"/>
    <s v="19"/>
    <s v="19.01"/>
    <s v="Monterrey"/>
    <s v="19001"/>
    <s v="Abasolo"/>
    <x v="6"/>
    <x v="25"/>
    <m/>
    <m/>
    <m/>
    <m/>
    <m/>
    <n v="0"/>
    <m/>
    <s v="Estatal"/>
  </r>
  <r>
    <x v="0"/>
    <s v="Nuevo León"/>
    <s v="19"/>
    <s v="19.01"/>
    <s v="Monterrey"/>
    <s v="19006"/>
    <s v="Apodaca"/>
    <x v="6"/>
    <x v="25"/>
    <m/>
    <m/>
    <m/>
    <m/>
    <m/>
    <n v="0.15858"/>
    <m/>
    <s v="Estatal"/>
  </r>
  <r>
    <x v="0"/>
    <s v="Nuevo León"/>
    <s v="19"/>
    <s v="19.01"/>
    <s v="Monterrey"/>
    <s v="19009"/>
    <s v="Cadereyta Jiménez"/>
    <x v="6"/>
    <x v="25"/>
    <m/>
    <m/>
    <m/>
    <m/>
    <m/>
    <n v="3.7720000000000004E-2"/>
    <m/>
    <s v="Estatal"/>
  </r>
  <r>
    <x v="0"/>
    <s v="Nuevo León"/>
    <s v="19"/>
    <s v="19.01"/>
    <s v="Monterrey"/>
    <s v="19010"/>
    <s v="El Carmen"/>
    <x v="6"/>
    <x v="25"/>
    <m/>
    <m/>
    <m/>
    <m/>
    <m/>
    <n v="1.64E-3"/>
    <m/>
    <s v="Estatal"/>
  </r>
  <r>
    <x v="0"/>
    <s v="Nuevo León"/>
    <s v="19"/>
    <s v="19.01"/>
    <s v="Monterrey"/>
    <s v="19012"/>
    <s v="Ciénega de Flores"/>
    <x v="6"/>
    <x v="25"/>
    <m/>
    <m/>
    <m/>
    <m/>
    <m/>
    <n v="1.64E-3"/>
    <m/>
    <s v="Estatal"/>
  </r>
  <r>
    <x v="0"/>
    <s v="Nuevo León"/>
    <s v="19"/>
    <s v="19.01"/>
    <s v="Monterrey"/>
    <s v="19018"/>
    <s v="García"/>
    <x v="6"/>
    <x v="25"/>
    <m/>
    <m/>
    <m/>
    <m/>
    <m/>
    <n v="1.64E-3"/>
    <m/>
    <s v="Estatal"/>
  </r>
  <r>
    <x v="0"/>
    <s v="Nuevo León"/>
    <s v="19"/>
    <s v="19.01"/>
    <s v="Monterrey"/>
    <s v="19019"/>
    <s v="San Pedro Garza García"/>
    <x v="6"/>
    <x v="25"/>
    <m/>
    <m/>
    <m/>
    <m/>
    <m/>
    <n v="1.968E-2"/>
    <m/>
    <s v="Estatal"/>
  </r>
  <r>
    <x v="0"/>
    <s v="Nuevo León"/>
    <s v="19"/>
    <s v="19.01"/>
    <s v="Monterrey"/>
    <s v="19021"/>
    <s v="General Escobedo"/>
    <x v="6"/>
    <x v="25"/>
    <m/>
    <m/>
    <m/>
    <m/>
    <m/>
    <n v="0"/>
    <m/>
    <s v="Estatal"/>
  </r>
  <r>
    <x v="0"/>
    <s v="Nuevo León"/>
    <s v="19"/>
    <s v="19.01"/>
    <s v="Monterrey"/>
    <s v="19025"/>
    <s v="General Zuazua"/>
    <x v="6"/>
    <x v="25"/>
    <m/>
    <m/>
    <m/>
    <m/>
    <m/>
    <n v="0"/>
    <m/>
    <s v="Estatal"/>
  </r>
  <r>
    <x v="0"/>
    <s v="Nuevo León"/>
    <s v="19"/>
    <s v="19.01"/>
    <s v="Monterrey"/>
    <s v="19026"/>
    <s v="Guadalupe"/>
    <x v="6"/>
    <x v="25"/>
    <m/>
    <m/>
    <m/>
    <m/>
    <m/>
    <n v="0.36989"/>
    <m/>
    <s v="Estatal"/>
  </r>
  <r>
    <x v="0"/>
    <s v="Nuevo León"/>
    <s v="19"/>
    <s v="19.01"/>
    <s v="Monterrey"/>
    <s v="19031"/>
    <s v="Juárez"/>
    <x v="6"/>
    <x v="25"/>
    <m/>
    <m/>
    <m/>
    <m/>
    <m/>
    <n v="1.64E-3"/>
    <m/>
    <s v="Estatal"/>
  </r>
  <r>
    <x v="0"/>
    <s v="Nuevo León"/>
    <s v="19"/>
    <s v="19.01"/>
    <s v="Monterrey"/>
    <s v="19039"/>
    <s v="Monterrey"/>
    <x v="6"/>
    <x v="25"/>
    <m/>
    <m/>
    <m/>
    <m/>
    <m/>
    <n v="2.7523000000000013"/>
    <m/>
    <s v="Estatal"/>
  </r>
  <r>
    <x v="0"/>
    <s v="Nuevo León"/>
    <s v="19"/>
    <s v="19.01"/>
    <s v="Monterrey"/>
    <s v="19041"/>
    <s v="Pesquería"/>
    <x v="6"/>
    <x v="25"/>
    <m/>
    <m/>
    <m/>
    <m/>
    <m/>
    <n v="0"/>
    <m/>
    <s v="Estatal"/>
  </r>
  <r>
    <x v="0"/>
    <s v="Nuevo León"/>
    <s v="19"/>
    <s v="19.01"/>
    <s v="Monterrey"/>
    <s v="19045"/>
    <s v="Salinas Victoria"/>
    <x v="6"/>
    <x v="25"/>
    <m/>
    <m/>
    <m/>
    <m/>
    <m/>
    <n v="1.64E-3"/>
    <m/>
    <s v="Estatal"/>
  </r>
  <r>
    <x v="0"/>
    <s v="Nuevo León"/>
    <s v="19"/>
    <s v="19.01"/>
    <s v="Monterrey"/>
    <s v="19046"/>
    <s v="San Nicolás de los Garza"/>
    <x v="6"/>
    <x v="25"/>
    <m/>
    <m/>
    <m/>
    <m/>
    <m/>
    <n v="0.41059000000000001"/>
    <m/>
    <s v="Estatal"/>
  </r>
  <r>
    <x v="0"/>
    <s v="Nuevo León"/>
    <s v="19"/>
    <s v="19.01"/>
    <s v="Monterrey"/>
    <s v="19047"/>
    <s v="Hidalgo"/>
    <x v="6"/>
    <x v="25"/>
    <m/>
    <m/>
    <m/>
    <m/>
    <m/>
    <n v="2.4599999999999999E-3"/>
    <m/>
    <s v="Estatal"/>
  </r>
  <r>
    <x v="0"/>
    <s v="Nuevo León"/>
    <s v="19"/>
    <s v="19.01"/>
    <s v="Monterrey"/>
    <s v="19048"/>
    <s v="Santa Catarina"/>
    <x v="6"/>
    <x v="25"/>
    <m/>
    <m/>
    <m/>
    <m/>
    <m/>
    <n v="1.64E-3"/>
    <m/>
    <s v="Estatal"/>
  </r>
  <r>
    <x v="0"/>
    <s v="Nuevo León"/>
    <s v="19"/>
    <s v="19.01"/>
    <s v="Monterrey"/>
    <s v="19049"/>
    <s v="Santiago"/>
    <x v="6"/>
    <x v="25"/>
    <m/>
    <m/>
    <m/>
    <m/>
    <m/>
    <n v="4.0999999999999995E-3"/>
    <m/>
    <s v="Estatal"/>
  </r>
  <r>
    <x v="0"/>
    <s v="Nuevo León"/>
    <s v="19"/>
    <s v="19.01"/>
    <s v="Monterrey"/>
    <s v="19001"/>
    <s v="Abasolo"/>
    <x v="6"/>
    <x v="26"/>
    <n v="2.1653954800976496E-3"/>
    <n v="2.0221273481441193E-3"/>
    <n v="0"/>
    <n v="3.4384351668847367E-2"/>
    <n v="8.1867503973446121E-4"/>
    <n v="2.1326484785082708E-3"/>
    <n v="0"/>
    <s v="Estatal"/>
  </r>
  <r>
    <x v="0"/>
    <s v="Nuevo León"/>
    <s v="19"/>
    <s v="19.01"/>
    <s v="Monterrey"/>
    <s v="19006"/>
    <s v="Apodaca"/>
    <x v="6"/>
    <x v="26"/>
    <n v="0.50892952841295036"/>
    <n v="0.47525744241209367"/>
    <n v="0"/>
    <n v="8.0813006402056402"/>
    <n v="0.19241192000489618"/>
    <n v="0.50123305161275455"/>
    <n v="0"/>
    <s v="Estatal"/>
  </r>
  <r>
    <x v="0"/>
    <s v="Nuevo León"/>
    <s v="19"/>
    <s v="19.01"/>
    <s v="Monterrey"/>
    <s v="19009"/>
    <s v="Cadereyta Jiménez"/>
    <x v="6"/>
    <x v="26"/>
    <n v="8.7396962438416007E-2"/>
    <n v="8.1614554715647464E-2"/>
    <n v="0"/>
    <n v="1.3877778534644507"/>
    <n v="3.3042329844391691E-2"/>
    <n v="8.6075269244640346E-2"/>
    <n v="0"/>
    <s v="Estatal"/>
  </r>
  <r>
    <x v="0"/>
    <s v="Nuevo León"/>
    <s v="19"/>
    <s v="19.01"/>
    <s v="Monterrey"/>
    <s v="19010"/>
    <s v="El Carmen"/>
    <x v="6"/>
    <x v="26"/>
    <n v="3.3615399112620847E-2"/>
    <n v="3.1391317885887907E-2"/>
    <n v="0"/>
    <n v="0.53377949441590777"/>
    <n v="1.2709035581331138E-2"/>
    <n v="3.310703768936761E-2"/>
    <n v="0"/>
    <s v="Estatal"/>
  </r>
  <r>
    <x v="0"/>
    <s v="Nuevo León"/>
    <s v="19"/>
    <s v="19.01"/>
    <s v="Monterrey"/>
    <s v="19012"/>
    <s v="Ciénega de Flores"/>
    <x v="6"/>
    <x v="26"/>
    <n v="3.8069467841716748E-2"/>
    <n v="3.5550693976952895E-2"/>
    <n v="0"/>
    <n v="0.60450572754332854"/>
    <n v="1.4392993512936393E-2"/>
    <n v="3.7493748101199299E-2"/>
    <n v="0"/>
    <s v="Estatal"/>
  </r>
  <r>
    <x v="0"/>
    <s v="Nuevo León"/>
    <s v="19"/>
    <s v="19.01"/>
    <s v="Monterrey"/>
    <s v="19018"/>
    <s v="García"/>
    <x v="6"/>
    <x v="26"/>
    <n v="0.21440008540966837"/>
    <n v="0.20021482456025749"/>
    <n v="0"/>
    <n v="3.404462603858629"/>
    <n v="8.1058633425205445E-2"/>
    <n v="0.21115774007266017"/>
    <n v="0"/>
    <s v="Estatal"/>
  </r>
  <r>
    <x v="0"/>
    <s v="Nuevo León"/>
    <s v="19"/>
    <s v="19.01"/>
    <s v="Monterrey"/>
    <s v="19019"/>
    <s v="San Pedro Garza García"/>
    <x v="6"/>
    <x v="26"/>
    <n v="0.11074461902981758"/>
    <n v="0.10341747032274083"/>
    <n v="0"/>
    <n v="1.7585156896984264"/>
    <n v="4.1869421183295875E-2"/>
    <n v="0.10906984218248575"/>
    <n v="0"/>
    <s v="Estatal"/>
  </r>
  <r>
    <x v="0"/>
    <s v="Nuevo León"/>
    <s v="19"/>
    <s v="19.01"/>
    <s v="Monterrey"/>
    <s v="19021"/>
    <s v="General Escobedo"/>
    <x v="6"/>
    <x v="26"/>
    <n v="0.35145681893998532"/>
    <n v="0.32820353224263282"/>
    <n v="0"/>
    <n v="5.5807888073646064"/>
    <n v="0.13287592398487155"/>
    <n v="0.34614178198059053"/>
    <n v="0"/>
    <s v="Estatal"/>
  </r>
  <r>
    <x v="0"/>
    <s v="Nuevo León"/>
    <s v="19"/>
    <s v="19.01"/>
    <s v="Monterrey"/>
    <s v="19025"/>
    <s v="General Zuazua"/>
    <x v="6"/>
    <x v="26"/>
    <n v="5.6539412620385143E-2"/>
    <n v="5.2798619724896523E-2"/>
    <n v="0"/>
    <n v="0.89779029491726869"/>
    <n v="2.1375959402792116E-2"/>
    <n v="5.5684374244273457E-2"/>
    <n v="0"/>
    <s v="Estatal"/>
  </r>
  <r>
    <x v="0"/>
    <s v="Nuevo León"/>
    <s v="19"/>
    <s v="19.01"/>
    <s v="Monterrey"/>
    <s v="19026"/>
    <s v="Guadalupe"/>
    <x v="6"/>
    <x v="26"/>
    <n v="0.5925637091954794"/>
    <n v="0.55335817077989946"/>
    <n v="0"/>
    <n v="9.4093292197391811"/>
    <n v="0.22403164808902812"/>
    <n v="0.58360244327191824"/>
    <n v="0"/>
    <s v="Estatal"/>
  </r>
  <r>
    <x v="0"/>
    <s v="Nuevo León"/>
    <s v="19"/>
    <s v="19.01"/>
    <s v="Monterrey"/>
    <s v="19031"/>
    <s v="Juárez"/>
    <x v="6"/>
    <x v="26"/>
    <n v="0.28096574349680514"/>
    <n v="0.26237632757546647"/>
    <n v="0"/>
    <n v="4.4614598211212915"/>
    <n v="0.10622523383622122"/>
    <n v="0.27671673414335629"/>
    <n v="0"/>
    <s v="Estatal"/>
  </r>
  <r>
    <x v="0"/>
    <s v="Nuevo León"/>
    <s v="19"/>
    <s v="19.01"/>
    <s v="Monterrey"/>
    <s v="19039"/>
    <s v="Monterrey"/>
    <x v="6"/>
    <x v="26"/>
    <n v="0.96594077743383455"/>
    <n v="0.90203165227280591"/>
    <n v="0"/>
    <n v="15.338190038646902"/>
    <n v="0.36519500092016433"/>
    <n v="0.95133297739702805"/>
    <n v="0"/>
    <s v="Estatal"/>
  </r>
  <r>
    <x v="0"/>
    <s v="Nuevo León"/>
    <s v="19"/>
    <s v="19.01"/>
    <s v="Monterrey"/>
    <s v="19041"/>
    <s v="Pesquería"/>
    <x v="6"/>
    <x v="26"/>
    <n v="7.6478772975734216E-2"/>
    <n v="7.1418740737264091E-2"/>
    <n v="0"/>
    <n v="1.2144077372328304"/>
    <n v="2.8914469934115013E-2"/>
    <n v="7.5322194178369606E-2"/>
    <n v="0"/>
    <s v="Estatal"/>
  </r>
  <r>
    <x v="0"/>
    <s v="Nuevo León"/>
    <s v="19"/>
    <s v="19.01"/>
    <s v="Monterrey"/>
    <s v="19045"/>
    <s v="Salinas Victoria"/>
    <x v="6"/>
    <x v="26"/>
    <n v="4.5483029912051047E-2"/>
    <n v="4.2473755721272627E-2"/>
    <n v="0"/>
    <n v="0.72222580578682183"/>
    <n v="1.7195852518733856E-2"/>
    <n v="4.4795195811301688E-2"/>
    <n v="0"/>
    <s v="Estatal"/>
  </r>
  <r>
    <x v="0"/>
    <s v="Nuevo León"/>
    <s v="19"/>
    <s v="19.01"/>
    <s v="Monterrey"/>
    <s v="19046"/>
    <s v="San Nicolás de los Garza"/>
    <x v="6"/>
    <x v="26"/>
    <n v="0.38775490499748605"/>
    <n v="0.36210004360823844"/>
    <n v="0"/>
    <n v="6.1571667334194382"/>
    <n v="0.14659920793855805"/>
    <n v="0.38189093667994373"/>
    <n v="0"/>
    <s v="Estatal"/>
  </r>
  <r>
    <x v="0"/>
    <s v="Nuevo León"/>
    <s v="19"/>
    <s v="19.01"/>
    <s v="Monterrey"/>
    <s v="19047"/>
    <s v="Hidalgo"/>
    <x v="6"/>
    <x v="26"/>
    <n v="1.2211144870550668E-2"/>
    <n v="1.1403224132423499E-2"/>
    <n v="0"/>
    <n v="0.19390097715052101"/>
    <n v="4.616689932155262E-3"/>
    <n v="1.2026477273264459E-2"/>
    <n v="0"/>
    <s v="Estatal"/>
  </r>
  <r>
    <x v="0"/>
    <s v="Nuevo León"/>
    <s v="19"/>
    <s v="19.01"/>
    <s v="Monterrey"/>
    <s v="19048"/>
    <s v="Santa Catarina"/>
    <x v="6"/>
    <x v="26"/>
    <n v="0.24490687712104417"/>
    <n v="0.22870320850244957"/>
    <n v="0"/>
    <n v="3.888880468462705"/>
    <n v="9.2592392106254875E-2"/>
    <n v="0.24120318143679401"/>
    <n v="0"/>
    <s v="Estatal"/>
  </r>
  <r>
    <x v="0"/>
    <s v="Nuevo León"/>
    <s v="19"/>
    <s v="19.01"/>
    <s v="Monterrey"/>
    <s v="19049"/>
    <s v="Santiago"/>
    <x v="6"/>
    <x v="26"/>
    <n v="3.6757008956587872E-2"/>
    <n v="3.4325070745849548E-2"/>
    <n v="0"/>
    <n v="0.5836651705771988"/>
    <n v="1.3896789775647589E-2"/>
    <n v="3.6201137365561978E-2"/>
    <n v="0"/>
    <s v="Estatal"/>
  </r>
  <r>
    <x v="0"/>
    <s v="Nuevo León"/>
    <s v="19"/>
    <s v="19.01"/>
    <s v="Monterrey"/>
    <s v="19001"/>
    <s v="Abasolo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06"/>
    <s v="Apodac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09"/>
    <s v="Cadereyta Jiménez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10"/>
    <s v="El Carmen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12"/>
    <s v="Ciénega de Flores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18"/>
    <s v="Garcí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19"/>
    <s v="San Pedro Garza Garcí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21"/>
    <s v="General Escobedo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25"/>
    <s v="General Zuazu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26"/>
    <s v="Guadalupe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31"/>
    <s v="Juárez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39"/>
    <s v="Monterrey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41"/>
    <s v="Pesquerí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45"/>
    <s v="Salinas Victori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46"/>
    <s v="San Nicolás de los Garz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47"/>
    <s v="Hidalgo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48"/>
    <s v="Santa Catarina"/>
    <x v="6"/>
    <x v="27"/>
    <n v="0"/>
    <n v="0"/>
    <n v="0"/>
    <n v="0"/>
    <n v="0"/>
    <n v="0"/>
    <n v="0"/>
    <s v="Estatal"/>
  </r>
  <r>
    <x v="0"/>
    <s v="Nuevo León"/>
    <s v="19"/>
    <s v="19.01"/>
    <s v="Monterrey"/>
    <s v="19049"/>
    <s v="Santiago"/>
    <x v="6"/>
    <x v="27"/>
    <n v="0"/>
    <n v="0"/>
    <n v="0"/>
    <n v="0"/>
    <n v="0"/>
    <n v="0"/>
    <n v="0"/>
    <s v="Estatal"/>
  </r>
  <r>
    <x v="1"/>
    <s v="Nuevo León"/>
    <s v="19"/>
    <s v="19.01"/>
    <s v="Monterrey"/>
    <s v="19001"/>
    <s v="Abasolo"/>
    <x v="7"/>
    <x v="28"/>
    <m/>
    <m/>
    <m/>
    <m/>
    <n v="163"/>
    <n v="478"/>
    <m/>
    <s v="Federal"/>
  </r>
  <r>
    <x v="1"/>
    <s v="Nuevo León"/>
    <s v="19"/>
    <s v="19.01"/>
    <s v="Monterrey"/>
    <s v="19006"/>
    <s v="Apodaca"/>
    <x v="7"/>
    <x v="28"/>
    <m/>
    <m/>
    <m/>
    <m/>
    <n v="362"/>
    <n v="1133"/>
    <m/>
    <s v="Federal"/>
  </r>
  <r>
    <x v="1"/>
    <s v="Nuevo León"/>
    <s v="19"/>
    <s v="19.01"/>
    <s v="Monterrey"/>
    <s v="19009"/>
    <s v="Cadereyta Jiménez"/>
    <x v="7"/>
    <x v="28"/>
    <m/>
    <m/>
    <m/>
    <m/>
    <n v="947"/>
    <n v="2884"/>
    <m/>
    <s v="Federal"/>
  </r>
  <r>
    <x v="1"/>
    <s v="Nuevo León"/>
    <s v="19"/>
    <s v="19.01"/>
    <s v="Monterrey"/>
    <s v="19010"/>
    <s v="El Carmen"/>
    <x v="7"/>
    <x v="28"/>
    <m/>
    <m/>
    <m/>
    <m/>
    <n v="439"/>
    <n v="1313"/>
    <m/>
    <s v="Federal"/>
  </r>
  <r>
    <x v="1"/>
    <s v="Nuevo León"/>
    <s v="19"/>
    <s v="19.01"/>
    <s v="Monterrey"/>
    <s v="19012"/>
    <s v="Ciénega de Flores"/>
    <x v="7"/>
    <x v="28"/>
    <m/>
    <m/>
    <m/>
    <m/>
    <n v="188"/>
    <n v="651"/>
    <m/>
    <s v="Federal"/>
  </r>
  <r>
    <x v="1"/>
    <s v="Nuevo León"/>
    <s v="19"/>
    <s v="19.01"/>
    <s v="Monterrey"/>
    <s v="19018"/>
    <s v="García"/>
    <x v="7"/>
    <x v="28"/>
    <m/>
    <m/>
    <m/>
    <m/>
    <n v="66"/>
    <n v="155"/>
    <m/>
    <s v="Federal"/>
  </r>
  <r>
    <x v="1"/>
    <s v="Nuevo León"/>
    <s v="19"/>
    <s v="19.01"/>
    <s v="Monterrey"/>
    <s v="19019"/>
    <s v="San Pedro Garza García"/>
    <x v="7"/>
    <x v="28"/>
    <m/>
    <m/>
    <m/>
    <m/>
    <n v="55"/>
    <n v="222"/>
    <m/>
    <s v="Federal"/>
  </r>
  <r>
    <x v="1"/>
    <s v="Nuevo León"/>
    <s v="19"/>
    <s v="19.01"/>
    <s v="Monterrey"/>
    <s v="19021"/>
    <s v="General Escobedo"/>
    <x v="7"/>
    <x v="28"/>
    <m/>
    <m/>
    <m/>
    <m/>
    <n v="261"/>
    <n v="812"/>
    <m/>
    <s v="Federal"/>
  </r>
  <r>
    <x v="1"/>
    <s v="Nuevo León"/>
    <s v="19"/>
    <s v="19.01"/>
    <s v="Monterrey"/>
    <s v="19025"/>
    <s v="General Zuazua"/>
    <x v="7"/>
    <x v="28"/>
    <m/>
    <m/>
    <m/>
    <m/>
    <n v="9"/>
    <n v="55"/>
    <m/>
    <s v="Federal"/>
  </r>
  <r>
    <x v="1"/>
    <s v="Nuevo León"/>
    <s v="19"/>
    <s v="19.01"/>
    <s v="Monterrey"/>
    <s v="19026"/>
    <s v="Guadalupe"/>
    <x v="7"/>
    <x v="28"/>
    <m/>
    <m/>
    <m/>
    <m/>
    <n v="39"/>
    <n v="41"/>
    <m/>
    <s v="Federal"/>
  </r>
  <r>
    <x v="1"/>
    <s v="Nuevo León"/>
    <s v="19"/>
    <s v="19.01"/>
    <s v="Monterrey"/>
    <s v="19031"/>
    <s v="Juárez"/>
    <x v="7"/>
    <x v="28"/>
    <m/>
    <m/>
    <m/>
    <m/>
    <n v="381"/>
    <n v="1149"/>
    <m/>
    <s v="Federal"/>
  </r>
  <r>
    <x v="1"/>
    <s v="Nuevo León"/>
    <s v="19"/>
    <s v="19.01"/>
    <s v="Monterrey"/>
    <s v="19039"/>
    <s v="Monterrey"/>
    <x v="7"/>
    <x v="28"/>
    <m/>
    <m/>
    <m/>
    <m/>
    <n v="26"/>
    <n v="124"/>
    <m/>
    <s v="Federal"/>
  </r>
  <r>
    <x v="1"/>
    <s v="Nuevo León"/>
    <s v="19"/>
    <s v="19.01"/>
    <s v="Monterrey"/>
    <s v="19041"/>
    <s v="Pesquería"/>
    <x v="7"/>
    <x v="28"/>
    <m/>
    <m/>
    <m/>
    <m/>
    <n v="937"/>
    <n v="2845"/>
    <m/>
    <s v="Federal"/>
  </r>
  <r>
    <x v="1"/>
    <s v="Nuevo León"/>
    <s v="19"/>
    <s v="19.01"/>
    <s v="Monterrey"/>
    <s v="19045"/>
    <s v="Salinas Victoria"/>
    <x v="7"/>
    <x v="28"/>
    <m/>
    <m/>
    <m/>
    <m/>
    <n v="429"/>
    <n v="1260"/>
    <m/>
    <s v="Federal"/>
  </r>
  <r>
    <x v="1"/>
    <s v="Nuevo León"/>
    <s v="19"/>
    <s v="19.01"/>
    <s v="Monterrey"/>
    <s v="19046"/>
    <s v="San Nicolás de los Garza"/>
    <x v="7"/>
    <x v="28"/>
    <m/>
    <m/>
    <m/>
    <m/>
    <n v="1"/>
    <n v="18"/>
    <m/>
    <s v="Federal"/>
  </r>
  <r>
    <x v="1"/>
    <s v="Nuevo León"/>
    <s v="19"/>
    <s v="19.01"/>
    <s v="Monterrey"/>
    <s v="19047"/>
    <s v="Hidalgo"/>
    <x v="7"/>
    <x v="28"/>
    <m/>
    <m/>
    <m/>
    <m/>
    <n v="28"/>
    <n v="167"/>
    <m/>
    <s v="Federal"/>
  </r>
  <r>
    <x v="1"/>
    <s v="Nuevo León"/>
    <s v="19"/>
    <s v="19.01"/>
    <s v="Monterrey"/>
    <s v="19048"/>
    <s v="Santa Catarina"/>
    <x v="7"/>
    <x v="28"/>
    <m/>
    <m/>
    <m/>
    <m/>
    <n v="43"/>
    <n v="99"/>
    <m/>
    <s v="Federal"/>
  </r>
  <r>
    <x v="1"/>
    <s v="Nuevo León"/>
    <s v="19"/>
    <s v="19.01"/>
    <s v="Monterrey"/>
    <s v="19049"/>
    <s v="Santiago"/>
    <x v="7"/>
    <x v="28"/>
    <m/>
    <m/>
    <m/>
    <m/>
    <n v="119"/>
    <n v="399"/>
    <m/>
    <s v="Federal"/>
  </r>
  <r>
    <x v="2"/>
    <s v="Nuevo León"/>
    <s v="19"/>
    <s v="19.01"/>
    <s v="Monterrey"/>
    <s v="19001"/>
    <s v="Abasol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x v="30"/>
    <n v="28.670999999999999"/>
    <n v="28.577999999999999"/>
    <n v="126.084"/>
    <n v="2529.4369999999999"/>
    <n v="1019.591"/>
    <n v="1135.8119999999999"/>
    <n v="0"/>
    <s v="Federal"/>
  </r>
  <r>
    <x v="2"/>
    <s v="Nuevo León"/>
    <s v="19"/>
    <s v="19.01"/>
    <s v="Monterrey"/>
    <s v="19041"/>
    <s v="Pesquerí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x v="30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x v="31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x v="29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x v="32"/>
    <n v="2.9213869534745647"/>
    <n v="2.6328549086869533"/>
    <n v="0.7694187861002969"/>
    <n v="12.106323712546859"/>
    <n v="114.9800198478631"/>
    <n v="6.6723035357135112"/>
    <n v="0"/>
    <s v="Federal"/>
  </r>
  <r>
    <x v="2"/>
    <s v="Nuevo León"/>
    <s v="19"/>
    <s v="19.01"/>
    <s v="Monterrey"/>
    <s v="19021"/>
    <s v="General Escobedo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41"/>
    <s v="Pesquerí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x v="32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33"/>
    <n v="0.37508116033758632"/>
    <n v="0.33693731352359452"/>
    <n v="0.13562256644974874"/>
    <n v="1.4897291283464589"/>
    <n v="15.11555885134465"/>
    <n v="0.55944308660521347"/>
    <n v="0"/>
    <s v="Federal"/>
  </r>
  <r>
    <x v="2"/>
    <s v="Nuevo León"/>
    <s v="19"/>
    <s v="19.01"/>
    <s v="Monterrey"/>
    <s v="19006"/>
    <s v="Apodaca"/>
    <x v="8"/>
    <x v="33"/>
    <n v="1.1468827787245428"/>
    <n v="1.0302506317356062"/>
    <n v="0.4146920781828855"/>
    <n v="4.5551332962901334"/>
    <n v="46.218728026226906"/>
    <n v="1.7106048225044028"/>
    <n v="0"/>
    <s v="Federal"/>
  </r>
  <r>
    <x v="2"/>
    <s v="Nuevo León"/>
    <s v="19"/>
    <s v="19.01"/>
    <s v="Monterrey"/>
    <s v="19009"/>
    <s v="Cadereyta Jiménez"/>
    <x v="8"/>
    <x v="33"/>
    <n v="3.2098291605812674"/>
    <n v="2.8834058561153757"/>
    <n v="1.1606161936565034"/>
    <n v="12.748643502195655"/>
    <n v="129.35430170862247"/>
    <n v="4.7875417988330771"/>
    <n v="0"/>
    <s v="Federal"/>
  </r>
  <r>
    <x v="2"/>
    <s v="Nuevo León"/>
    <s v="19"/>
    <s v="19.01"/>
    <s v="Monterrey"/>
    <s v="19010"/>
    <s v="El Carmen"/>
    <x v="8"/>
    <x v="33"/>
    <n v="0.87278500770861411"/>
    <n v="0.78402721031451783"/>
    <n v="0.31558327962345367"/>
    <n v="3.4664850871138744"/>
    <n v="35.172742711782739"/>
    <n v="1.3017810284467466"/>
    <n v="0"/>
    <s v="Federal"/>
  </r>
  <r>
    <x v="2"/>
    <s v="Nuevo León"/>
    <s v="19"/>
    <s v="19.01"/>
    <s v="Monterrey"/>
    <s v="19012"/>
    <s v="Ciénega de Flores"/>
    <x v="8"/>
    <x v="33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33"/>
    <n v="3.5776972216815928"/>
    <n v="3.2138636059173633"/>
    <n v="1.2936306338283727"/>
    <n v="14.209723993458532"/>
    <n v="144.17917673590284"/>
    <n v="5.3362263645420374"/>
    <n v="0"/>
    <s v="Federal"/>
  </r>
  <r>
    <x v="2"/>
    <s v="Nuevo León"/>
    <s v="19"/>
    <s v="19.01"/>
    <s v="Monterrey"/>
    <s v="19019"/>
    <s v="San Pedro Garza García"/>
    <x v="8"/>
    <x v="33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x v="33"/>
    <n v="1.4570460459267776"/>
    <n v="1.3088718717647325"/>
    <n v="0.52684150813171615"/>
    <n v="5.7870246908843201"/>
    <n v="58.718132460992678"/>
    <n v="2.1732212210433293"/>
    <n v="0"/>
    <s v="Federal"/>
  </r>
  <r>
    <x v="2"/>
    <s v="Nuevo León"/>
    <s v="19"/>
    <s v="19.01"/>
    <s v="Monterrey"/>
    <s v="19025"/>
    <s v="General Zuazua"/>
    <x v="8"/>
    <x v="33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33"/>
    <n v="1.1468827787245428"/>
    <n v="1.0302506317356062"/>
    <n v="0.4146920781828855"/>
    <n v="4.5551332962901334"/>
    <n v="46.218728026226906"/>
    <n v="1.7106048225044028"/>
    <n v="0"/>
    <s v="Federal"/>
  </r>
  <r>
    <x v="2"/>
    <s v="Nuevo León"/>
    <s v="19"/>
    <s v="19.01"/>
    <s v="Monterrey"/>
    <s v="19031"/>
    <s v="Juárez"/>
    <x v="8"/>
    <x v="33"/>
    <n v="0.64917893135351468"/>
    <n v="0.58316073494468268"/>
    <n v="0.23473136500918049"/>
    <n v="2.5783773375227166"/>
    <n v="26.161544165788815"/>
    <n v="0.96826688066286948"/>
    <n v="0"/>
    <s v="Federal"/>
  </r>
  <r>
    <x v="2"/>
    <s v="Nuevo León"/>
    <s v="19"/>
    <s v="19.01"/>
    <s v="Monterrey"/>
    <s v="19039"/>
    <s v="Monterrey"/>
    <x v="8"/>
    <x v="33"/>
    <n v="2.0485201833822022"/>
    <n v="1.8401960969365549"/>
    <n v="0.74070786291785851"/>
    <n v="8.1362129317383527"/>
    <n v="82.554206034266954"/>
    <n v="3.0554199345361663"/>
    <n v="0"/>
    <s v="Federal"/>
  </r>
  <r>
    <x v="2"/>
    <s v="Nuevo León"/>
    <s v="19"/>
    <s v="19.01"/>
    <s v="Monterrey"/>
    <s v="19041"/>
    <s v="Pesquería"/>
    <x v="8"/>
    <x v="33"/>
    <n v="2.1350773742293376"/>
    <n v="1.9179508615958456"/>
    <n v="0.77200537825241577"/>
    <n v="8.4799965767413799"/>
    <n v="86.042411923038784"/>
    <n v="3.1845221852912151"/>
    <n v="0"/>
    <s v="Federal"/>
  </r>
  <r>
    <x v="2"/>
    <s v="Nuevo León"/>
    <s v="19"/>
    <s v="19.01"/>
    <s v="Monterrey"/>
    <s v="19045"/>
    <s v="Salinas Victoria"/>
    <x v="8"/>
    <x v="33"/>
    <n v="3.4550745346481513"/>
    <n v="3.103711022650034"/>
    <n v="1.2492924871044162"/>
    <n v="13.722697163037573"/>
    <n v="139.23755172680939"/>
    <n v="5.1533315093057173"/>
    <n v="0"/>
    <s v="Federal"/>
  </r>
  <r>
    <x v="2"/>
    <s v="Nuevo León"/>
    <s v="19"/>
    <s v="19.01"/>
    <s v="Monterrey"/>
    <s v="19046"/>
    <s v="San Nicolás de los Garza"/>
    <x v="8"/>
    <x v="33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33"/>
    <n v="0.49770384737102802"/>
    <n v="0.44708989679092348"/>
    <n v="0.17996071317370504"/>
    <n v="1.9767559587674164"/>
    <n v="20.057183860438094"/>
    <n v="0.74233794184153334"/>
    <n v="0"/>
    <s v="Federal"/>
  </r>
  <r>
    <x v="2"/>
    <s v="Nuevo León"/>
    <s v="19"/>
    <s v="19.01"/>
    <s v="Monterrey"/>
    <s v="19048"/>
    <s v="Santa Catarina"/>
    <x v="8"/>
    <x v="33"/>
    <n v="0.96655529779301086"/>
    <n v="0.86826153869541656"/>
    <n v="0.34948892123589093"/>
    <n v="3.8389173692004896"/>
    <n v="38.9516324246189"/>
    <n v="1.4416418000980502"/>
    <n v="0"/>
    <s v="Federal"/>
  </r>
  <r>
    <x v="2"/>
    <s v="Nuevo León"/>
    <s v="19"/>
    <s v="19.01"/>
    <s v="Monterrey"/>
    <s v="19049"/>
    <s v="Santiago"/>
    <x v="8"/>
    <x v="33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06"/>
    <s v="Apodac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09"/>
    <s v="Cadereyta Jiménez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12"/>
    <s v="Ciénega de Flores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18"/>
    <s v="Garcí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19"/>
    <s v="San Pedro Garza Garcí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21"/>
    <s v="General Escobedo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25"/>
    <s v="General Zuazu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26"/>
    <s v="Guadalupe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31"/>
    <s v="Juárez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39"/>
    <s v="Monterrey"/>
    <x v="8"/>
    <x v="34"/>
    <n v="0.13333417316242319"/>
    <n v="0.12269698081646042"/>
    <n v="8.2130737591041142E-3"/>
    <n v="4.9854504971785225"/>
    <n v="3.3243721140848979"/>
    <n v="0.86110902299957071"/>
    <n v="5.3301861277886921E-2"/>
    <s v="Federal"/>
  </r>
  <r>
    <x v="2"/>
    <s v="Nuevo León"/>
    <s v="19"/>
    <s v="19.01"/>
    <s v="Monterrey"/>
    <s v="19041"/>
    <s v="Pesquerí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45"/>
    <s v="Salinas Victori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46"/>
    <s v="San Nicolás de los Garz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47"/>
    <s v="Hidalgo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48"/>
    <s v="Santa Catarina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49"/>
    <s v="Santiago"/>
    <x v="8"/>
    <x v="34"/>
    <n v="0"/>
    <n v="0"/>
    <n v="0"/>
    <n v="0"/>
    <n v="0"/>
    <n v="0"/>
    <n v="0"/>
    <s v="Federal"/>
  </r>
  <r>
    <x v="2"/>
    <s v="Nuevo León"/>
    <s v="19"/>
    <s v="19.01"/>
    <s v="Monterrey"/>
    <s v="19001"/>
    <s v="Abasolo"/>
    <x v="8"/>
    <x v="35"/>
    <n v="3.2450599270620825E-4"/>
    <n v="3.1477081292502197E-4"/>
    <n v="1.8567384997425309E-4"/>
    <n v="1.7087466864591793E-3"/>
    <n v="5.3084533876201472E-3"/>
    <n v="4.0894679937485687E-4"/>
    <n v="1.6888148480541782E-6"/>
    <s v="Estatal"/>
  </r>
  <r>
    <x v="2"/>
    <s v="Nuevo León"/>
    <s v="19"/>
    <s v="19.01"/>
    <s v="Monterrey"/>
    <s v="19006"/>
    <s v="Apodaca"/>
    <x v="8"/>
    <x v="35"/>
    <n v="0.11279017041486032"/>
    <n v="0.1094064653024145"/>
    <n v="6.4535588404801017E-2"/>
    <n v="0.59391762954604921"/>
    <n v="1.8450856862020726"/>
    <n v="0.14213968379271588"/>
    <n v="5.8698982081243094E-4"/>
    <s v="Estatal"/>
  </r>
  <r>
    <x v="2"/>
    <s v="Nuevo León"/>
    <s v="19"/>
    <s v="19.01"/>
    <s v="Monterrey"/>
    <s v="19009"/>
    <s v="Cadereyta Jiménez"/>
    <x v="8"/>
    <x v="35"/>
    <n v="1.8703633028105902"/>
    <n v="1.8142524037262724"/>
    <n v="1.070173010942852"/>
    <n v="9.8487459954119352"/>
    <n v="30.596465501560935"/>
    <n v="2.357056891226847"/>
    <n v="9.7338643601010688E-3"/>
    <s v="Estatal"/>
  </r>
  <r>
    <x v="2"/>
    <s v="Nuevo León"/>
    <s v="19"/>
    <s v="19.01"/>
    <s v="Monterrey"/>
    <s v="19010"/>
    <s v="El Carmen"/>
    <x v="8"/>
    <x v="35"/>
    <n v="3.5208900208623599E-2"/>
    <n v="3.415263320236489E-2"/>
    <n v="2.0145612722206462E-2"/>
    <n v="0.18539901548082097"/>
    <n v="0.57596719255678597"/>
    <n v="4.4370727732171975E-2"/>
    <n v="1.8323641101387835E-4"/>
    <s v="Estatal"/>
  </r>
  <r>
    <x v="2"/>
    <s v="Nuevo León"/>
    <s v="19"/>
    <s v="19.01"/>
    <s v="Monterrey"/>
    <s v="19012"/>
    <s v="Ciénega de Flores"/>
    <x v="8"/>
    <x v="35"/>
    <n v="1.2006721730129705E-2"/>
    <n v="1.1646520078225813E-2"/>
    <n v="6.869932449047364E-3"/>
    <n v="6.3223627398989637E-2"/>
    <n v="0.19641277534194546"/>
    <n v="1.5131031576869704E-2"/>
    <n v="6.2486149378004592E-5"/>
    <s v="Estatal"/>
  </r>
  <r>
    <x v="2"/>
    <s v="Nuevo León"/>
    <s v="19"/>
    <s v="19.01"/>
    <s v="Monterrey"/>
    <s v="19018"/>
    <s v="García"/>
    <x v="8"/>
    <x v="35"/>
    <n v="7.1553571391718918E-2"/>
    <n v="6.9406964249967354E-2"/>
    <n v="4.0941083919322808E-2"/>
    <n v="0.37677864436424907"/>
    <n v="1.1705139719702424"/>
    <n v="9.017276926215595E-2"/>
    <n v="3.723836739959463E-4"/>
    <s v="Estatal"/>
  </r>
  <r>
    <x v="2"/>
    <s v="Nuevo León"/>
    <s v="19"/>
    <s v="19.01"/>
    <s v="Monterrey"/>
    <s v="19019"/>
    <s v="San Pedro Garza García"/>
    <x v="8"/>
    <x v="35"/>
    <n v="0"/>
    <n v="0"/>
    <n v="0"/>
    <n v="0"/>
    <n v="0"/>
    <n v="0"/>
    <n v="0"/>
    <s v="Estatal"/>
  </r>
  <r>
    <x v="2"/>
    <s v="Nuevo León"/>
    <s v="19"/>
    <s v="19.01"/>
    <s v="Monterrey"/>
    <s v="19021"/>
    <s v="General Escobedo"/>
    <x v="8"/>
    <x v="35"/>
    <n v="25.887500235808471"/>
    <n v="25.110875228734212"/>
    <n v="10.846886649809031"/>
    <n v="152.2059903362678"/>
    <n v="309.01894839206102"/>
    <n v="31.182934338526792"/>
    <n v="9.3986701169729514E-2"/>
    <s v="Estatal"/>
  </r>
  <r>
    <x v="2"/>
    <s v="Nuevo León"/>
    <s v="19"/>
    <s v="19.01"/>
    <s v="Monterrey"/>
    <s v="19025"/>
    <s v="General Zuazua"/>
    <x v="8"/>
    <x v="35"/>
    <n v="0.15193776210995552"/>
    <n v="0.14737962924665685"/>
    <n v="8.6934817481069973E-2"/>
    <n v="0.80005655793376851"/>
    <n v="2.4854842317510979"/>
    <n v="0.19147400330230016"/>
    <n v="7.907242220445669E-4"/>
    <s v="Estatal"/>
  </r>
  <r>
    <x v="2"/>
    <s v="Nuevo León"/>
    <s v="19"/>
    <s v="19.01"/>
    <s v="Monterrey"/>
    <s v="19026"/>
    <s v="Guadalupe"/>
    <x v="8"/>
    <x v="35"/>
    <n v="6.4901198541241645E-3"/>
    <n v="6.2954162585004397E-3"/>
    <n v="3.7134769994850618E-3"/>
    <n v="3.4174933729183586E-2"/>
    <n v="0.10616906775240295"/>
    <n v="8.1789359874971379E-3"/>
    <n v="3.3776296961083568E-5"/>
    <s v="Estatal"/>
  </r>
  <r>
    <x v="2"/>
    <s v="Nuevo León"/>
    <s v="19"/>
    <s v="19.01"/>
    <s v="Monterrey"/>
    <s v="19031"/>
    <s v="Juárez"/>
    <x v="8"/>
    <x v="35"/>
    <n v="2.1660775013139399E-2"/>
    <n v="2.1010951762745218E-2"/>
    <n v="1.2393729485781393E-2"/>
    <n v="0.11405884132115023"/>
    <n v="0.35433926362364482"/>
    <n v="2.7297198858271698E-2"/>
    <n v="1.1272839110761639E-4"/>
    <s v="Estatal"/>
  </r>
  <r>
    <x v="2"/>
    <s v="Nuevo León"/>
    <s v="19"/>
    <s v="19.01"/>
    <s v="Monterrey"/>
    <s v="19039"/>
    <s v="Monterrey"/>
    <x v="8"/>
    <x v="35"/>
    <n v="0"/>
    <n v="0"/>
    <n v="0"/>
    <n v="0"/>
    <n v="0"/>
    <n v="0"/>
    <n v="0"/>
    <s v="Estatal"/>
  </r>
  <r>
    <x v="2"/>
    <s v="Nuevo León"/>
    <s v="19"/>
    <s v="19.01"/>
    <s v="Monterrey"/>
    <s v="19041"/>
    <s v="Pesquería"/>
    <x v="8"/>
    <x v="35"/>
    <n v="0.70004055276546773"/>
    <n v="0.67903933618250367"/>
    <n v="0.40054491285695748"/>
    <n v="3.6861937893640651"/>
    <n v="11.451661070443564"/>
    <n v="0.88220048295141007"/>
    <n v="3.643195830964876E-3"/>
    <s v="Estatal"/>
  </r>
  <r>
    <x v="2"/>
    <s v="Nuevo León"/>
    <s v="19"/>
    <s v="19.01"/>
    <s v="Monterrey"/>
    <s v="19045"/>
    <s v="Salinas Victoria"/>
    <x v="8"/>
    <x v="35"/>
    <n v="0.50760849909068617"/>
    <n v="0.4923802441179656"/>
    <n v="0.2904403198222254"/>
    <n v="2.672907004293771"/>
    <n v="8.3037482115848142"/>
    <n v="0.63969503092211988"/>
    <n v="2.6417286260687484E-3"/>
    <s v="Estatal"/>
  </r>
  <r>
    <x v="2"/>
    <s v="Nuevo León"/>
    <s v="19"/>
    <s v="19.01"/>
    <s v="Monterrey"/>
    <s v="19046"/>
    <s v="San Nicolás de los Garza"/>
    <x v="8"/>
    <x v="35"/>
    <n v="20.074546570607549"/>
    <n v="19.472310173489319"/>
    <n v="8.4080318404238295"/>
    <n v="118.04154334770422"/>
    <n v="239.53674945790533"/>
    <n v="24.179737533819925"/>
    <n v="7.2849193603217274E-2"/>
    <s v="Estatal"/>
  </r>
  <r>
    <x v="2"/>
    <s v="Nuevo León"/>
    <s v="19"/>
    <s v="19.01"/>
    <s v="Monterrey"/>
    <s v="19047"/>
    <s v="Hidalgo"/>
    <x v="8"/>
    <x v="35"/>
    <n v="1.08303875065697E-2"/>
    <n v="1.0505475881372609E-2"/>
    <n v="6.1968647428906967E-3"/>
    <n v="5.7029420660575113E-2"/>
    <n v="0.17716963181182241"/>
    <n v="1.3648599429135849E-2"/>
    <n v="5.6364195553808197E-5"/>
    <s v="Estatal"/>
  </r>
  <r>
    <x v="2"/>
    <s v="Nuevo León"/>
    <s v="19"/>
    <s v="19.01"/>
    <s v="Monterrey"/>
    <s v="19048"/>
    <s v="Santa Catarina"/>
    <x v="8"/>
    <x v="35"/>
    <n v="22.343253645421779"/>
    <n v="21.672956036059126"/>
    <n v="9.3596301673831555"/>
    <n v="131.37640520089565"/>
    <n v="266.64738954620378"/>
    <n v="26.912887685633176"/>
    <n v="8.1096277057682145E-2"/>
    <s v="Estatal"/>
  </r>
  <r>
    <x v="2"/>
    <s v="Nuevo León"/>
    <s v="19"/>
    <s v="19.01"/>
    <s v="Monterrey"/>
    <s v="19049"/>
    <s v="Santiago"/>
    <x v="8"/>
    <x v="35"/>
    <n v="2.0200498045961465E-2"/>
    <n v="1.959448310458262E-2"/>
    <n v="1.1558197160897255E-2"/>
    <n v="0.10636948123208392"/>
    <n v="0.33045122337935418"/>
    <n v="2.5456938261084843E-2"/>
    <n v="1.0512872429137261E-4"/>
    <s v="Estatal"/>
  </r>
  <r>
    <x v="2"/>
    <s v="Nuevo León"/>
    <s v="19"/>
    <s v="19.01"/>
    <s v="Monterrey"/>
    <s v="19001"/>
    <s v="Abasolo"/>
    <x v="9"/>
    <x v="36"/>
    <n v="4.3187203791469194E-3"/>
    <n v="3.8204318062137971E-3"/>
    <n v="1.2144549763033179E-3"/>
    <n v="4.4275052659294376"/>
    <n v="0.18710395822362649"/>
    <n v="0.33771985255397574"/>
    <n v="4.3562401263823065E-3"/>
    <s v="Estatal"/>
  </r>
  <r>
    <x v="2"/>
    <s v="Nuevo León"/>
    <s v="19"/>
    <s v="19.01"/>
    <s v="Monterrey"/>
    <s v="19001"/>
    <s v="Abasolo"/>
    <x v="9"/>
    <x v="37"/>
    <n v="0.30524437353751022"/>
    <n v="0.27002837640276961"/>
    <n v="1.6097960173547622E-2"/>
    <n v="41.967841905967816"/>
    <n v="11.183500289850773"/>
    <n v="3.6973798337833017"/>
    <n v="6.129108981086176E-2"/>
    <s v="Estatal"/>
  </r>
  <r>
    <x v="2"/>
    <s v="Nuevo León"/>
    <s v="19"/>
    <s v="19.01"/>
    <s v="Monterrey"/>
    <s v="19001"/>
    <s v="Abasolo"/>
    <x v="9"/>
    <x v="38"/>
    <n v="7.0540877146161368E-3"/>
    <n v="6.2405479939507168E-3"/>
    <n v="1.218307979717107E-3"/>
    <n v="3.0697057672261399"/>
    <n v="1.5092712088272584"/>
    <n v="0.14133959019067105"/>
    <n v="3.4153256466960126E-3"/>
    <s v="Estatal"/>
  </r>
  <r>
    <x v="2"/>
    <s v="Nuevo León"/>
    <s v="19"/>
    <s v="19.01"/>
    <s v="Monterrey"/>
    <s v="19001"/>
    <s v="Abasolo"/>
    <x v="9"/>
    <x v="39"/>
    <n v="6.1020025974494317E-2"/>
    <n v="5.3992411227250715E-2"/>
    <n v="7.3892138585051979E-3"/>
    <n v="14.525415211188768"/>
    <n v="3.2227936327973596"/>
    <n v="1.5820202729489874"/>
    <n v="2.250288951868884E-2"/>
    <s v="Estatal"/>
  </r>
  <r>
    <x v="2"/>
    <s v="Nuevo León"/>
    <s v="19"/>
    <s v="19.01"/>
    <s v="Monterrey"/>
    <s v="19001"/>
    <s v="Abasolo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01"/>
    <s v="Abasolo"/>
    <x v="9"/>
    <x v="41"/>
    <n v="0.35515783320342953"/>
    <n v="0.32674006235385822"/>
    <n v="5.4754481683554172E-3"/>
    <n v="8.9955212392829313"/>
    <n v="4.9835044816835543"/>
    <n v="6.4104091971940766"/>
    <n v="9.7778643803585336E-3"/>
    <s v="Federal"/>
  </r>
  <r>
    <x v="2"/>
    <s v="Nuevo León"/>
    <s v="19"/>
    <s v="19.01"/>
    <s v="Monterrey"/>
    <s v="19001"/>
    <s v="Abasolo"/>
    <x v="9"/>
    <x v="42"/>
    <n v="0.27961890214802926"/>
    <n v="0.25705322310909023"/>
    <n v="8.5695566032338143E-3"/>
    <n v="14.612559550742526"/>
    <n v="5.2124111223841121"/>
    <n v="9.0820788985663157"/>
    <n v="1.9287892905468767E-2"/>
    <s v="Federal"/>
  </r>
  <r>
    <x v="2"/>
    <s v="Nuevo León"/>
    <s v="19"/>
    <s v="19.01"/>
    <s v="Monterrey"/>
    <s v="19001"/>
    <s v="Abasolo"/>
    <x v="9"/>
    <x v="43"/>
    <n v="0.20502279513509583"/>
    <n v="0.18861321098244846"/>
    <n v="4.284902774743281E-3"/>
    <n v="8.2214067438642502"/>
    <n v="3.6129715242881062"/>
    <n v="6.7822923312213232"/>
    <n v="1.0147840652538053E-2"/>
    <s v="Federal"/>
  </r>
  <r>
    <x v="2"/>
    <s v="Nuevo León"/>
    <s v="19"/>
    <s v="19.01"/>
    <s v="Monterrey"/>
    <s v="19001"/>
    <s v="Abasolo"/>
    <x v="9"/>
    <x v="44"/>
    <n v="0.22016500473727763"/>
    <n v="0.19414301213757468"/>
    <n v="1.6792078651042222E-2"/>
    <n v="43.033400412704907"/>
    <n v="8.7352654189227508"/>
    <n v="4.8506920961501745"/>
    <n v="5.7814995751784518E-2"/>
    <s v="Estatal"/>
  </r>
  <r>
    <x v="2"/>
    <s v="Nuevo León"/>
    <s v="19"/>
    <s v="19.01"/>
    <s v="Monterrey"/>
    <s v="19006"/>
    <s v="Apodaca"/>
    <x v="9"/>
    <x v="36"/>
    <n v="1.8026338862559241"/>
    <n v="1.5946482359136391"/>
    <n v="0.50691350710900485"/>
    <n v="1848.0406979989468"/>
    <n v="78.097192162541702"/>
    <n v="140.96426645602946"/>
    <n v="1.8182946287519746"/>
    <s v="Estatal"/>
  </r>
  <r>
    <x v="2"/>
    <s v="Nuevo León"/>
    <s v="19"/>
    <s v="19.01"/>
    <s v="Monterrey"/>
    <s v="19006"/>
    <s v="Apodaca"/>
    <x v="9"/>
    <x v="37"/>
    <n v="79.563168808022382"/>
    <n v="70.384465368337118"/>
    <n v="4.1968388724835304"/>
    <n v="10943.894597692111"/>
    <n v="2916.5350512579062"/>
    <n v="963.61976169467721"/>
    <n v="15.977056606792802"/>
    <s v="Estatal"/>
  </r>
  <r>
    <x v="2"/>
    <s v="Nuevo León"/>
    <s v="19"/>
    <s v="19.01"/>
    <s v="Monterrey"/>
    <s v="19006"/>
    <s v="Apodaca"/>
    <x v="9"/>
    <x v="38"/>
    <n v="2.8569055244195352"/>
    <n v="2.5274219375500402"/>
    <n v="0.49341473178542838"/>
    <n v="1243.230835726587"/>
    <n v="611.25483957503957"/>
    <n v="57.242534027221787"/>
    <n v="1.383206886911885"/>
    <s v="Estatal"/>
  </r>
  <r>
    <x v="2"/>
    <s v="Nuevo León"/>
    <s v="19"/>
    <s v="19.01"/>
    <s v="Monterrey"/>
    <s v="19006"/>
    <s v="Apodaca"/>
    <x v="9"/>
    <x v="39"/>
    <n v="12.65444818404136"/>
    <n v="11.215376572633582"/>
    <n v="1.4738894864278127"/>
    <n v="2892.6034871046254"/>
    <n v="644.81161457774988"/>
    <n v="314.95707423630154"/>
    <n v="4.4979657569517597"/>
    <s v="Estatal"/>
  </r>
  <r>
    <x v="2"/>
    <s v="Nuevo León"/>
    <s v="19"/>
    <s v="19.01"/>
    <s v="Monterrey"/>
    <s v="19006"/>
    <s v="Apodaca"/>
    <x v="9"/>
    <x v="40"/>
    <n v="1.6378773819029326E-2"/>
    <n v="1.445505591015981E-2"/>
    <n v="1.3788537923207869E-3"/>
    <n v="2.5825984832767839"/>
    <n v="0.648554368566301"/>
    <n v="0.22692691583553512"/>
    <n v="5.080385852090032E-3"/>
    <s v="Estatal"/>
  </r>
  <r>
    <x v="2"/>
    <s v="Nuevo León"/>
    <s v="19"/>
    <s v="19.01"/>
    <s v="Monterrey"/>
    <s v="19006"/>
    <s v="Apodaca"/>
    <x v="9"/>
    <x v="41"/>
    <n v="26.920963756819958"/>
    <n v="24.766896726422452"/>
    <n v="0.41503897116134059"/>
    <n v="681.86050993764627"/>
    <n v="377.74963971161338"/>
    <n v="485.90901714731092"/>
    <n v="0.74116212003117676"/>
    <s v="Federal"/>
  </r>
  <r>
    <x v="2"/>
    <s v="Nuevo León"/>
    <s v="19"/>
    <s v="19.01"/>
    <s v="Monterrey"/>
    <s v="19006"/>
    <s v="Apodaca"/>
    <x v="9"/>
    <x v="42"/>
    <n v="36.343227575637883"/>
    <n v="33.405675642172369"/>
    <n v="1.1449163724856002"/>
    <n v="2081.1380796830745"/>
    <n v="683.32093691025455"/>
    <n v="1223.9078754179804"/>
    <n v="2.6531486398958593"/>
    <s v="Federal"/>
  </r>
  <r>
    <x v="2"/>
    <s v="Nuevo León"/>
    <s v="19"/>
    <s v="19.01"/>
    <s v="Monterrey"/>
    <s v="19006"/>
    <s v="Apodaca"/>
    <x v="9"/>
    <x v="43"/>
    <n v="121.52726181632802"/>
    <n v="111.80048080984632"/>
    <n v="2.53987611972908"/>
    <n v="4873.238847425534"/>
    <n v="2141.588871021775"/>
    <n v="4020.2037793314389"/>
    <n v="6.0151325467919312"/>
    <s v="Federal"/>
  </r>
  <r>
    <x v="2"/>
    <s v="Nuevo León"/>
    <s v="19"/>
    <s v="19.01"/>
    <s v="Monterrey"/>
    <s v="19006"/>
    <s v="Apodaca"/>
    <x v="9"/>
    <x v="44"/>
    <n v="37.953855606920619"/>
    <n v="33.707960021931257"/>
    <n v="2.3310076045879828"/>
    <n v="6020.7321179640476"/>
    <n v="1267.6076019193811"/>
    <n v="682.80537890885239"/>
    <n v="8.1780316546813836"/>
    <s v="Estatal"/>
  </r>
  <r>
    <x v="2"/>
    <s v="Nuevo León"/>
    <s v="19"/>
    <s v="19.01"/>
    <s v="Monterrey"/>
    <s v="19009"/>
    <s v="Cadereyta Jiménez"/>
    <x v="9"/>
    <x v="36"/>
    <n v="0.46685367298578201"/>
    <n v="0.41298867825171143"/>
    <n v="0.13128258293838865"/>
    <n v="478.61331924697214"/>
    <n v="20.225937883974023"/>
    <n v="36.507516061084765"/>
    <n v="0.47090955766192738"/>
    <s v="Estatal"/>
  </r>
  <r>
    <x v="2"/>
    <s v="Nuevo León"/>
    <s v="19"/>
    <s v="19.01"/>
    <s v="Monterrey"/>
    <s v="19009"/>
    <s v="Cadereyta Jiménez"/>
    <x v="9"/>
    <x v="37"/>
    <n v="15.413296737445529"/>
    <n v="13.635152020708659"/>
    <n v="0.8130122517421785"/>
    <n v="2120.0024031852786"/>
    <n v="564.97371992742058"/>
    <n v="186.67855269598638"/>
    <n v="3.0951147247204176"/>
    <s v="Estatal"/>
  </r>
  <r>
    <x v="2"/>
    <s v="Nuevo León"/>
    <s v="19"/>
    <s v="19.01"/>
    <s v="Monterrey"/>
    <s v="19009"/>
    <s v="Cadereyta Jiménez"/>
    <x v="9"/>
    <x v="38"/>
    <n v="0.39785054710435014"/>
    <n v="0.35196690685882043"/>
    <n v="6.871257005604485E-2"/>
    <n v="173.13140527155431"/>
    <n v="85.122896177857356"/>
    <n v="7.9715528867538481"/>
    <n v="0.19262436647365508"/>
    <s v="Estatal"/>
  </r>
  <r>
    <x v="2"/>
    <s v="Nuevo León"/>
    <s v="19"/>
    <s v="19.01"/>
    <s v="Monterrey"/>
    <s v="19009"/>
    <s v="Cadereyta Jiménez"/>
    <x v="9"/>
    <x v="39"/>
    <n v="2.8453910078661795"/>
    <n v="2.5218089420221905"/>
    <n v="0.33141635057320773"/>
    <n v="650.41519308392401"/>
    <n v="144.98362539493866"/>
    <n v="70.82081007456955"/>
    <n v="1.0114038231370084"/>
    <s v="Estatal"/>
  </r>
  <r>
    <x v="2"/>
    <s v="Nuevo León"/>
    <s v="19"/>
    <s v="19.01"/>
    <s v="Monterrey"/>
    <s v="19009"/>
    <s v="Cadereyta Jiménez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09"/>
    <s v="Cadereyta Jiménez"/>
    <x v="9"/>
    <x v="41"/>
    <n v="4.0487992985190964"/>
    <n v="3.724836710833983"/>
    <n v="6.2420109119251763E-2"/>
    <n v="102.54894212782543"/>
    <n v="56.811951091192519"/>
    <n v="73.078664848012465"/>
    <n v="0.11146765393608728"/>
    <s v="Federal"/>
  </r>
  <r>
    <x v="2"/>
    <s v="Nuevo León"/>
    <s v="19"/>
    <s v="19.01"/>
    <s v="Monterrey"/>
    <s v="19009"/>
    <s v="Cadereyta Jiménez"/>
    <x v="9"/>
    <x v="42"/>
    <n v="14.093660532402689"/>
    <n v="12.951563979913994"/>
    <n v="0.46383401705812305"/>
    <n v="907.60744489876595"/>
    <n v="266.35420806629918"/>
    <n v="502.36446902328373"/>
    <n v="1.0504756024773831"/>
    <s v="Federal"/>
  </r>
  <r>
    <x v="2"/>
    <s v="Nuevo León"/>
    <s v="19"/>
    <s v="19.01"/>
    <s v="Monterrey"/>
    <s v="19009"/>
    <s v="Cadereyta Jiménez"/>
    <x v="9"/>
    <x v="43"/>
    <n v="29.241376156143041"/>
    <n v="26.900959216371714"/>
    <n v="0.61113425824776058"/>
    <n v="1172.5781368436385"/>
    <n v="515.30006365159124"/>
    <n v="967.3244437404411"/>
    <n v="1.4473357730682399"/>
    <s v="Federal"/>
  </r>
  <r>
    <x v="2"/>
    <s v="Nuevo León"/>
    <s v="19"/>
    <s v="19.01"/>
    <s v="Monterrey"/>
    <s v="19009"/>
    <s v="Cadereyta Jiménez"/>
    <x v="9"/>
    <x v="44"/>
    <n v="11.46722006279839"/>
    <n v="10.185272546429898"/>
    <n v="0.70110037430603489"/>
    <n v="1843.8244970319465"/>
    <n v="386.85953821697979"/>
    <n v="211.74017240974135"/>
    <n v="2.4512468933584679"/>
    <s v="Estatal"/>
  </r>
  <r>
    <x v="2"/>
    <s v="Nuevo León"/>
    <s v="19"/>
    <s v="19.01"/>
    <s v="Monterrey"/>
    <s v="19012"/>
    <s v="Ciénega de Flores"/>
    <x v="9"/>
    <x v="36"/>
    <n v="4.405094786729858E-2"/>
    <n v="3.8968404423380738E-2"/>
    <n v="1.2387440758293842E-2"/>
    <n v="45.160553712480258"/>
    <n v="1.9084603738809902"/>
    <n v="3.4447424960505519"/>
    <n v="4.4433649289099528E-2"/>
    <s v="Estatal"/>
  </r>
  <r>
    <x v="2"/>
    <s v="Nuevo León"/>
    <s v="19"/>
    <s v="19.01"/>
    <s v="Monterrey"/>
    <s v="19012"/>
    <s v="Ciénega de Flores"/>
    <x v="9"/>
    <x v="37"/>
    <n v="3.021562981632008"/>
    <n v="2.672965718165937"/>
    <n v="0.15935101432492277"/>
    <n v="415.43264517035846"/>
    <n v="110.70359819992362"/>
    <n v="36.599744346866615"/>
    <n v="0.60671024310829713"/>
    <s v="Estatal"/>
  </r>
  <r>
    <x v="2"/>
    <s v="Nuevo León"/>
    <s v="19"/>
    <s v="19.01"/>
    <s v="Monterrey"/>
    <s v="19012"/>
    <s v="Ciénega de Flores"/>
    <x v="9"/>
    <x v="38"/>
    <n v="0.17211974023663376"/>
    <n v="0.15226937105239749"/>
    <n v="2.9726714705097412E-2"/>
    <n v="74.900820720317824"/>
    <n v="36.826217495385102"/>
    <n v="3.4486860006523741"/>
    <n v="8.3333945779382704E-2"/>
    <s v="Estatal"/>
  </r>
  <r>
    <x v="2"/>
    <s v="Nuevo León"/>
    <s v="19"/>
    <s v="19.01"/>
    <s v="Monterrey"/>
    <s v="19012"/>
    <s v="Ciénega de Flores"/>
    <x v="9"/>
    <x v="39"/>
    <n v="0.46451765599562572"/>
    <n v="0.41163743812915765"/>
    <n v="5.4278820700787739E-2"/>
    <n v="106.5386591492783"/>
    <n v="23.739157851980735"/>
    <n v="11.600774488850538"/>
    <n v="0.1656168535101904"/>
    <s v="Estatal"/>
  </r>
  <r>
    <x v="2"/>
    <s v="Nuevo León"/>
    <s v="19"/>
    <s v="19.01"/>
    <s v="Monterrey"/>
    <s v="19012"/>
    <s v="Ciénega de Flores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12"/>
    <s v="Ciénega de Flores"/>
    <x v="9"/>
    <x v="41"/>
    <n v="1.0654734996102886"/>
    <n v="0.98022018706157465"/>
    <n v="1.6426344505066252E-2"/>
    <n v="26.986563717848796"/>
    <n v="14.950513445050664"/>
    <n v="19.231227591582229"/>
    <n v="2.9333593141075594E-2"/>
    <s v="Federal"/>
  </r>
  <r>
    <x v="2"/>
    <s v="Nuevo León"/>
    <s v="19"/>
    <s v="19.01"/>
    <s v="Monterrey"/>
    <s v="19012"/>
    <s v="Ciénega de Flores"/>
    <x v="9"/>
    <x v="42"/>
    <n v="5.4746199371578914"/>
    <n v="5.0336609341926311"/>
    <n v="0.1620237257215944"/>
    <n v="257.82153343940013"/>
    <n v="102.06542372877792"/>
    <n v="169.76631869890733"/>
    <n v="0.37692911058579637"/>
    <s v="Federal"/>
  </r>
  <r>
    <x v="2"/>
    <s v="Nuevo León"/>
    <s v="19"/>
    <s v="19.01"/>
    <s v="Monterrey"/>
    <s v="19012"/>
    <s v="Ciénega de Flores"/>
    <x v="9"/>
    <x v="43"/>
    <n v="17.068147694996728"/>
    <n v="15.702049814288833"/>
    <n v="0.35671815599737822"/>
    <n v="684.43211142669861"/>
    <n v="300.77987939698482"/>
    <n v="564.6258365741752"/>
    <n v="0.84480773432379286"/>
    <s v="Federal"/>
  </r>
  <r>
    <x v="2"/>
    <s v="Nuevo León"/>
    <s v="19"/>
    <s v="19.01"/>
    <s v="Monterrey"/>
    <s v="19012"/>
    <s v="Ciénega de Flores"/>
    <x v="9"/>
    <x v="44"/>
    <n v="2.3195644495530834"/>
    <n v="2.0585205602075511"/>
    <n v="0.14610287154217771"/>
    <n v="376.43900041121753"/>
    <n v="78.866997696844464"/>
    <n v="42.670837134944101"/>
    <n v="0.50874257104289378"/>
    <s v="Estatal"/>
  </r>
  <r>
    <x v="2"/>
    <s v="Nuevo León"/>
    <s v="19"/>
    <s v="19.01"/>
    <s v="Monterrey"/>
    <s v="19010"/>
    <s v="El Carmen"/>
    <x v="9"/>
    <x v="36"/>
    <n v="0.27227000000000001"/>
    <n v="0.111412"/>
    <n v="5.9903353310107176E-2"/>
    <n v="61.226728166113617"/>
    <n v="2.9416507994621957"/>
    <n v="27.7055984446358"/>
    <n v="0.42684813907572844"/>
    <s v="Estatal"/>
  </r>
  <r>
    <x v="2"/>
    <s v="Nuevo León"/>
    <s v="19"/>
    <s v="19.01"/>
    <s v="Monterrey"/>
    <s v="19010"/>
    <s v="El Carmen"/>
    <x v="9"/>
    <x v="37"/>
    <n v="1.745082464676585"/>
    <n v="0.47372128804879449"/>
    <n v="0.24769762640538945"/>
    <n v="150.48070390358393"/>
    <n v="24.654127762088997"/>
    <n v="23.846687772313828"/>
    <n v="0.94101956316217916"/>
    <s v="Estatal"/>
  </r>
  <r>
    <x v="2"/>
    <s v="Nuevo León"/>
    <s v="19"/>
    <s v="19.01"/>
    <s v="Monterrey"/>
    <s v="19010"/>
    <s v="El Carmen"/>
    <x v="9"/>
    <x v="38"/>
    <n v="5.8141928421838511E-2"/>
    <n v="1.5789988906643404E-2"/>
    <n v="5.338957316682269E-2"/>
    <n v="17.494548843951545"/>
    <n v="3.8563400682754558"/>
    <n v="1.5739441766411244"/>
    <n v="0.14983257184254489"/>
    <s v="Estatal"/>
  </r>
  <r>
    <x v="2"/>
    <s v="Nuevo León"/>
    <s v="19"/>
    <s v="19.01"/>
    <s v="Monterrey"/>
    <s v="19010"/>
    <s v="El Carmen"/>
    <x v="9"/>
    <x v="39"/>
    <n v="4.0706397411449197E-4"/>
    <n v="3.6884308120338201E-4"/>
    <n v="1.7820788093108811E-4"/>
    <n v="0.10619427387718476"/>
    <n v="2.6440911160245606E-2"/>
    <n v="1.4561920601122125E-2"/>
    <n v="5.9114602275790165E-4"/>
    <s v="Estatal"/>
  </r>
  <r>
    <x v="2"/>
    <s v="Nuevo León"/>
    <s v="19"/>
    <s v="19.01"/>
    <s v="Monterrey"/>
    <s v="19010"/>
    <s v="El Carmen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10"/>
    <s v="El Carmen"/>
    <x v="9"/>
    <x v="41"/>
    <n v="3.1664556277653473"/>
    <n v="2.3139636420615974"/>
    <n v="8.4348663761244183E-2"/>
    <n v="16.766229881938276"/>
    <n v="45.684103257357044"/>
    <n v="2.7389597998052353"/>
    <n v="0.11609602502388836"/>
    <s v="Federal"/>
  </r>
  <r>
    <x v="2"/>
    <s v="Nuevo León"/>
    <s v="19"/>
    <s v="19.01"/>
    <s v="Monterrey"/>
    <s v="19010"/>
    <s v="El Carmen"/>
    <x v="9"/>
    <x v="42"/>
    <n v="0.15688028660961034"/>
    <n v="9.8651915409338431E-2"/>
    <n v="3.6254757999968634E-3"/>
    <n v="0.68227829057215716"/>
    <n v="1.8644785227781517"/>
    <n v="0.51975511790439999"/>
    <n v="9.6472934585697216E-3"/>
    <s v="Federal"/>
  </r>
  <r>
    <x v="2"/>
    <s v="Nuevo León"/>
    <s v="19"/>
    <s v="19.01"/>
    <s v="Monterrey"/>
    <s v="19010"/>
    <s v="El Carmen"/>
    <x v="9"/>
    <x v="43"/>
    <n v="0"/>
    <n v="0"/>
    <n v="0"/>
    <n v="0"/>
    <n v="0"/>
    <n v="0"/>
    <n v="0"/>
    <s v="Federal"/>
  </r>
  <r>
    <x v="2"/>
    <s v="Nuevo León"/>
    <s v="19"/>
    <s v="19.01"/>
    <s v="Monterrey"/>
    <s v="19010"/>
    <s v="El Carmen"/>
    <x v="9"/>
    <x v="44"/>
    <n v="1.011200658529172"/>
    <n v="0.40525564075484577"/>
    <n v="0.15524492085254119"/>
    <n v="104.28453856514405"/>
    <n v="23.773506049502515"/>
    <n v="15.22973599336666"/>
    <n v="0.51717167623674021"/>
    <s v="Estatal"/>
  </r>
  <r>
    <x v="2"/>
    <s v="Nuevo León"/>
    <s v="19"/>
    <s v="19.01"/>
    <s v="Monterrey"/>
    <s v="19018"/>
    <s v="García"/>
    <x v="9"/>
    <x v="36"/>
    <n v="0.36752310426540291"/>
    <n v="0.3251187467087942"/>
    <n v="0.10335011848341236"/>
    <n v="376.78069813059506"/>
    <n v="15.922546844830611"/>
    <n v="28.739959452343331"/>
    <n v="0.37071603475513432"/>
    <s v="Estatal"/>
  </r>
  <r>
    <x v="2"/>
    <s v="Nuevo León"/>
    <s v="19"/>
    <s v="19.01"/>
    <s v="Monterrey"/>
    <s v="19018"/>
    <s v="García"/>
    <x v="9"/>
    <x v="37"/>
    <n v="13.786641168616597"/>
    <n v="12.196152126044883"/>
    <n v="0.72720622453169503"/>
    <n v="1896.2428071582897"/>
    <n v="505.34140553719709"/>
    <n v="166.9778383496477"/>
    <n v="2.7684628747749644"/>
    <s v="Estatal"/>
  </r>
  <r>
    <x v="2"/>
    <s v="Nuevo León"/>
    <s v="19"/>
    <s v="19.01"/>
    <s v="Monterrey"/>
    <s v="19018"/>
    <s v="García"/>
    <x v="9"/>
    <x v="38"/>
    <n v="0.81686335735254867"/>
    <n v="0.72265545769949291"/>
    <n v="0.14108006405124099"/>
    <n v="355.4719278447871"/>
    <n v="174.77360598219656"/>
    <n v="16.367124544079712"/>
    <n v="0.39549470988739821"/>
    <s v="Estatal"/>
  </r>
  <r>
    <x v="2"/>
    <s v="Nuevo León"/>
    <s v="19"/>
    <s v="19.01"/>
    <s v="Monterrey"/>
    <s v="19018"/>
    <s v="García"/>
    <x v="9"/>
    <x v="39"/>
    <n v="1.9928058924081087"/>
    <n v="1.7663855074962649"/>
    <n v="0.23145913871808477"/>
    <n v="454.19077084097802"/>
    <n v="101.27821917703255"/>
    <n v="49.45385276685424"/>
    <n v="0.70646752756792586"/>
    <s v="Estatal"/>
  </r>
  <r>
    <x v="2"/>
    <s v="Nuevo León"/>
    <s v="19"/>
    <s v="19.01"/>
    <s v="Monterrey"/>
    <s v="19018"/>
    <s v="García"/>
    <x v="9"/>
    <x v="40"/>
    <n v="4.0946934547573324E-2"/>
    <n v="3.6137639775399522E-2"/>
    <n v="3.4471344808019674E-3"/>
    <n v="6.456496208191961"/>
    <n v="1.6213859214157524"/>
    <n v="0.56731728958883776"/>
    <n v="1.2700964630225083E-2"/>
    <s v="Estatal"/>
  </r>
  <r>
    <x v="2"/>
    <s v="Nuevo León"/>
    <s v="19"/>
    <s v="19.01"/>
    <s v="Monterrey"/>
    <s v="19018"/>
    <s v="García"/>
    <x v="9"/>
    <x v="41"/>
    <n v="8.1686301636788787"/>
    <n v="7.5150214341387382"/>
    <n v="0.12593530787217461"/>
    <n v="206.89698850350743"/>
    <n v="114.62060307872177"/>
    <n v="147.43941153546373"/>
    <n v="0.22489088074824626"/>
    <s v="Federal"/>
  </r>
  <r>
    <x v="2"/>
    <s v="Nuevo León"/>
    <s v="19"/>
    <s v="19.01"/>
    <s v="Monterrey"/>
    <s v="19018"/>
    <s v="García"/>
    <x v="9"/>
    <x v="42"/>
    <n v="5.6601410249998318"/>
    <n v="5.2010092341715621"/>
    <n v="0.18936118149660713"/>
    <n v="379.33792362063065"/>
    <n v="106.88795028714611"/>
    <n v="206.06178097652159"/>
    <n v="0.42073658948685067"/>
    <s v="Federal"/>
  </r>
  <r>
    <x v="2"/>
    <s v="Nuevo León"/>
    <s v="19"/>
    <s v="19.01"/>
    <s v="Monterrey"/>
    <s v="19018"/>
    <s v="García"/>
    <x v="9"/>
    <x v="43"/>
    <n v="8.6365852450659109"/>
    <n v="7.9453315126356419"/>
    <n v="0.18050152938606076"/>
    <n v="346.32675908528142"/>
    <n v="152.1964254606365"/>
    <n v="285.70406445269828"/>
    <n v="0.42747778748816551"/>
    <s v="Federal"/>
  </r>
  <r>
    <x v="2"/>
    <s v="Nuevo León"/>
    <s v="19"/>
    <s v="19.01"/>
    <s v="Monterrey"/>
    <s v="19018"/>
    <s v="García"/>
    <x v="9"/>
    <x v="44"/>
    <n v="5.7122871999476743"/>
    <n v="5.0699651134923798"/>
    <n v="0.3594344084406077"/>
    <n v="931.85097085578548"/>
    <n v="195.01085619807697"/>
    <n v="105.93369610154691"/>
    <n v="1.2569202927419658"/>
    <s v="Estatal"/>
  </r>
  <r>
    <x v="2"/>
    <s v="Nuevo León"/>
    <s v="19"/>
    <s v="19.01"/>
    <s v="Monterrey"/>
    <s v="19021"/>
    <s v="General Escobedo"/>
    <x v="9"/>
    <x v="36"/>
    <n v="1.1513708530805689"/>
    <n v="1.0185271195365984"/>
    <n v="0.32377369668246458"/>
    <n v="1180.3729038967879"/>
    <n v="49.881915262418829"/>
    <n v="90.036112690889922"/>
    <n v="1.161373617693523"/>
    <s v="Estatal"/>
  </r>
  <r>
    <x v="2"/>
    <s v="Nuevo León"/>
    <s v="19"/>
    <s v="19.01"/>
    <s v="Monterrey"/>
    <s v="19021"/>
    <s v="General Escobedo"/>
    <x v="9"/>
    <x v="37"/>
    <n v="45.226906448256187"/>
    <n v="40.009362746244399"/>
    <n v="2.3856531950818094"/>
    <n v="6220.9564089007217"/>
    <n v="1657.8778778967787"/>
    <n v="547.76008925943177"/>
    <n v="9.082003537084784"/>
    <s v="Estatal"/>
  </r>
  <r>
    <x v="2"/>
    <s v="Nuevo León"/>
    <s v="19"/>
    <s v="19.01"/>
    <s v="Monterrey"/>
    <s v="19021"/>
    <s v="General Escobedo"/>
    <x v="9"/>
    <x v="38"/>
    <n v="2.2036970020460811"/>
    <n v="1.949547193310204"/>
    <n v="0.3805994128636242"/>
    <n v="958.9760816814462"/>
    <n v="471.49632563763555"/>
    <n v="44.154487975565637"/>
    <n v="1.0669477320278344"/>
    <s v="Estatal"/>
  </r>
  <r>
    <x v="2"/>
    <s v="Nuevo León"/>
    <s v="19"/>
    <s v="19.01"/>
    <s v="Monterrey"/>
    <s v="19021"/>
    <s v="General Escobedo"/>
    <x v="9"/>
    <x v="39"/>
    <n v="8.0713238369613816"/>
    <n v="7.1541138506499884"/>
    <n v="0.93795818659528019"/>
    <n v="1840.591292586761"/>
    <n v="410.39970671249449"/>
    <n v="200.41063533540068"/>
    <n v="2.8627849627405642"/>
    <s v="Estatal"/>
  </r>
  <r>
    <x v="2"/>
    <s v="Nuevo León"/>
    <s v="19"/>
    <s v="19.01"/>
    <s v="Monterrey"/>
    <s v="19021"/>
    <s v="General Escobedo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21"/>
    <s v="General Escobedo"/>
    <x v="9"/>
    <x v="41"/>
    <n v="19.320586126266569"/>
    <n v="17.774659392049887"/>
    <n v="0.29786438035853463"/>
    <n v="489.35635541699139"/>
    <n v="271.10264380358535"/>
    <n v="348.72626032735775"/>
    <n v="0.53191582229150425"/>
    <s v="Federal"/>
  </r>
  <r>
    <x v="2"/>
    <s v="Nuevo León"/>
    <s v="19"/>
    <s v="19.01"/>
    <s v="Monterrey"/>
    <s v="19021"/>
    <s v="General Escobedo"/>
    <x v="9"/>
    <x v="42"/>
    <n v="25.881847671775951"/>
    <n v="23.786893767010842"/>
    <n v="0.83547499184955021"/>
    <n v="1585.2907102536085"/>
    <n v="488.20289041210594"/>
    <n v="899.73800211428306"/>
    <n v="1.9170707627968915"/>
    <s v="Federal"/>
  </r>
  <r>
    <x v="2"/>
    <s v="Nuevo León"/>
    <s v="19"/>
    <s v="19.01"/>
    <s v="Monterrey"/>
    <s v="19021"/>
    <s v="General Escobedo"/>
    <x v="9"/>
    <x v="43"/>
    <n v="40.902047629451616"/>
    <n v="37.628335590998468"/>
    <n v="0.85483810356128476"/>
    <n v="1640.1706454009179"/>
    <n v="720.78781909547718"/>
    <n v="1353.0673200786539"/>
    <n v="2.0244942101813415"/>
    <s v="Federal"/>
  </r>
  <r>
    <x v="2"/>
    <s v="Nuevo León"/>
    <s v="19"/>
    <s v="19.01"/>
    <s v="Monterrey"/>
    <s v="19021"/>
    <s v="General Escobedo"/>
    <x v="9"/>
    <x v="44"/>
    <n v="25.693675800007817"/>
    <n v="22.808135684006047"/>
    <n v="1.6067820157684163"/>
    <n v="4160.1733408938117"/>
    <n v="872.27649883558297"/>
    <n v="472.3955584954569"/>
    <n v="5.6337976295758487"/>
    <s v="Estatal"/>
  </r>
  <r>
    <x v="2"/>
    <s v="Nuevo León"/>
    <s v="19"/>
    <s v="19.01"/>
    <s v="Monterrey"/>
    <s v="19025"/>
    <s v="General Zuazua"/>
    <x v="9"/>
    <x v="36"/>
    <n v="7.5577606635071098E-2"/>
    <n v="6.6857556608741445E-2"/>
    <n v="2.1252962085308063E-2"/>
    <n v="77.481342153765141"/>
    <n v="3.2743192689134641"/>
    <n v="5.9100974196945746"/>
    <n v="7.6234202211690374E-2"/>
    <s v="Estatal"/>
  </r>
  <r>
    <x v="2"/>
    <s v="Nuevo León"/>
    <s v="19"/>
    <s v="19.01"/>
    <s v="Monterrey"/>
    <s v="19025"/>
    <s v="General Zuazua"/>
    <x v="9"/>
    <x v="37"/>
    <n v="3.0595700631619702"/>
    <n v="2.7065879284573326"/>
    <n v="0.16135542959945012"/>
    <n v="420.65821303413662"/>
    <n v="112.09609629048867"/>
    <n v="37.060118489594501"/>
    <n v="0.61434181849330693"/>
    <s v="Estatal"/>
  </r>
  <r>
    <x v="2"/>
    <s v="Nuevo León"/>
    <s v="19"/>
    <s v="19.01"/>
    <s v="Monterrey"/>
    <s v="19025"/>
    <s v="General Zuazua"/>
    <x v="9"/>
    <x v="38"/>
    <n v="0.27228778578418289"/>
    <n v="0.24088515256649765"/>
    <n v="4.7026688017080334E-2"/>
    <n v="118.49064261492903"/>
    <n v="58.257868660732179"/>
    <n v="5.4557081813599018"/>
    <n v="0.13183156996246606"/>
    <s v="Estatal"/>
  </r>
  <r>
    <x v="2"/>
    <s v="Nuevo León"/>
    <s v="19"/>
    <s v="19.01"/>
    <s v="Monterrey"/>
    <s v="19025"/>
    <s v="General Zuazua"/>
    <x v="9"/>
    <x v="39"/>
    <n v="0.40999972508705168"/>
    <n v="0.36278047094265081"/>
    <n v="4.9648875139169754E-2"/>
    <n v="97.597733666189711"/>
    <n v="21.654276319245181"/>
    <n v="10.629754193522409"/>
    <n v="0.1511991902491677"/>
    <s v="Estatal"/>
  </r>
  <r>
    <x v="2"/>
    <s v="Nuevo León"/>
    <s v="19"/>
    <s v="19.01"/>
    <s v="Monterrey"/>
    <s v="19025"/>
    <s v="General Zuazua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25"/>
    <s v="General Zuazua"/>
    <x v="9"/>
    <x v="41"/>
    <n v="0.42618939984411547"/>
    <n v="0.39208807482462987"/>
    <n v="6.5705378020265012E-3"/>
    <n v="10.794625487139516"/>
    <n v="5.9802053780202646"/>
    <n v="7.6924910366328927"/>
    <n v="1.1733437256430237E-2"/>
    <s v="Federal"/>
  </r>
  <r>
    <x v="2"/>
    <s v="Nuevo León"/>
    <s v="19"/>
    <s v="19.01"/>
    <s v="Monterrey"/>
    <s v="19025"/>
    <s v="General Zuazua"/>
    <x v="9"/>
    <x v="42"/>
    <n v="1.6210666620979775"/>
    <n v="1.4897843578317869"/>
    <n v="5.2790829705276564E-2"/>
    <n v="100.81891379441248"/>
    <n v="30.425811953218147"/>
    <n v="56.999819472120599"/>
    <n v="0.11650231603106208"/>
    <s v="Federal"/>
  </r>
  <r>
    <x v="2"/>
    <s v="Nuevo León"/>
    <s v="19"/>
    <s v="19.01"/>
    <s v="Monterrey"/>
    <s v="19025"/>
    <s v="General Zuazua"/>
    <x v="9"/>
    <x v="43"/>
    <n v="5.561243318039474"/>
    <n v="5.1161333478989146"/>
    <n v="0.11622798776491151"/>
    <n v="223.00565792731774"/>
    <n v="98.001852596314862"/>
    <n v="183.96967948437842"/>
    <n v="0.2752601777000947"/>
    <s v="Federal"/>
  </r>
  <r>
    <x v="2"/>
    <s v="Nuevo León"/>
    <s v="19"/>
    <s v="19.01"/>
    <s v="Monterrey"/>
    <s v="19025"/>
    <s v="General Zuazua"/>
    <x v="9"/>
    <x v="44"/>
    <n v="1.4308452492284283"/>
    <n v="1.2689466003979459"/>
    <n v="9.192390816267304E-2"/>
    <n v="240.98065117711721"/>
    <n v="50.094970235509081"/>
    <n v="27.658489317347797"/>
    <n v="0.31758059528650417"/>
    <s v="Estatal"/>
  </r>
  <r>
    <x v="2"/>
    <s v="Nuevo León"/>
    <s v="19"/>
    <s v="19.01"/>
    <s v="Monterrey"/>
    <s v="19026"/>
    <s v="Guadalupe"/>
    <x v="9"/>
    <x v="36"/>
    <n v="2.7052464454976302"/>
    <n v="2.393118483412322"/>
    <n v="0.76073459715639835"/>
    <n v="2773.389298578199"/>
    <n v="117.20191943127965"/>
    <n v="211.54771563981035"/>
    <n v="2.7287488151658765"/>
    <s v="Estatal"/>
  </r>
  <r>
    <x v="2"/>
    <s v="Nuevo León"/>
    <s v="19"/>
    <s v="19.01"/>
    <s v="Monterrey"/>
    <s v="19026"/>
    <s v="Guadalupe"/>
    <x v="9"/>
    <x v="37"/>
    <n v="137.68564029811205"/>
    <n v="121.80180375696145"/>
    <n v="7.2628710273140999"/>
    <n v="18939.530874230335"/>
    <n v="5047.4058792201213"/>
    <n v="1667.5410678222429"/>
    <n v="27.648855418709157"/>
    <s v="Estatal"/>
  </r>
  <r>
    <x v="2"/>
    <s v="Nuevo León"/>
    <s v="19"/>
    <s v="19.01"/>
    <s v="Monterrey"/>
    <s v="19026"/>
    <s v="Guadalupe"/>
    <x v="9"/>
    <x v="38"/>
    <n v="8.2532826261008818"/>
    <n v="7.3014411529223393"/>
    <n v="1.4254203362690154"/>
    <n v="3591.6174285420502"/>
    <n v="1766.0593411817695"/>
    <n v="165.36732052308514"/>
    <n v="3.9967742544431539"/>
    <s v="Estatal"/>
  </r>
  <r>
    <x v="2"/>
    <s v="Nuevo León"/>
    <s v="19"/>
    <s v="19.01"/>
    <s v="Monterrey"/>
    <s v="19026"/>
    <s v="Guadalupe"/>
    <x v="9"/>
    <x v="39"/>
    <n v="22.64189393317681"/>
    <n v="20.073789805927998"/>
    <n v="2.6156163938912216"/>
    <n v="5131.4822126926383"/>
    <n v="1145.055453911634"/>
    <n v="558.70413401144924"/>
    <n v="7.9862597459887876"/>
    <s v="Estatal"/>
  </r>
  <r>
    <x v="2"/>
    <s v="Nuevo León"/>
    <s v="19"/>
    <s v="19.01"/>
    <s v="Monterrey"/>
    <s v="19026"/>
    <s v="Guadalupe"/>
    <x v="9"/>
    <x v="40"/>
    <n v="1.2284080364271996E-2"/>
    <n v="1.0841291932619856E-2"/>
    <n v="1.03414034424059E-3"/>
    <n v="1.9369488624575883"/>
    <n v="0.48641577642472567"/>
    <n v="0.17019518687665131"/>
    <n v="3.8102893890675244E-3"/>
    <s v="Estatal"/>
  </r>
  <r>
    <x v="2"/>
    <s v="Nuevo León"/>
    <s v="19"/>
    <s v="19.01"/>
    <s v="Monterrey"/>
    <s v="19026"/>
    <s v="Guadalupe"/>
    <x v="9"/>
    <x v="41"/>
    <n v="48.869717848791893"/>
    <n v="44.95943257989088"/>
    <n v="0.75342166796570542"/>
    <n v="1237.7837225253313"/>
    <n v="685.73021667965713"/>
    <n v="882.07230553390502"/>
    <n v="1.3454341387373341"/>
    <s v="Federal"/>
  </r>
  <r>
    <x v="2"/>
    <s v="Nuevo León"/>
    <s v="19"/>
    <s v="19.01"/>
    <s v="Monterrey"/>
    <s v="19026"/>
    <s v="Guadalupe"/>
    <x v="9"/>
    <x v="42"/>
    <n v="50.398099774139567"/>
    <n v="46.31403890663826"/>
    <n v="1.658581425688914"/>
    <n v="3251.5593944535294"/>
    <n v="952.51191173101006"/>
    <n v="1796.3394962574446"/>
    <n v="3.7809609100248052"/>
    <s v="Federal"/>
  </r>
  <r>
    <x v="2"/>
    <s v="Nuevo León"/>
    <s v="19"/>
    <s v="19.01"/>
    <s v="Monterrey"/>
    <s v="19026"/>
    <s v="Guadalupe"/>
    <x v="9"/>
    <x v="43"/>
    <n v="60.94302585390723"/>
    <n v="56.065276964532806"/>
    <n v="1.2736873497924404"/>
    <n v="2443.8131546136478"/>
    <n v="1073.9557855946396"/>
    <n v="2016.0363954555382"/>
    <n v="3.0164456339669359"/>
    <s v="Federal"/>
  </r>
  <r>
    <x v="2"/>
    <s v="Nuevo León"/>
    <s v="19"/>
    <s v="19.01"/>
    <s v="Monterrey"/>
    <s v="19026"/>
    <s v="Guadalupe"/>
    <x v="9"/>
    <x v="44"/>
    <n v="71.817987819268083"/>
    <n v="63.778191187713503"/>
    <n v="4.4263249768743975"/>
    <n v="11387.305140123954"/>
    <n v="2397.9096661473186"/>
    <n v="1287.854551978342"/>
    <n v="15.529640580533755"/>
    <s v="Estatal"/>
  </r>
  <r>
    <x v="2"/>
    <s v="Nuevo León"/>
    <s v="19"/>
    <s v="19.01"/>
    <s v="Monterrey"/>
    <s v="19047"/>
    <s v="Hidalgo"/>
    <x v="9"/>
    <x v="36"/>
    <n v="9.9330568720379132E-3"/>
    <n v="8.7869931542917338E-3"/>
    <n v="2.7932464454976315E-3"/>
    <n v="10.183262111637704"/>
    <n v="0.43033910391434083"/>
    <n v="0.77675566087414405"/>
    <n v="1.0019352290679306E-2"/>
    <s v="Estatal"/>
  </r>
  <r>
    <x v="2"/>
    <s v="Nuevo León"/>
    <s v="19"/>
    <s v="19.01"/>
    <s v="Monterrey"/>
    <s v="19047"/>
    <s v="Hidalgo"/>
    <x v="9"/>
    <x v="37"/>
    <n v="2.2008475648443833"/>
    <n v="1.946936114686117"/>
    <n v="0.11606817199059823"/>
    <n v="302.59303911190028"/>
    <n v="80.634342556783963"/>
    <n v="26.658540202336415"/>
    <n v="0.44191591213823678"/>
    <s v="Estatal"/>
  </r>
  <r>
    <x v="2"/>
    <s v="Nuevo León"/>
    <s v="19"/>
    <s v="19.01"/>
    <s v="Monterrey"/>
    <s v="19047"/>
    <s v="Hidalgo"/>
    <x v="9"/>
    <x v="38"/>
    <n v="5.7843519259852316E-2"/>
    <n v="5.1172493550395881E-2"/>
    <n v="9.9901254336802782E-3"/>
    <n v="25.171587291254351"/>
    <n v="12.376023912383518"/>
    <n v="1.1589846395635028"/>
    <n v="2.80056703029073E-2"/>
    <s v="Estatal"/>
  </r>
  <r>
    <x v="2"/>
    <s v="Nuevo León"/>
    <s v="19"/>
    <s v="19.01"/>
    <s v="Monterrey"/>
    <s v="19047"/>
    <s v="Hidalgo"/>
    <x v="9"/>
    <x v="39"/>
    <n v="0.32018373179875109"/>
    <n v="0.28330849486658521"/>
    <n v="3.8772616538448622E-2"/>
    <n v="76.217628130619715"/>
    <n v="16.910613781082777"/>
    <n v="8.3011625558109792"/>
    <n v="0.11807695960929987"/>
    <s v="Estatal"/>
  </r>
  <r>
    <x v="2"/>
    <s v="Nuevo León"/>
    <s v="19"/>
    <s v="19.01"/>
    <s v="Monterrey"/>
    <s v="19047"/>
    <s v="Hidalgo"/>
    <x v="9"/>
    <x v="40"/>
    <n v="5.3231014911845308E-2"/>
    <n v="4.6978931708019381E-2"/>
    <n v="4.4812748250425572E-3"/>
    <n v="8.3934450706495483"/>
    <n v="2.1078016978404781"/>
    <n v="0.73751247646548901"/>
    <n v="1.6511254019292605E-2"/>
    <s v="Estatal"/>
  </r>
  <r>
    <x v="2"/>
    <s v="Nuevo León"/>
    <s v="19"/>
    <s v="19.01"/>
    <s v="Monterrey"/>
    <s v="19047"/>
    <s v="Hidalgo"/>
    <x v="9"/>
    <x v="41"/>
    <n v="2.3440416991426347"/>
    <n v="2.1564844115354642"/>
    <n v="3.6137957911145754E-2"/>
    <n v="59.370440179267341"/>
    <n v="32.891129579111457"/>
    <n v="42.308700701480909"/>
    <n v="6.4533904910366313E-2"/>
    <s v="Federal"/>
  </r>
  <r>
    <x v="2"/>
    <s v="Nuevo León"/>
    <s v="19"/>
    <s v="19.01"/>
    <s v="Monterrey"/>
    <s v="19047"/>
    <s v="Hidalgo"/>
    <x v="9"/>
    <x v="42"/>
    <n v="0.8506415728856962"/>
    <n v="0.78158484706461995"/>
    <n v="2.8833895797863336E-2"/>
    <n v="58.768075432354657"/>
    <n v="16.041187144494121"/>
    <n v="31.493228522689424"/>
    <n v="6.2838729227176662E-2"/>
    <s v="Federal"/>
  </r>
  <r>
    <x v="2"/>
    <s v="Nuevo León"/>
    <s v="19"/>
    <s v="19.01"/>
    <s v="Monterrey"/>
    <s v="19047"/>
    <s v="Hidalgo"/>
    <x v="9"/>
    <x v="43"/>
    <n v="5.1255698783773958E-2"/>
    <n v="4.7153302745612115E-2"/>
    <n v="1.0712256936858202E-3"/>
    <n v="2.0553516859660625"/>
    <n v="0.90324288107202655"/>
    <n v="1.6955730828053308"/>
    <n v="2.5369601631345133E-3"/>
    <s v="Federal"/>
  </r>
  <r>
    <x v="2"/>
    <s v="Nuevo León"/>
    <s v="19"/>
    <s v="19.01"/>
    <s v="Monterrey"/>
    <s v="19047"/>
    <s v="Hidalgo"/>
    <x v="9"/>
    <x v="44"/>
    <n v="1.6843653333937181"/>
    <n v="1.4940286212564775"/>
    <n v="0.10786884488258133"/>
    <n v="282.05436516969905"/>
    <n v="58.674838052238016"/>
    <n v="32.319758330535556"/>
    <n v="0.37273408862748858"/>
    <s v="Estatal"/>
  </r>
  <r>
    <x v="2"/>
    <s v="Nuevo León"/>
    <s v="19"/>
    <s v="19.01"/>
    <s v="Monterrey"/>
    <s v="19031"/>
    <s v="Juárez"/>
    <x v="9"/>
    <x v="36"/>
    <n v="0.72727251184834119"/>
    <n v="0.64336071616640345"/>
    <n v="0.20451421800947872"/>
    <n v="745.59188678251701"/>
    <n v="31.508306564858696"/>
    <n v="56.872023170089506"/>
    <n v="0.73359083728278052"/>
    <s v="Estatal"/>
  </r>
  <r>
    <x v="2"/>
    <s v="Nuevo León"/>
    <s v="19"/>
    <s v="19.01"/>
    <s v="Monterrey"/>
    <s v="19031"/>
    <s v="Juárez"/>
    <x v="9"/>
    <x v="37"/>
    <n v="23.275156563721293"/>
    <n v="20.589995935986995"/>
    <n v="1.2276403418062465"/>
    <n v="3200.9800914359948"/>
    <n v="853.03299957435888"/>
    <n v="281.90673330723746"/>
    <n v="4.6737401535163325"/>
    <s v="Estatal"/>
  </r>
  <r>
    <x v="2"/>
    <s v="Nuevo León"/>
    <s v="19"/>
    <s v="19.01"/>
    <s v="Monterrey"/>
    <s v="19031"/>
    <s v="Juárez"/>
    <x v="9"/>
    <x v="38"/>
    <n v="1.004502090561338"/>
    <n v="0.88865403433858214"/>
    <n v="0.17348705631171607"/>
    <n v="437.12610125300239"/>
    <n v="214.92022013700162"/>
    <n v="20.12675764315156"/>
    <n v="0.48634237208951214"/>
    <s v="Estatal"/>
  </r>
  <r>
    <x v="2"/>
    <s v="Nuevo León"/>
    <s v="19"/>
    <s v="19.01"/>
    <s v="Monterrey"/>
    <s v="19031"/>
    <s v="Juárez"/>
    <x v="9"/>
    <x v="39"/>
    <n v="3.3249471518154654"/>
    <n v="2.9442816554195375"/>
    <n v="0.39540384646450966"/>
    <n v="776.68050054583875"/>
    <n v="172.69505301655136"/>
    <n v="84.58117633494642"/>
    <n v="1.2053161183936045"/>
    <s v="Estatal"/>
  </r>
  <r>
    <x v="2"/>
    <s v="Nuevo León"/>
    <s v="19"/>
    <s v="19.01"/>
    <s v="Monterrey"/>
    <s v="19031"/>
    <s v="Juárez"/>
    <x v="9"/>
    <x v="40"/>
    <n v="4.0946934547573316E-3"/>
    <n v="3.6137639775399525E-3"/>
    <n v="3.4471344808019672E-4"/>
    <n v="0.64564962081919597"/>
    <n v="0.16213859214157525"/>
    <n v="5.673172895888378E-2"/>
    <n v="1.270096463022508E-3"/>
    <s v="Estatal"/>
  </r>
  <r>
    <x v="2"/>
    <s v="Nuevo León"/>
    <s v="19"/>
    <s v="19.01"/>
    <s v="Monterrey"/>
    <s v="19031"/>
    <s v="Juárez"/>
    <x v="9"/>
    <x v="41"/>
    <n v="5.9666515978176156"/>
    <n v="5.4892330475448166"/>
    <n v="9.1987529228371029E-2"/>
    <n v="151.12475681995323"/>
    <n v="83.722875292283717"/>
    <n v="107.69487451286048"/>
    <n v="0.16426812159002332"/>
    <s v="Federal"/>
  </r>
  <r>
    <x v="2"/>
    <s v="Nuevo León"/>
    <s v="19"/>
    <s v="19.01"/>
    <s v="Monterrey"/>
    <s v="19031"/>
    <s v="Juárez"/>
    <x v="9"/>
    <x v="42"/>
    <n v="5.4923877954336922"/>
    <n v="5.0461469501829725"/>
    <n v="0.1885964182423743"/>
    <n v="393.23601215533682"/>
    <n v="104.0526030196812"/>
    <n v="206.73146543687898"/>
    <n v="0.41575515752525788"/>
    <s v="Federal"/>
  </r>
  <r>
    <x v="2"/>
    <s v="Nuevo León"/>
    <s v="19"/>
    <s v="19.01"/>
    <s v="Monterrey"/>
    <s v="19031"/>
    <s v="Juárez"/>
    <x v="9"/>
    <x v="43"/>
    <n v="4.2798508484451254"/>
    <n v="3.9373007792586119"/>
    <n v="8.9447345422766E-2"/>
    <n v="171.62186577816618"/>
    <n v="75.420780569514221"/>
    <n v="141.58035241424511"/>
    <n v="0.21183617362173185"/>
    <s v="Federal"/>
  </r>
  <r>
    <x v="2"/>
    <s v="Nuevo León"/>
    <s v="19"/>
    <s v="19.01"/>
    <s v="Monterrey"/>
    <s v="19031"/>
    <s v="Juárez"/>
    <x v="9"/>
    <x v="44"/>
    <n v="10.547873292875977"/>
    <n v="9.3569113380183424"/>
    <n v="0.67574973331707699"/>
    <n v="1762.9741195574347"/>
    <n v="367.31977709103444"/>
    <n v="201.10133230697087"/>
    <n v="2.3676535551939772"/>
    <s v="Estatal"/>
  </r>
  <r>
    <x v="2"/>
    <s v="Nuevo León"/>
    <s v="19"/>
    <s v="19.01"/>
    <s v="Monterrey"/>
    <s v="19039"/>
    <s v="Monterrey"/>
    <x v="9"/>
    <x v="36"/>
    <n v="6.422800947867298"/>
    <n v="5.6817461822011586"/>
    <n v="1.8061374407582942"/>
    <n v="6584.5858314902589"/>
    <n v="278.26100667017727"/>
    <n v="502.25696471827263"/>
    <n v="6.4786003159557666"/>
    <s v="Estatal"/>
  </r>
  <r>
    <x v="2"/>
    <s v="Nuevo León"/>
    <s v="19"/>
    <s v="19.01"/>
    <s v="Monterrey"/>
    <s v="19039"/>
    <s v="Monterrey"/>
    <x v="9"/>
    <x v="37"/>
    <n v="283.33257601289552"/>
    <n v="250.64683444920809"/>
    <n v="14.946337878407105"/>
    <n v="38977.848295068274"/>
    <n v="10387.814220472726"/>
    <n v="3431.4140008014069"/>
    <n v="56.897411003956726"/>
    <s v="Estatal"/>
  </r>
  <r>
    <x v="2"/>
    <s v="Nuevo León"/>
    <s v="19"/>
    <s v="19.01"/>
    <s v="Monterrey"/>
    <s v="19039"/>
    <s v="Monterrey"/>
    <x v="9"/>
    <x v="38"/>
    <n v="18.013318388043764"/>
    <n v="15.935863357352551"/>
    <n v="3.1110712570056047"/>
    <n v="7838.903448667781"/>
    <n v="3854.4283369510817"/>
    <n v="360.92477751089768"/>
    <n v="8.7295269668881925"/>
    <s v="Estatal"/>
  </r>
  <r>
    <x v="2"/>
    <s v="Nuevo León"/>
    <s v="19"/>
    <s v="19.01"/>
    <s v="Monterrey"/>
    <s v="19039"/>
    <s v="Monterrey"/>
    <x v="9"/>
    <x v="39"/>
    <n v="54.363232334453862"/>
    <n v="48.245606008613564"/>
    <n v="6.1256298286440432"/>
    <n v="12004.502106576778"/>
    <n v="2687.0794149516978"/>
    <n v="1306.791983426634"/>
    <n v="18.730143517008511"/>
    <s v="Estatal"/>
  </r>
  <r>
    <x v="2"/>
    <s v="Nuevo León"/>
    <s v="19"/>
    <s v="19.01"/>
    <s v="Monterrey"/>
    <s v="19039"/>
    <s v="Monterrey"/>
    <x v="9"/>
    <x v="40"/>
    <n v="1.0277680571440904"/>
    <n v="0.90705475836252802"/>
    <n v="8.6523075468129373E-2"/>
    <n v="162.05805482561823"/>
    <n v="40.696786627535388"/>
    <n v="14.239663968679825"/>
    <n v="0.31879421221864956"/>
    <s v="Estatal"/>
  </r>
  <r>
    <x v="2"/>
    <s v="Nuevo León"/>
    <s v="19"/>
    <s v="19.01"/>
    <s v="Monterrey"/>
    <s v="19039"/>
    <s v="Monterrey"/>
    <x v="9"/>
    <x v="41"/>
    <n v="157.33492010911928"/>
    <n v="144.74584762275919"/>
    <n v="2.42562353858145"/>
    <n v="3985.0159090023385"/>
    <n v="2207.6924853858145"/>
    <n v="2839.8112743569759"/>
    <n v="4.3315939204988299"/>
    <s v="Federal"/>
  </r>
  <r>
    <x v="2"/>
    <s v="Nuevo León"/>
    <s v="19"/>
    <s v="19.01"/>
    <s v="Monterrey"/>
    <s v="19039"/>
    <s v="Monterrey"/>
    <x v="9"/>
    <x v="42"/>
    <n v="137.89427137765793"/>
    <n v="126.73220960870539"/>
    <n v="4.454578231738207"/>
    <n v="8476.0738606283085"/>
    <n v="2602.2547121571047"/>
    <n v="4798.2759583625184"/>
    <n v="10.273000329424653"/>
    <s v="Federal"/>
  </r>
  <r>
    <x v="2"/>
    <s v="Nuevo León"/>
    <s v="19"/>
    <s v="19.01"/>
    <s v="Monterrey"/>
    <s v="19039"/>
    <s v="Monterrey"/>
    <x v="9"/>
    <x v="43"/>
    <n v="194.1822148423276"/>
    <n v="178.64028745175148"/>
    <n v="4.0583385405287302"/>
    <n v="7786.6998622824258"/>
    <n v="3421.9356549413724"/>
    <n v="6423.6786242079961"/>
    <n v="9.6112735780351013"/>
    <s v="Federal"/>
  </r>
  <r>
    <x v="2"/>
    <s v="Nuevo León"/>
    <s v="19"/>
    <s v="19.01"/>
    <s v="Monterrey"/>
    <s v="19039"/>
    <s v="Monterrey"/>
    <x v="9"/>
    <x v="44"/>
    <n v="181.24213575010543"/>
    <n v="161.09717730154864"/>
    <n v="10.796012345557479"/>
    <n v="27565.986699111352"/>
    <n v="5854.010096446782"/>
    <n v="3105.1725827879309"/>
    <n v="37.839923777360539"/>
    <s v="Estatal"/>
  </r>
  <r>
    <x v="2"/>
    <s v="Nuevo León"/>
    <s v="19"/>
    <s v="19.01"/>
    <s v="Monterrey"/>
    <s v="19041"/>
    <s v="Pesquería"/>
    <x v="9"/>
    <x v="36"/>
    <n v="7.9032582938388621E-2"/>
    <n v="6.9913902053712493E-2"/>
    <n v="2.2224526066350715E-2"/>
    <n v="81.023346366508704"/>
    <n v="3.424002435492365"/>
    <n v="6.1802733017377554"/>
    <n v="7.9719194312796227E-2"/>
    <s v="Estatal"/>
  </r>
  <r>
    <x v="2"/>
    <s v="Nuevo León"/>
    <s v="19"/>
    <s v="19.01"/>
    <s v="Monterrey"/>
    <s v="19041"/>
    <s v="Pesquería"/>
    <x v="9"/>
    <x v="37"/>
    <n v="2.1533387129319301"/>
    <n v="1.9049083518218726"/>
    <n v="0.11356265289743908"/>
    <n v="296.06107928217773"/>
    <n v="78.893719943577622"/>
    <n v="26.083072523926564"/>
    <n v="0.43237644290697419"/>
    <s v="Estatal"/>
  </r>
  <r>
    <x v="2"/>
    <s v="Nuevo León"/>
    <s v="19"/>
    <s v="19.01"/>
    <s v="Monterrey"/>
    <s v="19041"/>
    <s v="Pesquería"/>
    <x v="9"/>
    <x v="38"/>
    <n v="0.11286540343385819"/>
    <n v="9.9848767903211469E-2"/>
    <n v="1.9492927675473712E-2"/>
    <n v="49.115292275618238"/>
    <n v="24.148339341236134"/>
    <n v="2.2614334430507368"/>
    <n v="5.4645210347136201E-2"/>
    <s v="Estatal"/>
  </r>
  <r>
    <x v="2"/>
    <s v="Nuevo León"/>
    <s v="19"/>
    <s v="19.01"/>
    <s v="Monterrey"/>
    <s v="19041"/>
    <s v="Pesquería"/>
    <x v="9"/>
    <x v="39"/>
    <n v="0.31949811352937479"/>
    <n v="0.28270183856066106"/>
    <n v="3.8689591663633956E-2"/>
    <n v="76.054421218134465"/>
    <n v="16.874402616669318"/>
    <n v="8.2833870471261601"/>
    <n v="0.11782411815403369"/>
    <s v="Estatal"/>
  </r>
  <r>
    <x v="2"/>
    <s v="Nuevo León"/>
    <s v="19"/>
    <s v="19.01"/>
    <s v="Monterrey"/>
    <s v="19041"/>
    <s v="Pesquería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41"/>
    <s v="Pesquería"/>
    <x v="9"/>
    <x v="41"/>
    <n v="3.8357045985970384"/>
    <n v="3.5287926734216688"/>
    <n v="5.9134840218238512E-2"/>
    <n v="97.151629384255656"/>
    <n v="53.82184840218239"/>
    <n v="69.232419329696029"/>
    <n v="0.10560093530787217"/>
    <s v="Federal"/>
  </r>
  <r>
    <x v="2"/>
    <s v="Nuevo León"/>
    <s v="19"/>
    <s v="19.01"/>
    <s v="Monterrey"/>
    <s v="19041"/>
    <s v="Pesquería"/>
    <x v="9"/>
    <x v="42"/>
    <n v="4.0522870583419701"/>
    <n v="3.7245290766021353"/>
    <n v="0.12914380425874422"/>
    <n v="237.7239322009448"/>
    <n v="75.948592603712129"/>
    <n v="138.54249781102232"/>
    <n v="0.2885738026207747"/>
    <s v="Federal"/>
  </r>
  <r>
    <x v="2"/>
    <s v="Nuevo León"/>
    <s v="19"/>
    <s v="19.01"/>
    <s v="Monterrey"/>
    <s v="19041"/>
    <s v="Pesquería"/>
    <x v="9"/>
    <x v="43"/>
    <n v="3.2547368727696462"/>
    <n v="2.9942347243463696"/>
    <n v="6.8022831549049603E-2"/>
    <n v="130.51483205884495"/>
    <n v="57.355922948073683"/>
    <n v="107.66889075813853"/>
    <n v="0.16109697035904161"/>
    <s v="Federal"/>
  </r>
  <r>
    <x v="2"/>
    <s v="Nuevo León"/>
    <s v="19"/>
    <s v="19.01"/>
    <s v="Monterrey"/>
    <s v="19041"/>
    <s v="Pesquería"/>
    <x v="9"/>
    <x v="44"/>
    <n v="1.9594715218572727"/>
    <n v="1.7387157632748904"/>
    <n v="0.12402535499230752"/>
    <n v="320.5635347377729"/>
    <n v="67.024150366534272"/>
    <n v="36.429847959311147"/>
    <n v="0.43059023456253354"/>
    <s v="Estatal"/>
  </r>
  <r>
    <x v="2"/>
    <s v="Nuevo León"/>
    <s v="19"/>
    <s v="19.01"/>
    <s v="Monterrey"/>
    <s v="19045"/>
    <s v="Salinas Victoria"/>
    <x v="9"/>
    <x v="36"/>
    <n v="6.1757701421800953E-2"/>
    <n v="5.4632174828857301E-2"/>
    <n v="1.7366706161137446E-2"/>
    <n v="63.31332530279095"/>
    <n v="2.6755866025978592"/>
    <n v="4.8293938915218524"/>
    <n v="6.2294233807266987E-2"/>
    <s v="Estatal"/>
  </r>
  <r>
    <x v="2"/>
    <s v="Nuevo León"/>
    <s v="19"/>
    <s v="19.01"/>
    <s v="Monterrey"/>
    <s v="19045"/>
    <s v="Salinas Victoria"/>
    <x v="9"/>
    <x v="37"/>
    <n v="3.1759667503474796"/>
    <n v="2.8095559474747316"/>
    <n v="0.16749395137769008"/>
    <n v="436.66151461695699"/>
    <n v="116.36062169284422"/>
    <n v="38.47001430169864"/>
    <n v="0.63771351810990018"/>
    <s v="Estatal"/>
  </r>
  <r>
    <x v="2"/>
    <s v="Nuevo León"/>
    <s v="19"/>
    <s v="19.01"/>
    <s v="Monterrey"/>
    <s v="19045"/>
    <s v="Salinas Victoria"/>
    <x v="9"/>
    <x v="38"/>
    <n v="0.21021181389556087"/>
    <n v="0.18596833021973133"/>
    <n v="3.6305577795569796E-2"/>
    <n v="91.477231863338972"/>
    <n v="44.976282023052299"/>
    <n v="4.2119197876819978"/>
    <n v="0.10177670427154116"/>
    <s v="Estatal"/>
  </r>
  <r>
    <x v="2"/>
    <s v="Nuevo León"/>
    <s v="19"/>
    <s v="19.01"/>
    <s v="Monterrey"/>
    <s v="19045"/>
    <s v="Salinas Victoria"/>
    <x v="9"/>
    <x v="39"/>
    <n v="0.51078561068537376"/>
    <n v="0.45195894791350322"/>
    <n v="6.1853531736925531E-2"/>
    <n v="121.58914980152397"/>
    <n v="26.977317488022845"/>
    <n v="13.242753970190963"/>
    <n v="0.18836688417329422"/>
    <s v="Estatal"/>
  </r>
  <r>
    <x v="2"/>
    <s v="Nuevo León"/>
    <s v="19"/>
    <s v="19.01"/>
    <s v="Monterrey"/>
    <s v="19045"/>
    <s v="Salinas Victoria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45"/>
    <s v="Salinas Victoria"/>
    <x v="9"/>
    <x v="41"/>
    <n v="3.9067361652377248"/>
    <n v="3.5941406858924405"/>
    <n v="6.0229929851909586E-2"/>
    <n v="98.950733632112247"/>
    <n v="54.818549298519102"/>
    <n v="70.514501169134846"/>
    <n v="0.10755650818394388"/>
    <s v="Federal"/>
  </r>
  <r>
    <x v="2"/>
    <s v="Nuevo León"/>
    <s v="19"/>
    <s v="19.01"/>
    <s v="Monterrey"/>
    <s v="19045"/>
    <s v="Salinas Victoria"/>
    <x v="9"/>
    <x v="42"/>
    <n v="2.6630311974330301"/>
    <n v="2.4470818443596953"/>
    <n v="8.8639940733696562E-2"/>
    <n v="176.16816981233981"/>
    <n v="50.268750729735061"/>
    <n v="96.317347188433601"/>
    <n v="0.19745867371164513"/>
    <s v="Federal"/>
  </r>
  <r>
    <x v="2"/>
    <s v="Nuevo León"/>
    <s v="19"/>
    <s v="19.01"/>
    <s v="Monterrey"/>
    <s v="19045"/>
    <s v="Salinas Victoria"/>
    <x v="9"/>
    <x v="43"/>
    <n v="2.332134294661715"/>
    <n v="2.1454752749253512"/>
    <n v="4.8740769062704831E-2"/>
    <n v="93.518501711455826"/>
    <n v="41.097551088777216"/>
    <n v="77.148575267642556"/>
    <n v="0.11543168742262035"/>
    <s v="Federal"/>
  </r>
  <r>
    <x v="2"/>
    <s v="Nuevo León"/>
    <s v="19"/>
    <s v="19.01"/>
    <s v="Monterrey"/>
    <s v="19045"/>
    <s v="Salinas Victoria"/>
    <x v="9"/>
    <x v="44"/>
    <n v="2.6531164558240921"/>
    <n v="2.3540175548707438"/>
    <n v="0.16774606223963279"/>
    <n v="436.72417716453674"/>
    <n v="91.267389641819562"/>
    <n v="49.857621410818574"/>
    <n v="0.58329256980131627"/>
    <s v="Estatal"/>
  </r>
  <r>
    <x v="2"/>
    <s v="Nuevo León"/>
    <s v="19"/>
    <s v="19.01"/>
    <s v="Monterrey"/>
    <s v="19046"/>
    <s v="San Nicolás de los Garza"/>
    <x v="9"/>
    <x v="36"/>
    <n v="2.0656439573459715"/>
    <n v="1.8273125329120592"/>
    <n v="0.58087381516587688"/>
    <n v="2117.6757686940496"/>
    <n v="89.491823218360551"/>
    <n v="161.53140547656659"/>
    <n v="2.0835896524486572"/>
    <s v="Estatal"/>
  </r>
  <r>
    <x v="2"/>
    <s v="Nuevo León"/>
    <s v="19"/>
    <s v="19.01"/>
    <s v="Monterrey"/>
    <s v="19046"/>
    <s v="San Nicolás de los Garza"/>
    <x v="9"/>
    <x v="37"/>
    <n v="119.7774161729802"/>
    <n v="105.95959207432429"/>
    <n v="6.3183303378441851"/>
    <n v="16476.782159129958"/>
    <n v="4391.1112046017979"/>
    <n v="1450.6350212577224"/>
    <n v="24.05285037464963"/>
    <s v="Estatal"/>
  </r>
  <r>
    <x v="2"/>
    <s v="Nuevo León"/>
    <s v="19"/>
    <s v="19.01"/>
    <s v="Monterrey"/>
    <s v="19046"/>
    <s v="San Nicolás de los Garza"/>
    <x v="9"/>
    <x v="38"/>
    <n v="6.8029621919758014"/>
    <n v="6.018384485366072"/>
    <n v="1.1749362156391783"/>
    <n v="2960.42424191289"/>
    <n v="1455.5411537930081"/>
    <n v="136.30790077988314"/>
    <n v="3.2937400536736345"/>
    <s v="Estatal"/>
  </r>
  <r>
    <x v="2"/>
    <s v="Nuevo León"/>
    <s v="19"/>
    <s v="19.01"/>
    <s v="Monterrey"/>
    <s v="19046"/>
    <s v="San Nicolás de los Garza"/>
    <x v="9"/>
    <x v="39"/>
    <n v="19.657736656218571"/>
    <n v="17.433108970771219"/>
    <n v="2.2549074702557741"/>
    <n v="4422.4420732064791"/>
    <n v="987.6796426002079"/>
    <n v="481.4836100091415"/>
    <n v="6.8872584783307103"/>
    <s v="Estatal"/>
  </r>
  <r>
    <x v="2"/>
    <s v="Nuevo León"/>
    <s v="19"/>
    <s v="19.01"/>
    <s v="Monterrey"/>
    <s v="19046"/>
    <s v="San Nicolás de los Garza"/>
    <x v="9"/>
    <x v="40"/>
    <n v="1.6378773819029326E-2"/>
    <n v="1.445505591015981E-2"/>
    <n v="1.3788537923207869E-3"/>
    <n v="2.5825984832767839"/>
    <n v="0.648554368566301"/>
    <n v="0.22692691583553512"/>
    <n v="5.080385852090032E-3"/>
    <s v="Estatal"/>
  </r>
  <r>
    <x v="2"/>
    <s v="Nuevo León"/>
    <s v="19"/>
    <s v="19.01"/>
    <s v="Monterrey"/>
    <s v="19046"/>
    <s v="San Nicolás de los Garza"/>
    <x v="9"/>
    <x v="41"/>
    <n v="48.230433749025728"/>
    <n v="44.371300467653938"/>
    <n v="0.74356586126266566"/>
    <n v="1221.5917842946221"/>
    <n v="676.75990861262665"/>
    <n v="870.5335689789556"/>
    <n v="1.3278339828526888"/>
    <s v="Federal"/>
  </r>
  <r>
    <x v="2"/>
    <s v="Nuevo León"/>
    <s v="19"/>
    <s v="19.01"/>
    <s v="Monterrey"/>
    <s v="19046"/>
    <s v="San Nicolás de los Garza"/>
    <x v="9"/>
    <x v="42"/>
    <n v="52.23749286614629"/>
    <n v="48.012311441644087"/>
    <n v="1.6654312084913949"/>
    <n v="3091.2152221816982"/>
    <n v="983.49875478445324"/>
    <n v="1786.849471280018"/>
    <n v="3.8332691363469404"/>
    <s v="Federal"/>
  </r>
  <r>
    <x v="2"/>
    <s v="Nuevo León"/>
    <s v="19"/>
    <s v="19.01"/>
    <s v="Monterrey"/>
    <s v="19046"/>
    <s v="San Nicolás de los Garza"/>
    <x v="9"/>
    <x v="43"/>
    <n v="61.122420799650442"/>
    <n v="56.230313524142453"/>
    <n v="1.2774366397203409"/>
    <n v="2451.0068855145291"/>
    <n v="1077.1171356783918"/>
    <n v="2021.9709012453568"/>
    <n v="3.025324994537907"/>
    <s v="Federal"/>
  </r>
  <r>
    <x v="2"/>
    <s v="Nuevo León"/>
    <s v="19"/>
    <s v="19.01"/>
    <s v="Monterrey"/>
    <s v="19046"/>
    <s v="San Nicolás de los Garza"/>
    <x v="9"/>
    <x v="44"/>
    <n v="63.277507209910695"/>
    <n v="56.228630619457817"/>
    <n v="3.8079570540281908"/>
    <n v="9774.0779157685902"/>
    <n v="2069.1985257677047"/>
    <n v="1104.3946618321413"/>
    <n v="13.356424236614178"/>
    <s v="Estatal"/>
  </r>
  <r>
    <x v="2"/>
    <s v="Nuevo León"/>
    <s v="19"/>
    <s v="19.01"/>
    <s v="Monterrey"/>
    <s v="19019"/>
    <s v="San Pedro Garza García"/>
    <x v="9"/>
    <x v="36"/>
    <n v="1.2597707345971565"/>
    <n v="1.1144199578725646"/>
    <n v="0.35425651658767776"/>
    <n v="1291.5032860716167"/>
    <n v="54.578224613831857"/>
    <n v="98.512880989994699"/>
    <n v="1.2707152448657189"/>
    <s v="Estatal"/>
  </r>
  <r>
    <x v="2"/>
    <s v="Nuevo León"/>
    <s v="19"/>
    <s v="19.01"/>
    <s v="Monterrey"/>
    <s v="19019"/>
    <s v="San Pedro Garza García"/>
    <x v="9"/>
    <x v="37"/>
    <n v="49.850610212801726"/>
    <n v="44.099851489602152"/>
    <n v="2.6298792298915719"/>
    <n v="6858.8468920425757"/>
    <n v="1827.9656588465632"/>
    <n v="603.71322197795644"/>
    <n v="10.010997578335925"/>
    <s v="Estatal"/>
  </r>
  <r>
    <x v="2"/>
    <s v="Nuevo León"/>
    <s v="19"/>
    <s v="19.01"/>
    <s v="Monterrey"/>
    <s v="19019"/>
    <s v="San Pedro Garza García"/>
    <x v="9"/>
    <x v="38"/>
    <n v="2.086599145983453"/>
    <n v="1.845954096610622"/>
    <n v="0.36037550040032029"/>
    <n v="908.01896594549248"/>
    <n v="446.44242357110295"/>
    <n v="41.808250778400499"/>
    <n v="1.0102533262926805"/>
    <s v="Estatal"/>
  </r>
  <r>
    <x v="2"/>
    <s v="Nuevo León"/>
    <s v="19"/>
    <s v="19.01"/>
    <s v="Monterrey"/>
    <s v="19019"/>
    <s v="San Pedro Garza García"/>
    <x v="9"/>
    <x v="39"/>
    <n v="13.837696104377855"/>
    <n v="12.292829716385858"/>
    <n v="1.5198944841664808"/>
    <n v="2975.0724036216957"/>
    <n v="668.07703759752587"/>
    <n v="323.80794955860614"/>
    <n v="4.6537444672757795"/>
    <s v="Estatal"/>
  </r>
  <r>
    <x v="2"/>
    <s v="Nuevo León"/>
    <s v="19"/>
    <s v="19.01"/>
    <s v="Monterrey"/>
    <s v="19019"/>
    <s v="San Pedro Garza García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19"/>
    <s v="San Pedro Garza García"/>
    <x v="9"/>
    <x v="41"/>
    <n v="9.8733877630553408"/>
    <n v="9.0833737334372575"/>
    <n v="0.15221745908028059"/>
    <n v="250.07549045206548"/>
    <n v="138.54142459080282"/>
    <n v="178.20937568199534"/>
    <n v="0.27182462977396721"/>
    <s v="Federal"/>
  </r>
  <r>
    <x v="2"/>
    <s v="Nuevo León"/>
    <s v="19"/>
    <s v="19.01"/>
    <s v="Monterrey"/>
    <s v="19019"/>
    <s v="San Pedro Garza García"/>
    <x v="9"/>
    <x v="42"/>
    <n v="15.005413460300881"/>
    <n v="13.788017374145033"/>
    <n v="0.50340880928494192"/>
    <n v="1013.948734396528"/>
    <n v="283.72953914861114"/>
    <n v="548.24030289911479"/>
    <n v="1.1229180378263879"/>
    <s v="Federal"/>
  </r>
  <r>
    <x v="2"/>
    <s v="Nuevo León"/>
    <s v="19"/>
    <s v="19.01"/>
    <s v="Monterrey"/>
    <s v="19019"/>
    <s v="San Pedro Garza García"/>
    <x v="9"/>
    <x v="43"/>
    <n v="32.701135824047782"/>
    <n v="30.083807151700533"/>
    <n v="0.68344199257155347"/>
    <n v="1311.3143756463478"/>
    <n v="576.26895812395276"/>
    <n v="1081.775626829801"/>
    <n v="1.6185805840798195"/>
    <s v="Federal"/>
  </r>
  <r>
    <x v="2"/>
    <s v="Nuevo León"/>
    <s v="19"/>
    <s v="19.01"/>
    <s v="Monterrey"/>
    <s v="19019"/>
    <s v="San Pedro Garza García"/>
    <x v="9"/>
    <x v="44"/>
    <n v="23.957896178322656"/>
    <n v="21.295421552455124"/>
    <n v="1.4250361535452116"/>
    <n v="3623.4531605726365"/>
    <n v="770.14596856345975"/>
    <n v="407.3780001716674"/>
    <n v="4.974254146858831"/>
    <s v="Estatal"/>
  </r>
  <r>
    <x v="2"/>
    <s v="Nuevo León"/>
    <s v="19"/>
    <s v="19.01"/>
    <s v="Monterrey"/>
    <s v="19048"/>
    <s v="Santa Catarina"/>
    <x v="9"/>
    <x v="36"/>
    <n v="0.80371386255924171"/>
    <n v="0.71098235913638774"/>
    <n v="0.22601007109004742"/>
    <n v="823.95872998946811"/>
    <n v="34.820046625416893"/>
    <n v="62.849664560294862"/>
    <n v="0.81069628751974721"/>
    <s v="Estatal"/>
  </r>
  <r>
    <x v="2"/>
    <s v="Nuevo León"/>
    <s v="19"/>
    <s v="19.01"/>
    <s v="Monterrey"/>
    <s v="19048"/>
    <s v="Santa Catarina"/>
    <x v="9"/>
    <x v="37"/>
    <n v="42.873032889104103"/>
    <n v="37.927038224440182"/>
    <n v="2.2614854076224353"/>
    <n v="5897.1561920516115"/>
    <n v="1571.5842847978804"/>
    <n v="519.25205290704162"/>
    <n v="8.6093160501482693"/>
    <s v="Estatal"/>
  </r>
  <r>
    <x v="2"/>
    <s v="Nuevo León"/>
    <s v="19"/>
    <s v="19.01"/>
    <s v="Monterrey"/>
    <s v="19048"/>
    <s v="Santa Catarina"/>
    <x v="9"/>
    <x v="38"/>
    <n v="3.1715178364914149"/>
    <n v="2.8057503780802429"/>
    <n v="0.54775126768081128"/>
    <n v="1380.1397129448726"/>
    <n v="678.56833548873522"/>
    <n v="63.54627974972572"/>
    <n v="1.5355304107545273"/>
    <s v="Estatal"/>
  </r>
  <r>
    <x v="2"/>
    <s v="Nuevo León"/>
    <s v="19"/>
    <s v="19.01"/>
    <s v="Monterrey"/>
    <s v="19048"/>
    <s v="Santa Catarina"/>
    <x v="9"/>
    <x v="39"/>
    <n v="7.0699520380532057"/>
    <n v="6.2666274704948277"/>
    <n v="0.82129826489614011"/>
    <n v="1611.6403197075058"/>
    <n v="359.36574850895835"/>
    <n v="175.48114773982275"/>
    <n v="2.5067708930004819"/>
    <s v="Estatal"/>
  </r>
  <r>
    <x v="2"/>
    <s v="Nuevo León"/>
    <s v="19"/>
    <s v="19.01"/>
    <s v="Monterrey"/>
    <s v="19048"/>
    <s v="Santa Catarina"/>
    <x v="9"/>
    <x v="40"/>
    <n v="0.24082297848464579"/>
    <n v="0.21784973844603345"/>
    <n v="9.0672404009835457E-3"/>
    <n v="15.890558824890702"/>
    <n v="4.7362240553679111"/>
    <n v="1.3989937888003614"/>
    <n v="3.5482315112540193E-2"/>
    <s v="Estatal"/>
  </r>
  <r>
    <x v="2"/>
    <s v="Nuevo León"/>
    <s v="19"/>
    <s v="19.01"/>
    <s v="Monterrey"/>
    <s v="19048"/>
    <s v="Santa Catarina"/>
    <x v="9"/>
    <x v="41"/>
    <n v="12.856713561964147"/>
    <n v="11.827990257209668"/>
    <n v="0.19821122369446612"/>
    <n v="325.63786886204213"/>
    <n v="180.40286223694466"/>
    <n v="232.05681293842554"/>
    <n v="0.35395869056897888"/>
    <s v="Federal"/>
  </r>
  <r>
    <x v="2"/>
    <s v="Nuevo León"/>
    <s v="19"/>
    <s v="19.01"/>
    <s v="Monterrey"/>
    <s v="19048"/>
    <s v="Santa Catarina"/>
    <x v="9"/>
    <x v="42"/>
    <n v="22.891480029849284"/>
    <n v="21.03489085140663"/>
    <n v="0.76386775762815207"/>
    <n v="1530.3607326023337"/>
    <n v="433.48498070597327"/>
    <n v="830.62582497573476"/>
    <n v="1.7300146862782866"/>
    <s v="Federal"/>
  </r>
  <r>
    <x v="2"/>
    <s v="Nuevo León"/>
    <s v="19"/>
    <s v="19.01"/>
    <s v="Monterrey"/>
    <s v="19048"/>
    <s v="Santa Catarina"/>
    <x v="9"/>
    <x v="43"/>
    <n v="61.327443594785528"/>
    <n v="56.418926735124913"/>
    <n v="1.2817215424950841"/>
    <n v="2459.2282922583931"/>
    <n v="1080.7301072026798"/>
    <n v="2028.7531935765785"/>
    <n v="3.0354728351904452"/>
    <s v="Federal"/>
  </r>
  <r>
    <x v="2"/>
    <s v="Nuevo León"/>
    <s v="19"/>
    <s v="19.01"/>
    <s v="Monterrey"/>
    <s v="19048"/>
    <s v="Santa Catarina"/>
    <x v="9"/>
    <x v="44"/>
    <n v="25.540898836705811"/>
    <n v="22.696006627049307"/>
    <n v="1.5388303917555981"/>
    <n v="3947.4999569706579"/>
    <n v="835.38560002345503"/>
    <n v="445.80963173668931"/>
    <n v="5.3977717604347628"/>
    <s v="Estatal"/>
  </r>
  <r>
    <x v="2"/>
    <s v="Nuevo León"/>
    <s v="19"/>
    <s v="19.01"/>
    <s v="Monterrey"/>
    <s v="19049"/>
    <s v="Santiago"/>
    <x v="9"/>
    <x v="36"/>
    <n v="0.20211611374407581"/>
    <n v="0.17879620853080569"/>
    <n v="5.6836492890995273E-2"/>
    <n v="207.20724644549765"/>
    <n v="8.7564652448657192"/>
    <n v="15.80528909952606"/>
    <n v="0.20387203791469197"/>
    <s v="Estatal"/>
  </r>
  <r>
    <x v="2"/>
    <s v="Nuevo León"/>
    <s v="19"/>
    <s v="19.01"/>
    <s v="Monterrey"/>
    <s v="19049"/>
    <s v="Santiago"/>
    <x v="9"/>
    <x v="37"/>
    <n v="10.443063212325072"/>
    <n v="9.2382995872752627"/>
    <n v="0.55083368383372577"/>
    <n v="1436.3128914278395"/>
    <n v="382.769593791658"/>
    <n v="126.48302106799169"/>
    <n v="2.0970341833446597"/>
    <s v="Estatal"/>
  </r>
  <r>
    <x v="2"/>
    <s v="Nuevo León"/>
    <s v="19"/>
    <s v="19.01"/>
    <s v="Monterrey"/>
    <s v="19049"/>
    <s v="Santiago"/>
    <x v="9"/>
    <x v="38"/>
    <n v="0.19751445600925185"/>
    <n v="0.17473534383062003"/>
    <n v="3.4112623432078992E-2"/>
    <n v="85.951761482331932"/>
    <n v="42.259593847163224"/>
    <n v="3.9575085253387896"/>
    <n v="9.5629118107488351E-2"/>
    <s v="Estatal"/>
  </r>
  <r>
    <x v="2"/>
    <s v="Nuevo León"/>
    <s v="19"/>
    <s v="19.01"/>
    <s v="Monterrey"/>
    <s v="19049"/>
    <s v="Santiago"/>
    <x v="9"/>
    <x v="39"/>
    <n v="1.8584322306057826"/>
    <n v="1.6478993987788189"/>
    <n v="0.21387257526364511"/>
    <n v="419.51286662087216"/>
    <n v="93.651560259906375"/>
    <n v="45.675097967886117"/>
    <n v="0.65312178071399885"/>
    <s v="Estatal"/>
  </r>
  <r>
    <x v="2"/>
    <s v="Nuevo León"/>
    <s v="19"/>
    <s v="19.01"/>
    <s v="Monterrey"/>
    <s v="19049"/>
    <s v="Santiago"/>
    <x v="9"/>
    <x v="40"/>
    <n v="0"/>
    <n v="0"/>
    <n v="0"/>
    <n v="0"/>
    <n v="0"/>
    <n v="0"/>
    <n v="0"/>
    <s v="Estatal"/>
  </r>
  <r>
    <x v="2"/>
    <s v="Nuevo León"/>
    <s v="19"/>
    <s v="19.01"/>
    <s v="Monterrey"/>
    <s v="19049"/>
    <s v="Santiago"/>
    <x v="9"/>
    <x v="41"/>
    <n v="3.1964204988308653"/>
    <n v="2.9406605611847243"/>
    <n v="4.9279033515198759E-2"/>
    <n v="80.959691153546387"/>
    <n v="44.851540335151988"/>
    <n v="57.693682774746698"/>
    <n v="8.8000779423226802E-2"/>
    <s v="Federal"/>
  </r>
  <r>
    <x v="2"/>
    <s v="Nuevo León"/>
    <s v="19"/>
    <s v="19.01"/>
    <s v="Monterrey"/>
    <s v="19049"/>
    <s v="Santiago"/>
    <x v="9"/>
    <x v="42"/>
    <n v="5.8713283099160556"/>
    <n v="5.3951022987205492"/>
    <n v="0.19617900219755277"/>
    <n v="393.09135622124046"/>
    <n v="111.08549806591337"/>
    <n v="213.40421412882012"/>
    <n v="0.44060353368520788"/>
    <s v="Federal"/>
  </r>
  <r>
    <x v="2"/>
    <s v="Nuevo León"/>
    <s v="19"/>
    <s v="19.01"/>
    <s v="Monterrey"/>
    <s v="19049"/>
    <s v="Santiago"/>
    <x v="9"/>
    <x v="43"/>
    <n v="26.217289927900374"/>
    <n v="24.1189143543806"/>
    <n v="0.54793194232029707"/>
    <n v="1051.3123873716409"/>
    <n v="462.00873366834156"/>
    <n v="867.28563185492692"/>
    <n v="1.2976551234433036"/>
    <s v="Federal"/>
  </r>
  <r>
    <x v="2"/>
    <s v="Nuevo León"/>
    <s v="19"/>
    <s v="19.01"/>
    <s v="Monterrey"/>
    <s v="19049"/>
    <s v="Santiago"/>
    <x v="9"/>
    <x v="44"/>
    <n v="6.7355948006515689"/>
    <n v="5.9814304941474719"/>
    <n v="0.4147663575187871"/>
    <n v="1088.9672963858432"/>
    <n v="228.19284707841405"/>
    <n v="124.9739997416943"/>
    <n v="1.4470586957048388"/>
    <s v="Estatal"/>
  </r>
  <r>
    <x v="3"/>
    <s v="Nuevo León"/>
    <s v="19"/>
    <s v="19.01"/>
    <s v="Monterrey"/>
    <s v="001"/>
    <s v="Abasolo"/>
    <x v="10"/>
    <x v="45"/>
    <n v="3.9502080000000009E-2"/>
    <n v="9.8949983431952677E-3"/>
    <n v="0.22439051360946749"/>
    <n v="0.19751040000000003"/>
    <n v="0.79004160000000012"/>
    <n v="7.9082073372781069E-3"/>
    <n v="3.15938726627219E-2"/>
    <s v="Estatal"/>
  </r>
  <r>
    <x v="3"/>
    <s v="Nuevo León"/>
    <s v="19"/>
    <s v="19.01"/>
    <s v="Monterrey"/>
    <s v="001"/>
    <s v="Abasolo"/>
    <x v="10"/>
    <x v="46"/>
    <n v="0.33290259999999999"/>
    <n v="0.25108930000000002"/>
    <n v="0"/>
    <n v="0.5494"/>
    <n v="0.96450000000000002"/>
    <n v="2.3800000000000002E-2"/>
    <n v="0"/>
    <s v="Estatal"/>
  </r>
  <r>
    <x v="3"/>
    <s v="Nuevo León"/>
    <s v="19"/>
    <s v="19.01"/>
    <s v="Monterrey"/>
    <s v="006"/>
    <s v="Apodaca"/>
    <x v="10"/>
    <x v="47"/>
    <n v="49.924619325619361"/>
    <n v="38.324904931539933"/>
    <n v="0.2707660950098853"/>
    <n v="25.457045602712785"/>
    <n v="31.603009471814918"/>
    <n v="549.65037225212063"/>
    <n v="0.84206685165358719"/>
    <s v="Estatal"/>
  </r>
  <r>
    <x v="3"/>
    <s v="Nuevo León"/>
    <s v="19"/>
    <s v="19.01"/>
    <s v="Monterrey"/>
    <s v="006"/>
    <s v="Apodaca"/>
    <x v="10"/>
    <x v="48"/>
    <n v="5.5713913801732255"/>
    <n v="2.6597993374083817"/>
    <n v="0.23608507926445016"/>
    <n v="14.675735976187671"/>
    <n v="23.336242154033318"/>
    <n v="0.91084196156546204"/>
    <n v="0.3336572293660246"/>
    <s v="Estatal"/>
  </r>
  <r>
    <x v="3"/>
    <s v="Nuevo León"/>
    <s v="19"/>
    <s v="19.01"/>
    <s v="Monterrey"/>
    <s v="006"/>
    <s v="Apodaca"/>
    <x v="10"/>
    <x v="49"/>
    <n v="8.8581121721869208E-5"/>
    <n v="8.2285263733703525E-5"/>
    <n v="5.4072476940744182E-5"/>
    <n v="9.2806272968165755E-4"/>
    <n v="1.2227887897166894E-3"/>
    <n v="5.9670785171036901E-5"/>
    <n v="4.0563921001368226E-5"/>
    <s v="Federal"/>
  </r>
  <r>
    <x v="3"/>
    <s v="Nuevo León"/>
    <s v="19"/>
    <s v="19.01"/>
    <s v="Monterrey"/>
    <s v="006"/>
    <s v="Apodaca"/>
    <x v="10"/>
    <x v="45"/>
    <n v="1.9711029950000005"/>
    <n v="1.1949884700000002"/>
    <n v="1.9422720000000001E-6"/>
    <n v="3.9755880000000007E-2"/>
    <n v="6.9800399999999999E-2"/>
    <n v="1.7198854828945063E-3"/>
    <n v="0"/>
    <s v="Estatal"/>
  </r>
  <r>
    <x v="3"/>
    <s v="Nuevo León"/>
    <s v="19"/>
    <s v="19.01"/>
    <s v="Monterrey"/>
    <s v="006"/>
    <s v="Apodaca"/>
    <x v="10"/>
    <x v="50"/>
    <n v="8.7226267382129741E-2"/>
    <n v="7.3599067382129735E-2"/>
    <n v="1.0930176000000001E-7"/>
    <n v="3.0372704E-3"/>
    <n v="4.7280320000000001E-3"/>
    <n v="1.1336035786395842"/>
    <n v="0"/>
    <s v="Estatal"/>
  </r>
  <r>
    <x v="3"/>
    <s v="Nuevo León"/>
    <s v="19"/>
    <s v="19.01"/>
    <s v="Monterrey"/>
    <s v="006"/>
    <s v="Apodaca"/>
    <x v="10"/>
    <x v="51"/>
    <n v="2.8822358153747264E-3"/>
    <n v="2.8822358153747264E-3"/>
    <n v="1.7886149749150764E-5"/>
    <n v="3.0703328395910834E-2"/>
    <n v="5.2606521374856531E-2"/>
    <n v="1.3792820298163123E-3"/>
    <n v="8.7847258367495734E-5"/>
    <s v="Estatal"/>
  </r>
  <r>
    <x v="3"/>
    <s v="Nuevo León"/>
    <s v="19"/>
    <s v="19.01"/>
    <s v="Monterrey"/>
    <s v="006"/>
    <s v="Apodaca"/>
    <x v="10"/>
    <x v="52"/>
    <n v="6.8700000000000011E-2"/>
    <n v="6.8700000000000011E-2"/>
    <n v="5.4000000000000003E-3"/>
    <n v="0.75880000000000003"/>
    <n v="1.0977999999999999"/>
    <n v="4.9600000000000005E-2"/>
    <n v="2.8899999999999995E-2"/>
    <s v="Estatal"/>
  </r>
  <r>
    <x v="3"/>
    <s v="Nuevo León"/>
    <s v="19"/>
    <s v="19.01"/>
    <s v="Monterrey"/>
    <s v="006"/>
    <s v="Apodaca"/>
    <x v="10"/>
    <x v="53"/>
    <n v="6.8879999999999994E-4"/>
    <n v="4.8839999999999995E-4"/>
    <n v="0"/>
    <n v="0"/>
    <n v="0"/>
    <n v="4.002E-2"/>
    <n v="0"/>
    <s v="Estatal"/>
  </r>
  <r>
    <x v="3"/>
    <s v="Nuevo León"/>
    <s v="19"/>
    <s v="19.01"/>
    <s v="Monterrey"/>
    <s v="006"/>
    <s v="Apodaca"/>
    <x v="10"/>
    <x v="54"/>
    <n v="44.242797301754763"/>
    <n v="35.34061105535897"/>
    <n v="0.38113992333873115"/>
    <n v="23.238371457744709"/>
    <n v="29.072508040807573"/>
    <n v="201.69346599088092"/>
    <n v="0.81873342734298793"/>
    <s v="Estatal"/>
  </r>
  <r>
    <x v="3"/>
    <s v="Nuevo León"/>
    <s v="19"/>
    <s v="19.01"/>
    <s v="Monterrey"/>
    <s v="006"/>
    <s v="Apodaca"/>
    <x v="10"/>
    <x v="55"/>
    <n v="3.3681240049771972"/>
    <n v="1.8759827627151757"/>
    <n v="0.10233514095656084"/>
    <n v="5.6712049440390757"/>
    <n v="0.96752270956142716"/>
    <n v="0.24121161326393706"/>
    <n v="3.1813798700039891E-2"/>
    <s v="Estatal"/>
  </r>
  <r>
    <x v="3"/>
    <s v="Nuevo León"/>
    <s v="19"/>
    <s v="19.01"/>
    <s v="Monterrey"/>
    <s v="006"/>
    <s v="Apodaca"/>
    <x v="10"/>
    <x v="56"/>
    <n v="69.442916427562423"/>
    <n v="43.797983892347858"/>
    <n v="2.3099225824643428"/>
    <n v="48.034873921211634"/>
    <n v="77.145536368281469"/>
    <n v="4.4315898491383203"/>
    <n v="1.6542534207997672"/>
    <s v="Estatal"/>
  </r>
  <r>
    <x v="3"/>
    <s v="Nuevo León"/>
    <s v="19"/>
    <s v="19.01"/>
    <s v="Monterrey"/>
    <s v="006"/>
    <s v="Apodaca"/>
    <x v="10"/>
    <x v="57"/>
    <n v="12.787476631396236"/>
    <n v="9.121188723585588"/>
    <n v="1.9996966008373918E-2"/>
    <n v="2.0746948203631699"/>
    <n v="2.5250439771855189"/>
    <n v="0.75323416061294224"/>
    <n v="0.87706839556410576"/>
    <s v="Estatal"/>
  </r>
  <r>
    <x v="3"/>
    <s v="Nuevo León"/>
    <s v="19"/>
    <s v="19.01"/>
    <s v="Monterrey"/>
    <s v="006"/>
    <s v="Apodaca"/>
    <x v="10"/>
    <x v="58"/>
    <n v="27.218435416110712"/>
    <n v="20.716493656110714"/>
    <n v="6.5865452244410457E-3"/>
    <n v="1.3849983097083063"/>
    <n v="1.9100838158784414"/>
    <n v="34.607625850783194"/>
    <n v="3.5259142904489935E-2"/>
    <s v="Estatal"/>
  </r>
  <r>
    <x v="3"/>
    <s v="Nuevo León"/>
    <s v="19"/>
    <s v="19.01"/>
    <s v="Monterrey"/>
    <s v="006"/>
    <s v="Apodaca"/>
    <x v="10"/>
    <x v="46"/>
    <n v="34.362149837084701"/>
    <n v="15.994070233913101"/>
    <n v="2.5889630465807799E-2"/>
    <n v="3.3504802629516806"/>
    <n v="4.1969128910077655"/>
    <n v="126.73631104056861"/>
    <n v="0.11631135211275383"/>
    <s v="Estatal"/>
  </r>
  <r>
    <x v="3"/>
    <s v="Nuevo León"/>
    <s v="19"/>
    <s v="19.01"/>
    <s v="Monterrey"/>
    <s v="009"/>
    <s v="Cadereyta Jiménez"/>
    <x v="10"/>
    <x v="48"/>
    <n v="1.8373440000000001E-2"/>
    <n v="4.6024198816568039E-3"/>
    <n v="0.10436983668639054"/>
    <n v="9.1867199999999996E-2"/>
    <n v="0.36746879999999998"/>
    <n v="3.6783119526627218E-3"/>
    <n v="1.469512804733728E-2"/>
    <s v="Estatal"/>
  </r>
  <r>
    <x v="3"/>
    <s v="Nuevo León"/>
    <s v="19"/>
    <s v="19.01"/>
    <s v="Monterrey"/>
    <s v="009"/>
    <s v="Cadereyta Jiménez"/>
    <x v="10"/>
    <x v="53"/>
    <n v="0.1964060856"/>
    <n v="0.1486538871420639"/>
    <n v="0.4204965777521894"/>
    <n v="0.39717028199999999"/>
    <n v="3.1843280562"/>
    <n v="1.6381176228745561E-2"/>
    <n v="4.6068639053254437E-2"/>
    <s v="Estatal"/>
  </r>
  <r>
    <x v="3"/>
    <s v="Nuevo León"/>
    <s v="19"/>
    <s v="19.01"/>
    <s v="Monterrey"/>
    <s v="010"/>
    <s v="El Carmen"/>
    <x v="10"/>
    <x v="47"/>
    <n v="0"/>
    <n v="0"/>
    <n v="0"/>
    <n v="0"/>
    <n v="0"/>
    <n v="33.52384"/>
    <n v="0"/>
    <s v="Estatal"/>
  </r>
  <r>
    <x v="3"/>
    <s v="Nuevo León"/>
    <s v="19"/>
    <s v="19.01"/>
    <s v="Monterrey"/>
    <s v="010"/>
    <s v="El Carmen"/>
    <x v="10"/>
    <x v="48"/>
    <n v="1.0961392779475914"/>
    <n v="1.0961392779475914"/>
    <n v="8.5838927630057793E-2"/>
    <n v="12.112017758742775"/>
    <n v="14.451939698135446"/>
    <n v="0.79175137258632144"/>
    <n v="0.46058427763527321"/>
    <s v="Estatal"/>
  </r>
  <r>
    <x v="3"/>
    <s v="Nuevo León"/>
    <s v="19"/>
    <s v="19.01"/>
    <s v="Monterrey"/>
    <s v="010"/>
    <s v="El Carmen"/>
    <x v="10"/>
    <x v="59"/>
    <n v="15.480543752896869"/>
    <n v="10.91631827909687"/>
    <n v="21.381032599343815"/>
    <n v="0.48309384754233953"/>
    <n v="2.5046650834843893"/>
    <n v="2.318173243970488E-2"/>
    <n v="2.8670496E-2"/>
    <s v="Estatal"/>
  </r>
  <r>
    <x v="3"/>
    <s v="Nuevo León"/>
    <s v="19"/>
    <s v="19.01"/>
    <s v="Monterrey"/>
    <s v="010"/>
    <s v="El Carmen"/>
    <x v="10"/>
    <x v="52"/>
    <n v="0.52519495062228128"/>
    <n v="0.49850835062228127"/>
    <n v="3.4213318199541078E-2"/>
    <n v="4.7907933290255018"/>
    <n v="5.8946398279010408"/>
    <n v="0.99291185024142736"/>
    <n v="0.18309898374667927"/>
    <s v="Estatal"/>
  </r>
  <r>
    <x v="3"/>
    <s v="Nuevo León"/>
    <s v="19"/>
    <s v="19.01"/>
    <s v="Monterrey"/>
    <s v="012"/>
    <s v="Ciénega de Flores"/>
    <x v="10"/>
    <x v="47"/>
    <n v="1.7114858653751552"/>
    <n v="1.1822422405230846"/>
    <n v="2.249019609883363"/>
    <n v="7.5969747815084752"/>
    <n v="14.840277861771581"/>
    <n v="9.5339500066668794"/>
    <n v="0.50537178986655773"/>
    <s v="Estatal"/>
  </r>
  <r>
    <x v="3"/>
    <s v="Nuevo León"/>
    <s v="19"/>
    <s v="19.01"/>
    <s v="Monterrey"/>
    <s v="012"/>
    <s v="Ciénega de Flores"/>
    <x v="10"/>
    <x v="48"/>
    <n v="4.4679911780639996"/>
    <n v="2.8963799839101543"/>
    <n v="79.9267593401147"/>
    <n v="0.84853089599999998"/>
    <n v="8.0571436799999994"/>
    <n v="4.4660088157062371E-2"/>
    <n v="0.13473489846153847"/>
    <s v="Estatal"/>
  </r>
  <r>
    <x v="3"/>
    <s v="Nuevo León"/>
    <s v="19"/>
    <s v="19.01"/>
    <s v="Monterrey"/>
    <s v="012"/>
    <s v="Ciénega de Flores"/>
    <x v="10"/>
    <x v="45"/>
    <n v="2.2092407369605165"/>
    <n v="2.1767916349723508"/>
    <n v="0.16972490430641424"/>
    <n v="23.511283177436148"/>
    <n v="28.061209504553201"/>
    <n v="1.5316246420105402"/>
    <n v="0.89432073356842279"/>
    <s v="Estatal"/>
  </r>
  <r>
    <x v="3"/>
    <s v="Nuevo León"/>
    <s v="19"/>
    <s v="19.01"/>
    <s v="Monterrey"/>
    <s v="012"/>
    <s v="Ciénega de Flores"/>
    <x v="10"/>
    <x v="51"/>
    <n v="1.317790087077549"/>
    <n v="0.93862148471068518"/>
    <n v="1.4934229121497777E-3"/>
    <n v="0.1603499790346275"/>
    <n v="0.27368123592912996"/>
    <n v="7.3460669164128198E-3"/>
    <n v="9.0199651351425777E-4"/>
    <s v="Estatal"/>
  </r>
  <r>
    <x v="3"/>
    <s v="Nuevo León"/>
    <s v="19"/>
    <s v="19.01"/>
    <s v="Monterrey"/>
    <s v="012"/>
    <s v="Ciénega de Flores"/>
    <x v="10"/>
    <x v="52"/>
    <n v="5.04164E-2"/>
    <n v="4.5640200000000006E-2"/>
    <n v="2.7000000000000001E-3"/>
    <n v="0.37630000000000002"/>
    <n v="0.44800000000000001"/>
    <n v="2.46E-2"/>
    <n v="1.44E-2"/>
    <s v="Estatal"/>
  </r>
  <r>
    <x v="3"/>
    <s v="Nuevo León"/>
    <s v="19"/>
    <s v="19.01"/>
    <s v="Monterrey"/>
    <s v="012"/>
    <s v="Ciénega de Flores"/>
    <x v="10"/>
    <x v="54"/>
    <n v="9.1650716182419831"/>
    <n v="7.3064390647626922"/>
    <n v="0.78230128684122913"/>
    <n v="21.028854052432987"/>
    <n v="27.049570677245764"/>
    <n v="492.37379221090356"/>
    <n v="0.84280463831862562"/>
    <s v="Estatal"/>
  </r>
  <r>
    <x v="3"/>
    <s v="Nuevo León"/>
    <s v="19"/>
    <s v="19.01"/>
    <s v="Monterrey"/>
    <s v="012"/>
    <s v="Ciénega de Flores"/>
    <x v="10"/>
    <x v="56"/>
    <n v="9.4586719911114709"/>
    <n v="4.2223365999872113"/>
    <n v="8.2927714350243653E-2"/>
    <n v="11.633449609303973"/>
    <n v="13.86131550059963"/>
    <n v="0.76077301218253834"/>
    <n v="0.44347863584554781"/>
    <s v="Estatal"/>
  </r>
  <r>
    <x v="3"/>
    <s v="Nuevo León"/>
    <s v="19"/>
    <s v="19.01"/>
    <s v="Monterrey"/>
    <s v="012"/>
    <s v="Ciénega de Flores"/>
    <x v="10"/>
    <x v="57"/>
    <n v="9.1690219815751844E-2"/>
    <n v="9.1686920786166054E-2"/>
    <n v="7.2935589967685014E-3"/>
    <n v="1.0132204344718445"/>
    <n v="1.2062219841469941"/>
    <n v="6.6310513277443792E-2"/>
    <n v="3.870539221778798E-2"/>
    <s v="Estatal"/>
  </r>
  <r>
    <x v="3"/>
    <s v="Nuevo León"/>
    <s v="19"/>
    <s v="19.01"/>
    <s v="Monterrey"/>
    <s v="012"/>
    <s v="Ciénega de Flores"/>
    <x v="10"/>
    <x v="58"/>
    <n v="1.2448979096478158E-2"/>
    <n v="1.2448979096478158E-2"/>
    <n v="4.4413054215048734E-6"/>
    <n v="0.13223098631446459"/>
    <n v="0.23216035829832424"/>
    <n v="116.24628040138292"/>
    <n v="0"/>
    <s v="Estatal"/>
  </r>
  <r>
    <x v="3"/>
    <s v="Nuevo León"/>
    <s v="19"/>
    <s v="19.01"/>
    <s v="Monterrey"/>
    <s v="012"/>
    <s v="Ciénega de Flores"/>
    <x v="10"/>
    <x v="46"/>
    <n v="0.23847601256746842"/>
    <n v="0.22799736713371696"/>
    <n v="9.8890265090214632E-2"/>
    <n v="2.4917382123562293"/>
    <n v="3.3734173015673981"/>
    <n v="273.28764491189366"/>
    <n v="9.2754568279604599E-2"/>
    <s v="Estatal"/>
  </r>
  <r>
    <x v="3"/>
    <s v="Nuevo León"/>
    <s v="19"/>
    <s v="19.01"/>
    <s v="Monterrey"/>
    <s v="018"/>
    <s v="García"/>
    <x v="10"/>
    <x v="47"/>
    <n v="2.6462229987374508"/>
    <n v="2.0459625987374519"/>
    <n v="9.1200670821405365E-3"/>
    <n v="1.3395719406464801"/>
    <n v="1.6335212700909358"/>
    <n v="32.783596209109085"/>
    <n v="4.8542472954125837E-2"/>
    <s v="Estatal"/>
  </r>
  <r>
    <x v="3"/>
    <s v="Nuevo León"/>
    <s v="19"/>
    <s v="19.01"/>
    <s v="Monterrey"/>
    <s v="018"/>
    <s v="García"/>
    <x v="10"/>
    <x v="45"/>
    <n v="902.52249862897679"/>
    <n v="546.48239861404352"/>
    <n v="7.5923525635029584E-4"/>
    <n v="2.5789336884000005E-2"/>
    <n v="4.6776379536000001E-2"/>
    <n v="1.1135270853496382E-3"/>
    <n v="1.0672646172071007E-4"/>
    <s v="Estatal"/>
  </r>
  <r>
    <x v="3"/>
    <s v="Nuevo León"/>
    <s v="19"/>
    <s v="19.01"/>
    <s v="Monterrey"/>
    <s v="018"/>
    <s v="García"/>
    <x v="10"/>
    <x v="53"/>
    <n v="1.052984E-2"/>
    <n v="3.9118139644970414E-3"/>
    <n v="5.0257671005917159E-2"/>
    <n v="6.3249200000000005E-2"/>
    <n v="0.1992968"/>
    <n v="32.002967709585796"/>
    <n v="7.7621304142011837E-3"/>
    <s v="Estatal"/>
  </r>
  <r>
    <x v="3"/>
    <s v="Nuevo León"/>
    <s v="19"/>
    <s v="19.01"/>
    <s v="Monterrey"/>
    <s v="018"/>
    <s v="García"/>
    <x v="10"/>
    <x v="54"/>
    <n v="1.1416316137355369"/>
    <n v="0.59356500545151325"/>
    <n v="3.3408189794105785"/>
    <n v="2.9680475856491091"/>
    <n v="11.801431152678132"/>
    <n v="59.078043732033734"/>
    <n v="0.47097271981810945"/>
    <s v="Estatal"/>
  </r>
  <r>
    <x v="3"/>
    <s v="Nuevo León"/>
    <s v="19"/>
    <s v="19.01"/>
    <s v="Monterrey"/>
    <s v="018"/>
    <s v="García"/>
    <x v="10"/>
    <x v="55"/>
    <n v="0.62338210855999998"/>
    <n v="0.36971848167242605"/>
    <n v="1.1785622936984994E-2"/>
    <n v="0.64010692424000015"/>
    <n v="0.8132798872"/>
    <n v="4.9412900867295481E-2"/>
    <n v="2.3081731955029584E-2"/>
    <s v="Estatal"/>
  </r>
  <r>
    <x v="3"/>
    <s v="Nuevo León"/>
    <s v="19"/>
    <s v="19.01"/>
    <s v="Monterrey"/>
    <s v="018"/>
    <s v="García"/>
    <x v="10"/>
    <x v="56"/>
    <n v="85.671964338802383"/>
    <n v="52.013781656774341"/>
    <n v="2.6248949731626343"/>
    <n v="5.6990754672673143"/>
    <n v="21.439339889735546"/>
    <n v="9.809189680472981"/>
    <n v="0.25538896313406861"/>
    <s v="Estatal"/>
  </r>
  <r>
    <x v="3"/>
    <s v="Nuevo León"/>
    <s v="19"/>
    <s v="19.01"/>
    <s v="Monterrey"/>
    <s v="018"/>
    <s v="García"/>
    <x v="10"/>
    <x v="58"/>
    <n v="3.2466865679999998E-3"/>
    <n v="3.0353256212544378E-3"/>
    <n v="1.6034319230730605E-3"/>
    <n v="3.2899778951999997E-2"/>
    <n v="6.0927398159999993E-2"/>
    <n v="803.20402873998466"/>
    <n v="2.2554437869822487E-4"/>
    <s v="Estatal"/>
  </r>
  <r>
    <x v="3"/>
    <s v="Nuevo León"/>
    <s v="19"/>
    <s v="19.01"/>
    <s v="Monterrey"/>
    <s v="018"/>
    <s v="García"/>
    <x v="10"/>
    <x v="46"/>
    <n v="4.2073300975999999"/>
    <n v="3.8355538869491124"/>
    <n v="5.580338923307929E-3"/>
    <n v="1.7952926400000003E-2"/>
    <n v="4.2542711999999996E-2"/>
    <n v="11.697149441625104"/>
    <n v="7.8561426035502954E-4"/>
    <s v="Estatal"/>
  </r>
  <r>
    <x v="3"/>
    <s v="Nuevo León"/>
    <s v="19"/>
    <s v="19.01"/>
    <s v="Monterrey"/>
    <s v="019"/>
    <s v="San Pedro Garza García"/>
    <x v="10"/>
    <x v="48"/>
    <n v="0.34715764523778248"/>
    <n v="0.28613364523778251"/>
    <n v="1.2210366263854591E-2"/>
    <n v="1.7684246102529804"/>
    <n v="2.1429449059177768"/>
    <n v="0.80776369576231755"/>
    <n v="6.4997463257278135E-2"/>
    <s v="Estatal"/>
  </r>
  <r>
    <x v="3"/>
    <s v="Nuevo León"/>
    <s v="19"/>
    <s v="19.01"/>
    <s v="Monterrey"/>
    <s v="019"/>
    <s v="San Pedro Garza García"/>
    <x v="10"/>
    <x v="53"/>
    <n v="5.2936983062613803E-3"/>
    <n v="4.9072225666164102E-3"/>
    <n v="3.3078683350825509E-3"/>
    <n v="5.5379399266202785E-2"/>
    <n v="7.3168522517069914E-2"/>
    <n v="3.5588490633296581E-3"/>
    <n v="2.429295825691547E-3"/>
    <s v="Estatal"/>
  </r>
  <r>
    <x v="3"/>
    <s v="Nuevo León"/>
    <s v="19"/>
    <s v="19.01"/>
    <s v="Monterrey"/>
    <s v="019"/>
    <s v="San Pedro Garza García"/>
    <x v="10"/>
    <x v="54"/>
    <n v="9.3902448000000014E-4"/>
    <n v="9.3902448000000014E-4"/>
    <n v="4.8727756800000003E-7"/>
    <n v="9.9739627200000017E-3"/>
    <n v="1.7511537600000002E-2"/>
    <n v="3.3226314851963799"/>
    <n v="0"/>
    <s v="Estatal"/>
  </r>
  <r>
    <x v="3"/>
    <s v="Nuevo León"/>
    <s v="19"/>
    <s v="19.01"/>
    <s v="Monterrey"/>
    <s v="019"/>
    <s v="San Pedro Garza García"/>
    <x v="10"/>
    <x v="56"/>
    <n v="97.548904192340288"/>
    <n v="71.48460351837582"/>
    <n v="44.275110197273726"/>
    <n v="88.48512155032698"/>
    <n v="105.77827268805332"/>
    <n v="5.7830616307299705"/>
    <n v="3.3847937535564192"/>
    <s v="Estatal"/>
  </r>
  <r>
    <x v="3"/>
    <s v="Nuevo León"/>
    <s v="19"/>
    <s v="19.01"/>
    <s v="Monterrey"/>
    <s v="021"/>
    <s v="General Escobedo"/>
    <x v="10"/>
    <x v="47"/>
    <n v="0.10813555036505489"/>
    <n v="7.7691450365054884E-2"/>
    <n v="3.7897671249144437E-5"/>
    <n v="3.7322906242797764E-2"/>
    <n v="6.2666614037991134E-2"/>
    <n v="1.7269542377546299E-3"/>
    <n v="1.9339667905167958E-4"/>
    <s v="Estatal"/>
  </r>
  <r>
    <x v="3"/>
    <s v="Nuevo León"/>
    <s v="19"/>
    <s v="19.01"/>
    <s v="Monterrey"/>
    <s v="021"/>
    <s v="General Escobedo"/>
    <x v="10"/>
    <x v="48"/>
    <n v="0.80135756241720046"/>
    <n v="0.59602236241720052"/>
    <n v="9.3406643807761355E-2"/>
    <n v="5.7440601328871583"/>
    <n v="6.9677673764159813"/>
    <n v="0.37475014561466513"/>
    <n v="0.2250401304500978"/>
    <s v="Estatal"/>
  </r>
  <r>
    <x v="3"/>
    <s v="Nuevo León"/>
    <s v="19"/>
    <s v="19.01"/>
    <s v="Monterrey"/>
    <s v="021"/>
    <s v="General Escobedo"/>
    <x v="10"/>
    <x v="60"/>
    <n v="1.7200048000000001"/>
    <n v="1.1313643502958579"/>
    <n v="0.4704714818840236"/>
    <n v="4.5049939999999999"/>
    <n v="5.3712900000000001"/>
    <n v="7.3375967904725616E-3"/>
    <n v="2.1978579881656808E-2"/>
    <s v="Estatal"/>
  </r>
  <r>
    <x v="3"/>
    <s v="Nuevo León"/>
    <s v="19"/>
    <s v="19.01"/>
    <s v="Monterrey"/>
    <s v="021"/>
    <s v="General Escobedo"/>
    <x v="10"/>
    <x v="45"/>
    <n v="350.82656380200001"/>
    <n v="228.36568247052429"/>
    <n v="2.0964494331304899"/>
    <n v="1.9454443980000002"/>
    <n v="13.536902639999999"/>
    <n v="7.9630767814469067E-2"/>
    <n v="0.24775015855029589"/>
    <s v="Estatal"/>
  </r>
  <r>
    <x v="3"/>
    <s v="Nuevo León"/>
    <s v="19"/>
    <s v="19.01"/>
    <s v="Monterrey"/>
    <s v="021"/>
    <s v="General Escobedo"/>
    <x v="10"/>
    <x v="51"/>
    <n v="1.5542686205840095E-2"/>
    <n v="8.6988520283253004E-3"/>
    <n v="5.1871346425449452E-2"/>
    <n v="0.11375821504876099"/>
    <n v="0.30219135598111996"/>
    <n v="4.7741900013886741E-3"/>
    <n v="7.3030914710059177E-3"/>
    <s v="Estatal"/>
  </r>
  <r>
    <x v="3"/>
    <s v="Nuevo León"/>
    <s v="19"/>
    <s v="19.01"/>
    <s v="Monterrey"/>
    <s v="021"/>
    <s v="General Escobedo"/>
    <x v="10"/>
    <x v="53"/>
    <n v="0.16096000000000002"/>
    <n v="0.10400800000000002"/>
    <n v="2.7000000000000001E-3"/>
    <n v="0.37280000000000002"/>
    <n v="0.44390000000000002"/>
    <n v="29.687317696000001"/>
    <n v="1.43E-2"/>
    <s v="Estatal"/>
  </r>
  <r>
    <x v="3"/>
    <s v="Nuevo León"/>
    <s v="19"/>
    <s v="19.01"/>
    <s v="Monterrey"/>
    <s v="021"/>
    <s v="General Escobedo"/>
    <x v="10"/>
    <x v="54"/>
    <n v="2.3826600904982609"/>
    <n v="1.9185216998118704"/>
    <n v="0.13739175006481075"/>
    <n v="8.9775307349793252"/>
    <n v="11.516713424135629"/>
    <n v="94.955229741912149"/>
    <n v="0.30940071275780867"/>
    <s v="Estatal"/>
  </r>
  <r>
    <x v="3"/>
    <s v="Nuevo León"/>
    <s v="19"/>
    <s v="19.01"/>
    <s v="Monterrey"/>
    <s v="021"/>
    <s v="General Escobedo"/>
    <x v="10"/>
    <x v="55"/>
    <n v="20.274534389656946"/>
    <n v="11.206094544585111"/>
    <n v="1.8562405503199292E-2"/>
    <n v="0.15883865216650239"/>
    <n v="0.25621187741432799"/>
    <n v="407.60935239051094"/>
    <n v="6.4207666844660893E-3"/>
    <s v="Estatal"/>
  </r>
  <r>
    <x v="3"/>
    <s v="Nuevo León"/>
    <s v="19"/>
    <s v="19.01"/>
    <s v="Monterrey"/>
    <s v="021"/>
    <s v="General Escobedo"/>
    <x v="10"/>
    <x v="56"/>
    <n v="50.250216339520001"/>
    <n v="29.83643268543932"/>
    <n v="0.22257095781570302"/>
    <n v="14.264813505599999"/>
    <n v="1.6108464012013974"/>
    <n v="63.557943558548665"/>
    <n v="5.7551087103425325E-2"/>
    <s v="Estatal"/>
  </r>
  <r>
    <x v="3"/>
    <s v="Nuevo León"/>
    <s v="19"/>
    <s v="19.01"/>
    <s v="Monterrey"/>
    <s v="021"/>
    <s v="General Escobedo"/>
    <x v="10"/>
    <x v="46"/>
    <n v="1.6333016906334477"/>
    <n v="0.95250317406540019"/>
    <n v="2.945063672348282E-3"/>
    <n v="1.7316172517621391"/>
    <n v="2.9757504108812571"/>
    <n v="10.847871973149024"/>
    <n v="4.9058489977493146E-3"/>
    <s v="Estatal"/>
  </r>
  <r>
    <x v="3"/>
    <s v="Nuevo León"/>
    <s v="19"/>
    <s v="19.01"/>
    <s v="Monterrey"/>
    <s v="025"/>
    <s v="General Zuazua"/>
    <x v="10"/>
    <x v="56"/>
    <n v="38.237675425759996"/>
    <n v="22.927482519777932"/>
    <n v="0.18266084733727811"/>
    <n v="0.16077959999999999"/>
    <n v="0.64311839999999998"/>
    <n v="6.4375263905325436E-3"/>
    <n v="2.5718393609467458E-2"/>
    <s v="Estatal"/>
  </r>
  <r>
    <x v="3"/>
    <s v="Nuevo León"/>
    <s v="19"/>
    <s v="19.01"/>
    <s v="Monterrey"/>
    <s v="026"/>
    <s v="Guadalupe"/>
    <x v="10"/>
    <x v="47"/>
    <n v="11.764308092868308"/>
    <n v="9.0434823101749338"/>
    <n v="8.8532480042820591E-2"/>
    <n v="4.44530478946323"/>
    <n v="6.0664979846385849"/>
    <n v="109.77062313005213"/>
    <n v="0.15510539439356621"/>
    <s v="Estatal"/>
  </r>
  <r>
    <x v="3"/>
    <s v="Nuevo León"/>
    <s v="19"/>
    <s v="19.01"/>
    <s v="Monterrey"/>
    <s v="026"/>
    <s v="Guadalupe"/>
    <x v="10"/>
    <x v="48"/>
    <n v="21.84547750350437"/>
    <n v="7.6207253431458541"/>
    <n v="0.23923850819976183"/>
    <n v="31.737956246884995"/>
    <n v="38.081478189554254"/>
    <n v="2.0666751500431539"/>
    <n v="1.1963090809737209"/>
    <s v="Estatal"/>
  </r>
  <r>
    <x v="3"/>
    <s v="Nuevo León"/>
    <s v="19"/>
    <s v="19.01"/>
    <s v="Monterrey"/>
    <s v="026"/>
    <s v="Guadalupe"/>
    <x v="10"/>
    <x v="52"/>
    <n v="1.4023500611995103E-2"/>
    <n v="1.4023500611995103E-2"/>
    <n v="8.9999999999999998E-4"/>
    <n v="0.12859999999999999"/>
    <n v="0.1532"/>
    <n v="8.3999999999999995E-3"/>
    <n v="4.8999999999999998E-3"/>
    <s v="Estatal"/>
  </r>
  <r>
    <x v="3"/>
    <s v="Nuevo León"/>
    <s v="19"/>
    <s v="19.01"/>
    <s v="Monterrey"/>
    <s v="026"/>
    <s v="Guadalupe"/>
    <x v="10"/>
    <x v="54"/>
    <n v="12.096593215202738"/>
    <n v="9.1856247805956368"/>
    <n v="0.2617645747317266"/>
    <n v="17.233988203860431"/>
    <n v="22.384168811343951"/>
    <n v="34.491175381720652"/>
    <n v="0.54490001315789571"/>
    <s v="Estatal"/>
  </r>
  <r>
    <x v="3"/>
    <s v="Nuevo León"/>
    <s v="19"/>
    <s v="19.01"/>
    <s v="Monterrey"/>
    <s v="026"/>
    <s v="Guadalupe"/>
    <x v="10"/>
    <x v="55"/>
    <n v="1.4393787962452369"/>
    <n v="0.92596309199523708"/>
    <n v="2.0997532413956372E-2"/>
    <n v="53.27659368679069"/>
    <n v="3.4993825416244246"/>
    <n v="513.81433930361402"/>
    <n v="0.10994956142168558"/>
    <s v="Estatal"/>
  </r>
  <r>
    <x v="3"/>
    <s v="Nuevo León"/>
    <s v="19"/>
    <s v="19.01"/>
    <s v="Monterrey"/>
    <s v="026"/>
    <s v="Guadalupe"/>
    <x v="10"/>
    <x v="56"/>
    <n v="66.149564720894645"/>
    <n v="39.93924919897195"/>
    <n v="0.28151597096155923"/>
    <n v="1.2847068180167576"/>
    <n v="2.2178965631500978"/>
    <n v="8.6575339048865771"/>
    <n v="7.7744478759392235E-2"/>
    <s v="Estatal"/>
  </r>
  <r>
    <x v="3"/>
    <s v="Nuevo León"/>
    <s v="19"/>
    <s v="19.01"/>
    <s v="Monterrey"/>
    <s v="026"/>
    <s v="Guadalupe"/>
    <x v="10"/>
    <x v="57"/>
    <n v="1.2000000000000002E-4"/>
    <n v="3.0059171597633135E-5"/>
    <n v="6.8165680473372778E-4"/>
    <n v="6.0000000000000006E-4"/>
    <n v="2.4000000000000002E-3"/>
    <n v="2.4023668639053254E-5"/>
    <n v="9.5976331360946756E-5"/>
    <s v="Estatal"/>
  </r>
  <r>
    <x v="3"/>
    <s v="Nuevo León"/>
    <s v="19"/>
    <s v="19.01"/>
    <s v="Monterrey"/>
    <s v="026"/>
    <s v="Guadalupe"/>
    <x v="10"/>
    <x v="58"/>
    <n v="0.42409221333058972"/>
    <n v="0.42327573049035305"/>
    <n v="3.9042399737980397E-2"/>
    <n v="4.676246754704497"/>
    <n v="5.6338526694285349"/>
    <n v="10.50606810594069"/>
    <n v="0.1757822580194999"/>
    <s v="Estatal"/>
  </r>
  <r>
    <x v="3"/>
    <s v="Nuevo León"/>
    <s v="19"/>
    <s v="19.01"/>
    <s v="Monterrey"/>
    <s v="026"/>
    <s v="Guadalupe"/>
    <x v="10"/>
    <x v="46"/>
    <n v="1.8286992712884771"/>
    <n v="1.4495092805991279"/>
    <n v="5.2876679807755511E-2"/>
    <n v="2.6385180552088801"/>
    <n v="3.7933235653642856"/>
    <n v="86.873064450803639"/>
    <n v="6.8180340207352391E-2"/>
    <s v="Estatal"/>
  </r>
  <r>
    <x v="3"/>
    <s v="Nuevo León"/>
    <s v="19"/>
    <s v="19.01"/>
    <s v="Monterrey"/>
    <s v="031"/>
    <s v="Juárez"/>
    <x v="10"/>
    <x v="51"/>
    <n v="3.5479001039999999E-4"/>
    <n v="3.5479001039999999E-4"/>
    <n v="1.8410724864000001E-7"/>
    <n v="3.7684452456000004E-3"/>
    <n v="6.6163542479999995E-3"/>
    <n v="1.6302731246271653E-4"/>
    <n v="0"/>
    <s v="Estatal"/>
  </r>
  <r>
    <x v="3"/>
    <s v="Nuevo León"/>
    <s v="19"/>
    <s v="19.01"/>
    <s v="Monterrey"/>
    <s v="031"/>
    <s v="Juárez"/>
    <x v="10"/>
    <x v="53"/>
    <n v="9.3637843627063511E-3"/>
    <n v="7.1375689780909662E-3"/>
    <n v="1.6874650195579332E-2"/>
    <n v="8.2762365291065343E-2"/>
    <n v="0.17863767351828369"/>
    <n v="3.5325165215608317E-3"/>
    <n v="2.3756061538461539E-3"/>
    <s v="Estatal"/>
  </r>
  <r>
    <x v="3"/>
    <s v="Nuevo León"/>
    <s v="19"/>
    <s v="19.01"/>
    <s v="Monterrey"/>
    <s v="031"/>
    <s v="Juárez"/>
    <x v="10"/>
    <x v="54"/>
    <n v="9.6082902391592366"/>
    <n v="7.1055291837424299"/>
    <n v="1.5355963932450574E-2"/>
    <n v="1.9705011940055834"/>
    <n v="2.3598001785557536"/>
    <n v="28.126660719382393"/>
    <n v="7.469175466603227E-2"/>
    <s v="Estatal"/>
  </r>
  <r>
    <x v="3"/>
    <s v="Nuevo León"/>
    <s v="19"/>
    <s v="19.01"/>
    <s v="Monterrey"/>
    <s v="031"/>
    <s v="Juárez"/>
    <x v="10"/>
    <x v="56"/>
    <n v="102.14213371631428"/>
    <n v="73.475772497585936"/>
    <n v="0.99042599930069586"/>
    <n v="97.638025847069372"/>
    <n v="120.67583498409451"/>
    <n v="11.08649745658453"/>
    <n v="3.7483043076645455"/>
    <s v="Estatal"/>
  </r>
  <r>
    <x v="3"/>
    <s v="Nuevo León"/>
    <s v="19"/>
    <s v="19.01"/>
    <s v="Monterrey"/>
    <s v="039"/>
    <s v="Monterrey"/>
    <x v="10"/>
    <x v="47"/>
    <n v="0.19938419999999996"/>
    <n v="0.15123809999999999"/>
    <n v="2.6999999999999997E-3"/>
    <n v="0.374"/>
    <n v="1.3575000000000002"/>
    <n v="2.4500000000000001E-2"/>
    <n v="1.43E-2"/>
    <s v="Estatal"/>
  </r>
  <r>
    <x v="3"/>
    <s v="Nuevo León"/>
    <s v="19"/>
    <s v="19.01"/>
    <s v="Monterrey"/>
    <s v="039"/>
    <s v="Monterrey"/>
    <x v="10"/>
    <x v="48"/>
    <n v="17.505772437913677"/>
    <n v="6.3140302510616095"/>
    <n v="0.15670443879440227"/>
    <n v="20.831448851528567"/>
    <n v="25.44899504735141"/>
    <n v="1.3310896359610274"/>
    <n v="0.7518035492647388"/>
    <s v="Estatal"/>
  </r>
  <r>
    <x v="3"/>
    <s v="Nuevo León"/>
    <s v="19"/>
    <s v="19.01"/>
    <s v="Monterrey"/>
    <s v="039"/>
    <s v="Monterrey"/>
    <x v="10"/>
    <x v="49"/>
    <n v="3.834651848609076E-5"/>
    <n v="1.6442329136978329E-5"/>
    <n v="1.6673383863334605E-4"/>
    <n v="2.4692596694191109E-4"/>
    <n v="7.0449290445158473E-4"/>
    <n v="0.61471244779465362"/>
    <n v="2.7224481248029592E-5"/>
    <s v="Federal"/>
  </r>
  <r>
    <x v="3"/>
    <s v="Nuevo León"/>
    <s v="19"/>
    <s v="19.01"/>
    <s v="Monterrey"/>
    <s v="039"/>
    <s v="Monterrey"/>
    <x v="10"/>
    <x v="60"/>
    <n v="5.5476000000000009E-6"/>
    <n v="1.3896355029585798E-6"/>
    <n v="3.1512994082840234E-5"/>
    <n v="2.7738000000000001E-5"/>
    <n v="1.10952E-4"/>
    <n v="1.1106142011834319E-6"/>
    <n v="4.4369857988165681E-6"/>
    <s v="Estatal"/>
  </r>
  <r>
    <x v="3"/>
    <s v="Nuevo León"/>
    <s v="19"/>
    <s v="19.01"/>
    <s v="Monterrey"/>
    <s v="039"/>
    <s v="Monterrey"/>
    <x v="10"/>
    <x v="50"/>
    <n v="0"/>
    <n v="0"/>
    <n v="0"/>
    <n v="0"/>
    <n v="0"/>
    <n v="0.23799999999999999"/>
    <n v="0"/>
    <s v="Estatal"/>
  </r>
  <r>
    <x v="3"/>
    <s v="Nuevo León"/>
    <s v="19"/>
    <s v="19.01"/>
    <s v="Monterrey"/>
    <s v="039"/>
    <s v="Monterrey"/>
    <x v="10"/>
    <x v="52"/>
    <n v="4.2282095747173204E-2"/>
    <n v="4.0240438942439477E-2"/>
    <n v="1.8609647656035413E-2"/>
    <n v="0.45076721802387298"/>
    <n v="0.5748697755558243"/>
    <n v="9.9354808472167794E-2"/>
    <n v="1.8876690620735027E-2"/>
    <s v="Estatal"/>
  </r>
  <r>
    <x v="3"/>
    <s v="Nuevo León"/>
    <s v="19"/>
    <s v="19.01"/>
    <s v="Monterrey"/>
    <s v="039"/>
    <s v="Monterrey"/>
    <x v="10"/>
    <x v="53"/>
    <n v="0.42595035999999997"/>
    <n v="0.30200461088757397"/>
    <n v="2.4062485207100589E-4"/>
    <n v="2.118E-4"/>
    <n v="8.4719999999999999E-4"/>
    <n v="9.2008480355029579E-2"/>
    <n v="3.3879644970414206E-5"/>
    <s v="Estatal"/>
  </r>
  <r>
    <x v="3"/>
    <s v="Nuevo León"/>
    <s v="19"/>
    <s v="19.01"/>
    <s v="Monterrey"/>
    <s v="039"/>
    <s v="Monterrey"/>
    <x v="10"/>
    <x v="54"/>
    <n v="9.8172981152502601"/>
    <n v="9.8035536152502605"/>
    <n v="0.79147838882736055"/>
    <n v="104.32228443898676"/>
    <n v="124.2560809069127"/>
    <n v="15.374210970866754"/>
    <n v="3.9796509919710275"/>
    <s v="Estatal"/>
  </r>
  <r>
    <x v="3"/>
    <s v="Nuevo León"/>
    <s v="19"/>
    <s v="19.01"/>
    <s v="Monterrey"/>
    <s v="039"/>
    <s v="Monterrey"/>
    <x v="10"/>
    <x v="55"/>
    <n v="8.6646620109392981E-3"/>
    <n v="8.6646620109392981E-3"/>
    <n v="6.8690644592981904E-4"/>
    <n v="9.5751143265532926E-2"/>
    <n v="0.11398429155837182"/>
    <n v="1.8867331149453246"/>
    <n v="3.6574755498192993E-3"/>
    <s v="Estatal"/>
  </r>
  <r>
    <x v="3"/>
    <s v="Nuevo León"/>
    <s v="19"/>
    <s v="19.01"/>
    <s v="Monterrey"/>
    <s v="039"/>
    <s v="Monterrey"/>
    <x v="10"/>
    <x v="56"/>
    <n v="282.64090661482027"/>
    <n v="169.89883106735107"/>
    <n v="1.1352518383939176"/>
    <n v="23.757550580705669"/>
    <n v="30.975506303785203"/>
    <n v="3.2888974413516894"/>
    <n v="0.99274927491493026"/>
    <s v="Estatal"/>
  </r>
  <r>
    <x v="3"/>
    <s v="Nuevo León"/>
    <s v="19"/>
    <s v="19.01"/>
    <s v="Monterrey"/>
    <s v="039"/>
    <s v="Monterrey"/>
    <x v="10"/>
    <x v="57"/>
    <n v="1.03047192E-2"/>
    <n v="2.991180738461538E-3"/>
    <n v="5.5429206883643077E-2"/>
    <n v="5.4598168799999999E-2"/>
    <n v="0.20535530399999999"/>
    <n v="2.2047959959100548E-3"/>
    <n v="7.8043153846153856E-3"/>
    <s v="Estatal"/>
  </r>
  <r>
    <x v="3"/>
    <s v="Nuevo León"/>
    <s v="19"/>
    <s v="19.01"/>
    <s v="Monterrey"/>
    <s v="039"/>
    <s v="Monterrey"/>
    <x v="10"/>
    <x v="58"/>
    <n v="0.2342961327223527"/>
    <n v="0.2342961327223527"/>
    <n v="1.8005074451007536E-2"/>
    <n v="2.586056606921483"/>
    <n v="3.1218196854072904"/>
    <n v="22.118226565378638"/>
    <n v="9.5854270058688559E-2"/>
    <s v="Estatal"/>
  </r>
  <r>
    <x v="3"/>
    <s v="Nuevo León"/>
    <s v="19"/>
    <s v="19.01"/>
    <s v="Monterrey"/>
    <s v="039"/>
    <s v="Monterrey"/>
    <x v="10"/>
    <x v="46"/>
    <n v="1.9094601840000001E-3"/>
    <n v="1.9094601840000001E-3"/>
    <n v="9.9085501440000007E-7"/>
    <n v="2.0281563576E-2"/>
    <n v="3.5608852079999996E-2"/>
    <n v="51.564741239965528"/>
    <n v="0"/>
    <s v="Estatal"/>
  </r>
  <r>
    <x v="3"/>
    <s v="Nuevo León"/>
    <s v="19"/>
    <s v="19.01"/>
    <s v="Monterrey"/>
    <s v="041"/>
    <s v="Pesquería"/>
    <x v="10"/>
    <x v="54"/>
    <n v="0.20440177831706985"/>
    <n v="0.17272162819162604"/>
    <n v="3.9690070615264139E-2"/>
    <n v="1.0185208351713806"/>
    <n v="1.3833080633034225"/>
    <n v="4.3664705492505078"/>
    <n v="3.6604938908181901E-2"/>
    <s v="Estatal"/>
  </r>
  <r>
    <x v="3"/>
    <s v="Nuevo León"/>
    <s v="19"/>
    <s v="19.01"/>
    <s v="Monterrey"/>
    <s v="041"/>
    <s v="Pesquería"/>
    <x v="10"/>
    <x v="55"/>
    <n v="0.11879685501865365"/>
    <n v="0.11789951537368323"/>
    <n v="1.612380796038787E-2"/>
    <n v="1.3055519039370131"/>
    <n v="1.5709767313684777"/>
    <n v="8.5290866074835048E-2"/>
    <n v="5.0598005313010945E-2"/>
    <s v="Estatal"/>
  </r>
  <r>
    <x v="3"/>
    <s v="Nuevo León"/>
    <s v="19"/>
    <s v="19.01"/>
    <s v="Monterrey"/>
    <s v="041"/>
    <s v="Pesquería"/>
    <x v="10"/>
    <x v="56"/>
    <n v="1.2230350930338585"/>
    <n v="0.69743879303385836"/>
    <n v="0.23039853826381265"/>
    <n v="2.9704674632652597"/>
    <n v="5.9822784449045194"/>
    <n v="0.35797931580019571"/>
    <n v="8.5282374911510458E-2"/>
    <s v="Estatal"/>
  </r>
  <r>
    <x v="3"/>
    <s v="Nuevo León"/>
    <s v="19"/>
    <s v="19.01"/>
    <s v="Monterrey"/>
    <s v="041"/>
    <s v="Pesquería"/>
    <x v="10"/>
    <x v="57"/>
    <n v="4.3336641563566586E-3"/>
    <n v="3.5139434462974867E-3"/>
    <n v="6.3387773894949201E-3"/>
    <n v="4.0560542405468469E-2"/>
    <n v="7.3612391644644573E-2"/>
    <n v="2.124547882757343E-3"/>
    <n v="1.5418752117764443E-3"/>
    <s v="Estatal"/>
  </r>
  <r>
    <x v="3"/>
    <s v="Nuevo León"/>
    <s v="19"/>
    <s v="19.01"/>
    <s v="Monterrey"/>
    <s v="041"/>
    <s v="Pesquería"/>
    <x v="10"/>
    <x v="46"/>
    <n v="2.0314740320566873E-3"/>
    <n v="1.6213528486247347E-3"/>
    <n v="3.2259562711754661E-3"/>
    <n v="1.9138436060787776E-2"/>
    <n v="3.0469656292361858E-2"/>
    <n v="21.636734770821025"/>
    <n v="1.064180457697127E-3"/>
    <s v="Estatal"/>
  </r>
  <r>
    <x v="3"/>
    <s v="Nuevo León"/>
    <s v="19"/>
    <s v="19.01"/>
    <s v="Monterrey"/>
    <s v="045"/>
    <s v="Salinas Victoria"/>
    <x v="10"/>
    <x v="47"/>
    <n v="1.373678088E-2"/>
    <n v="1.0195856382958581E-2"/>
    <n v="4.0986569064823666E-4"/>
    <n v="1.8200722320000001E-2"/>
    <n v="3.2763405599999997E-2"/>
    <n v="7.8622454276108019E-4"/>
    <n v="5.7585798816568053E-5"/>
    <s v="Estatal"/>
  </r>
  <r>
    <x v="3"/>
    <s v="Nuevo León"/>
    <s v="19"/>
    <s v="19.01"/>
    <s v="Monterrey"/>
    <s v="045"/>
    <s v="Salinas Victoria"/>
    <x v="10"/>
    <x v="48"/>
    <n v="6.5608370775144609"/>
    <n v="3.581053151768776"/>
    <n v="38.298454061639752"/>
    <n v="15.166712901680491"/>
    <n v="22.067585481093136"/>
    <n v="0.9808383873352825"/>
    <n v="0.65482165584213248"/>
    <s v="Estatal"/>
  </r>
  <r>
    <x v="3"/>
    <s v="Nuevo León"/>
    <s v="19"/>
    <s v="19.01"/>
    <s v="Monterrey"/>
    <s v="045"/>
    <s v="Salinas Victoria"/>
    <x v="10"/>
    <x v="54"/>
    <n v="0.85244579260161091"/>
    <n v="0.85061411260161091"/>
    <n v="7.6933387439210858E-6"/>
    <n v="0.22053685750116245"/>
    <n v="0.38720071923938693"/>
    <n v="9.5405818835003538E-3"/>
    <n v="0"/>
    <s v="Estatal"/>
  </r>
  <r>
    <x v="3"/>
    <s v="Nuevo León"/>
    <s v="19"/>
    <s v="19.01"/>
    <s v="Monterrey"/>
    <s v="045"/>
    <s v="Salinas Victoria"/>
    <x v="10"/>
    <x v="55"/>
    <n v="3.4161359999999997E-3"/>
    <n v="3.4161359999999997E-3"/>
    <n v="1.7726976E-6"/>
    <n v="3.6284904E-2"/>
    <n v="6.3706319999999997E-2"/>
    <n v="1.5697270350403714E-3"/>
    <n v="0"/>
    <s v="Estatal"/>
  </r>
  <r>
    <x v="3"/>
    <s v="Nuevo León"/>
    <s v="19"/>
    <s v="19.01"/>
    <s v="Monterrey"/>
    <s v="045"/>
    <s v="Salinas Victoria"/>
    <x v="10"/>
    <x v="56"/>
    <n v="0.12975929999999999"/>
    <n v="3.8963699999999997E-2"/>
    <n v="5.8752000000000001E-7"/>
    <n v="1.2025800000000001E-2"/>
    <n v="2.1114000000000001E-2"/>
    <n v="5.2025005710332043E-4"/>
    <n v="0"/>
    <s v="Estatal"/>
  </r>
  <r>
    <x v="3"/>
    <s v="Nuevo León"/>
    <s v="19"/>
    <s v="19.01"/>
    <s v="Monterrey"/>
    <s v="045"/>
    <s v="Salinas Victoria"/>
    <x v="10"/>
    <x v="46"/>
    <n v="6.0129557454195952E-2"/>
    <n v="6.0129557454195952E-2"/>
    <n v="4.1540825287942826E-3"/>
    <n v="0.66113855132227251"/>
    <n v="0.83375301089528842"/>
    <n v="35.233988340025583"/>
    <n v="2.2097169180178681E-2"/>
    <s v="Estatal"/>
  </r>
  <r>
    <x v="3"/>
    <s v="Nuevo León"/>
    <s v="19"/>
    <s v="19.01"/>
    <s v="Monterrey"/>
    <s v="046"/>
    <s v="San Nicolás de los Garza"/>
    <x v="10"/>
    <x v="47"/>
    <n v="6.5258560735027196"/>
    <n v="5.1014294637985804"/>
    <n v="7.7453719499217038E-3"/>
    <n v="1.2647923296167676"/>
    <n v="1.6539563921645295"/>
    <n v="14.532485472533576"/>
    <n v="3.8465622715426195E-2"/>
    <s v="Estatal"/>
  </r>
  <r>
    <x v="3"/>
    <s v="Nuevo León"/>
    <s v="19"/>
    <s v="19.01"/>
    <s v="Monterrey"/>
    <s v="046"/>
    <s v="San Nicolás de los Garza"/>
    <x v="10"/>
    <x v="48"/>
    <n v="2.9226268610021724"/>
    <n v="1.8081186755347165"/>
    <n v="0.10877233492395619"/>
    <n v="15.054023968049849"/>
    <n v="17.957243237146276"/>
    <n v="3.1829850113883911"/>
    <n v="0.57300457069980948"/>
    <s v="Estatal"/>
  </r>
  <r>
    <x v="3"/>
    <s v="Nuevo León"/>
    <s v="19"/>
    <s v="19.01"/>
    <s v="Monterrey"/>
    <s v="046"/>
    <s v="San Nicolás de los Garza"/>
    <x v="10"/>
    <x v="60"/>
    <n v="1.8164778808189549E-2"/>
    <n v="1.8164778808189549E-2"/>
    <n v="6.4804776340312344E-6"/>
    <n v="0.1929432605980119"/>
    <n v="0.3387540073637148"/>
    <n v="1.7483468551926322"/>
    <n v="0"/>
    <s v="Estatal"/>
  </r>
  <r>
    <x v="3"/>
    <s v="Nuevo León"/>
    <s v="19"/>
    <s v="19.01"/>
    <s v="Monterrey"/>
    <s v="046"/>
    <s v="San Nicolás de los Garza"/>
    <x v="10"/>
    <x v="50"/>
    <n v="5.6540304960000006E-3"/>
    <n v="4.0301524368284028E-3"/>
    <n v="1.2309096039348865E-2"/>
    <n v="4.7875194144000002E-2"/>
    <n v="0.10836785952000001"/>
    <n v="144.8829162356997"/>
    <n v="1.7328488236686393E-3"/>
    <s v="Estatal"/>
  </r>
  <r>
    <x v="3"/>
    <s v="Nuevo León"/>
    <s v="19"/>
    <s v="19.01"/>
    <s v="Monterrey"/>
    <s v="046"/>
    <s v="San Nicolás de los Garza"/>
    <x v="10"/>
    <x v="51"/>
    <n v="4.9945142640000001E-3"/>
    <n v="4.9945142640000001E-3"/>
    <n v="2.5917479424E-6"/>
    <n v="5.3049840696000009E-2"/>
    <n v="9.3140941679999992E-2"/>
    <n v="2.1262949976426864"/>
    <n v="0"/>
    <s v="Estatal"/>
  </r>
  <r>
    <x v="3"/>
    <s v="Nuevo León"/>
    <s v="19"/>
    <s v="19.01"/>
    <s v="Monterrey"/>
    <s v="046"/>
    <s v="San Nicolás de los Garza"/>
    <x v="10"/>
    <x v="54"/>
    <n v="4.5455367040044647"/>
    <n v="3.2315963429393757"/>
    <n v="0.12538492352575351"/>
    <n v="8.2646146996089573"/>
    <n v="10.660769424323563"/>
    <n v="46.496424498469523"/>
    <n v="0.28584342593248835"/>
    <s v="Estatal"/>
  </r>
  <r>
    <x v="3"/>
    <s v="Nuevo León"/>
    <s v="19"/>
    <s v="19.01"/>
    <s v="Monterrey"/>
    <s v="046"/>
    <s v="San Nicolás de los Garza"/>
    <x v="10"/>
    <x v="56"/>
    <n v="0.86760954696496695"/>
    <n v="0.86760954696496695"/>
    <n v="6.8781285364399342E-2"/>
    <n v="9.5877491730321918"/>
    <n v="11.413469958231072"/>
    <n v="0.62747839279802886"/>
    <n v="0.3662301773350034"/>
    <s v="Estatal"/>
  </r>
  <r>
    <x v="3"/>
    <s v="Nuevo León"/>
    <s v="19"/>
    <s v="19.01"/>
    <s v="Monterrey"/>
    <s v="046"/>
    <s v="San Nicolás de los Garza"/>
    <x v="10"/>
    <x v="61"/>
    <n v="7.9912978777208696E-2"/>
    <n v="6.1744217327267856E-2"/>
    <n v="1.5155286960675475E-3"/>
    <n v="0.19332454544649186"/>
    <n v="0.23933076758561389"/>
    <n v="1.2309341902732413E-2"/>
    <n v="6.8288253478411961E-3"/>
    <s v="Estatal"/>
  </r>
  <r>
    <x v="3"/>
    <s v="Nuevo León"/>
    <s v="19"/>
    <s v="19.01"/>
    <s v="Monterrey"/>
    <s v="046"/>
    <s v="San Nicolás de los Garza"/>
    <x v="10"/>
    <x v="58"/>
    <n v="1.0977687203102549E-2"/>
    <n v="9.7230126468895312E-3"/>
    <n v="9.5594707032145669E-3"/>
    <n v="0.10744787672861997"/>
    <n v="0.20370943541281078"/>
    <n v="4.7674315781806751E-3"/>
    <n v="1.5904645593762786E-3"/>
    <s v="Estatal"/>
  </r>
  <r>
    <x v="3"/>
    <s v="Nuevo León"/>
    <s v="19"/>
    <s v="19.01"/>
    <s v="Monterrey"/>
    <s v="046"/>
    <s v="San Nicolás de los Garza"/>
    <x v="10"/>
    <x v="46"/>
    <n v="5.3321596484591991"/>
    <n v="4.8621800813719576"/>
    <n v="2.9534767837853201E-4"/>
    <n v="6.2413005594312662E-2"/>
    <n v="8.6217956070408705E-2"/>
    <n v="16.590142293505643"/>
    <n v="1.5792665137111474E-3"/>
    <s v="Estatal"/>
  </r>
  <r>
    <x v="3"/>
    <s v="Nuevo León"/>
    <s v="19"/>
    <s v="19.01"/>
    <s v="Monterrey"/>
    <s v="048"/>
    <s v="Santa Catarina"/>
    <x v="10"/>
    <x v="47"/>
    <n v="62.78388240008271"/>
    <n v="53.450353351568943"/>
    <n v="3.8466171217398551E-2"/>
    <n v="5.7401257588908523"/>
    <n v="7.161504324902797"/>
    <n v="75.955910731235932"/>
    <n v="0.1970585067342252"/>
    <s v="Estatal"/>
  </r>
  <r>
    <x v="3"/>
    <s v="Nuevo León"/>
    <s v="19"/>
    <s v="19.01"/>
    <s v="Monterrey"/>
    <s v="048"/>
    <s v="Santa Catarina"/>
    <x v="10"/>
    <x v="48"/>
    <n v="18.999764805428846"/>
    <n v="6.4426340496448464"/>
    <n v="0.12929458922794121"/>
    <n v="15.703223175706849"/>
    <n v="18.800346875392215"/>
    <n v="1.041920597062318"/>
    <n v="0.59762228616054724"/>
    <s v="Estatal"/>
  </r>
  <r>
    <x v="3"/>
    <s v="Nuevo León"/>
    <s v="19"/>
    <s v="19.01"/>
    <s v="Monterrey"/>
    <s v="048"/>
    <s v="Santa Catarina"/>
    <x v="10"/>
    <x v="60"/>
    <n v="1.5290447042018771"/>
    <n v="0.23655101662791264"/>
    <n v="0.2094419010576547"/>
    <n v="0.22950175059250996"/>
    <n v="0.79035060469187024"/>
    <n v="1.0343492459949808E-2"/>
    <n v="3.117879247780514E-2"/>
    <s v="Estatal"/>
  </r>
  <r>
    <x v="3"/>
    <s v="Nuevo León"/>
    <s v="19"/>
    <s v="19.01"/>
    <s v="Monterrey"/>
    <s v="048"/>
    <s v="Santa Catarina"/>
    <x v="10"/>
    <x v="45"/>
    <n v="434.23532396135408"/>
    <n v="213.90993114785599"/>
    <n v="2.1935861064523725"/>
    <n v="26.174100377145031"/>
    <n v="40.826151380926547"/>
    <n v="1.6665803685554572"/>
    <n v="1.1755899524336064"/>
    <s v="Estatal"/>
  </r>
  <r>
    <x v="3"/>
    <s v="Nuevo León"/>
    <s v="19"/>
    <s v="19.01"/>
    <s v="Monterrey"/>
    <s v="048"/>
    <s v="Santa Catarina"/>
    <x v="10"/>
    <x v="50"/>
    <n v="0"/>
    <n v="0"/>
    <n v="0"/>
    <n v="0"/>
    <n v="0"/>
    <n v="1.3341888"/>
    <n v="0"/>
    <s v="Estatal"/>
  </r>
  <r>
    <x v="3"/>
    <s v="Nuevo León"/>
    <s v="19"/>
    <s v="19.01"/>
    <s v="Monterrey"/>
    <s v="048"/>
    <s v="Santa Catarina"/>
    <x v="10"/>
    <x v="52"/>
    <n v="0.72914625780912434"/>
    <n v="0.42494625780912443"/>
    <n v="8.4359030301832014E-4"/>
    <n v="0.13569900494297374"/>
    <n v="0.17184521665424668"/>
    <n v="8.4764851182024311E-3"/>
    <n v="4.4870058857708799E-3"/>
    <s v="Estatal"/>
  </r>
  <r>
    <x v="3"/>
    <s v="Nuevo León"/>
    <s v="19"/>
    <s v="19.01"/>
    <s v="Monterrey"/>
    <s v="048"/>
    <s v="Santa Catarina"/>
    <x v="10"/>
    <x v="53"/>
    <n v="1.4582487999999999E-2"/>
    <n v="1.3530388000000001E-2"/>
    <n v="6.5710080000000007E-7"/>
    <n v="0.11635003200000001"/>
    <n v="0.20421456000000002"/>
    <n v="4.9818639854347724E-3"/>
    <n v="0"/>
    <s v="Estatal"/>
  </r>
  <r>
    <x v="3"/>
    <s v="Nuevo León"/>
    <s v="19"/>
    <s v="19.01"/>
    <s v="Monterrey"/>
    <s v="048"/>
    <s v="Santa Catarina"/>
    <x v="10"/>
    <x v="54"/>
    <n v="2.1081998169272316"/>
    <n v="1.739612929399394"/>
    <n v="3.9987961829401196E-2"/>
    <n v="5.8283347873323033"/>
    <n v="7.3778137174443144"/>
    <n v="14.245436958018304"/>
    <n v="0.19388813845457167"/>
    <s v="Estatal"/>
  </r>
  <r>
    <x v="3"/>
    <s v="Nuevo León"/>
    <s v="19"/>
    <s v="19.01"/>
    <s v="Monterrey"/>
    <s v="048"/>
    <s v="Santa Catarina"/>
    <x v="10"/>
    <x v="55"/>
    <n v="0.2077684974157239"/>
    <n v="0.11810851464649313"/>
    <n v="8.8646655915933029E-3"/>
    <n v="9.7817116274829627E-2"/>
    <n v="0.18924474250878887"/>
    <n v="4.2065119824856992E-3"/>
    <n v="1.2476923076923077E-3"/>
    <s v="Estatal"/>
  </r>
  <r>
    <x v="3"/>
    <s v="Nuevo León"/>
    <s v="19"/>
    <s v="19.01"/>
    <s v="Monterrey"/>
    <s v="048"/>
    <s v="Santa Catarina"/>
    <x v="10"/>
    <x v="56"/>
    <n v="50.957218101879839"/>
    <n v="30.673568175695891"/>
    <n v="0.36607161549251888"/>
    <n v="27.96417977051307"/>
    <n v="18.162747608102126"/>
    <n v="0.92950550889704997"/>
    <n v="0.56203824657891488"/>
    <s v="Estatal"/>
  </r>
  <r>
    <x v="3"/>
    <s v="Nuevo León"/>
    <s v="19"/>
    <s v="19.01"/>
    <s v="Monterrey"/>
    <s v="048"/>
    <s v="Santa Catarina"/>
    <x v="10"/>
    <x v="57"/>
    <n v="0.10984311333870178"/>
    <n v="0.10983981340970769"/>
    <n v="8.5520706426446599E-3"/>
    <n v="1.2128397276083935"/>
    <n v="1.4576218844901958"/>
    <n v="6.9224344325236897"/>
    <n v="4.5400043607530853E-2"/>
    <s v="Estatal"/>
  </r>
  <r>
    <x v="3"/>
    <s v="Nuevo León"/>
    <s v="19"/>
    <s v="19.01"/>
    <s v="Monterrey"/>
    <s v="048"/>
    <s v="Santa Catarina"/>
    <x v="10"/>
    <x v="58"/>
    <n v="4.2234192020795182E-2"/>
    <n v="4.2212210060795181E-2"/>
    <n v="2.1994755204431675E-3"/>
    <n v="0.45147168871970533"/>
    <n v="0.66425811250655242"/>
    <n v="121.47885444500798"/>
    <n v="9.2730363168725145E-3"/>
    <s v="Estatal"/>
  </r>
  <r>
    <x v="3"/>
    <s v="Nuevo León"/>
    <s v="19"/>
    <s v="19.01"/>
    <s v="Monterrey"/>
    <s v="048"/>
    <s v="Santa Catarina"/>
    <x v="10"/>
    <x v="46"/>
    <n v="8.7276469933325966"/>
    <n v="6.8819900064154371"/>
    <n v="0.144339045347082"/>
    <n v="19.910724777576377"/>
    <n v="24.304393601660649"/>
    <n v="307.32615226962605"/>
    <n v="0.72243072007458498"/>
    <s v="Estatal"/>
  </r>
  <r>
    <x v="3"/>
    <s v="Nuevo León"/>
    <s v="19"/>
    <s v="19.01"/>
    <s v="Monterrey"/>
    <s v="049"/>
    <s v="Santiago"/>
    <x v="10"/>
    <x v="45"/>
    <n v="62.308104439999994"/>
    <n v="37.750212008094671"/>
    <n v="0.41484421065088761"/>
    <n v="0.41906220000000011"/>
    <n v="4.8570107999999994"/>
    <n v="1.7733254437869821E-2"/>
    <n v="3.2222805562130183E-2"/>
    <s v="Estatal"/>
  </r>
  <r>
    <x v="3"/>
    <s v="Nuevo León"/>
    <s v="19"/>
    <s v="19.01"/>
    <s v="Monterrey"/>
    <s v="049"/>
    <s v="Santiago"/>
    <x v="10"/>
    <x v="56"/>
    <n v="19.78036542756"/>
    <n v="11.961504044258515"/>
    <n v="8.1798864076527339E-2"/>
    <n v="7.2972439199999989E-2"/>
    <n v="0.28970733599999998"/>
    <n v="2.9249090844411765E-3"/>
    <n v="1.1517159763313609E-2"/>
    <s v="Estatal"/>
  </r>
  <r>
    <x v="3"/>
    <s v="Nuevo León"/>
    <s v="19"/>
    <s v="19.01"/>
    <s v="Monterrey"/>
    <s v="19001"/>
    <s v="Abasolo"/>
    <x v="11"/>
    <x v="62"/>
    <n v="1.2324520000000001"/>
    <n v="0.88901200000000002"/>
    <n v="0"/>
    <n v="3.9199999999999999E-2"/>
    <n v="6.7400000000000002E-2"/>
    <n v="1E-4"/>
    <n v="0"/>
    <s v="Federal"/>
  </r>
  <r>
    <x v="3"/>
    <s v="Nuevo León"/>
    <s v="19"/>
    <s v="19.01"/>
    <s v="Monterrey"/>
    <s v="19006"/>
    <s v="Apodaca"/>
    <x v="11"/>
    <x v="63"/>
    <n v="11.005023020416644"/>
    <n v="6.4341016627354577"/>
    <n v="0.17760000000000004"/>
    <n v="24.339399999999998"/>
    <n v="178.95482000000001"/>
    <n v="91.513268197679992"/>
    <n v="0.9486"/>
    <s v="Federal"/>
  </r>
  <r>
    <x v="3"/>
    <s v="Nuevo León"/>
    <s v="19"/>
    <s v="19.01"/>
    <s v="Monterrey"/>
    <s v="19006"/>
    <s v="Apodaca"/>
    <x v="11"/>
    <x v="64"/>
    <n v="9.9907435743999997"/>
    <n v="9.990722336444799"/>
    <n v="0.78573259151999997"/>
    <n v="110.40100616800001"/>
    <n v="245.86892288880003"/>
    <n v="7.1977224861680007"/>
    <n v="4.2017000000000007"/>
    <s v="Federal"/>
  </r>
  <r>
    <x v="3"/>
    <s v="Nuevo León"/>
    <s v="19"/>
    <s v="19.01"/>
    <s v="Monterrey"/>
    <s v="19006"/>
    <s v="Apodaca"/>
    <x v="11"/>
    <x v="65"/>
    <n v="0.27609999999999996"/>
    <n v="3.4512499999999995E-2"/>
    <n v="0.78289999999999993"/>
    <n v="2.5636999999999999"/>
    <n v="11.9123"/>
    <n v="0.7681"/>
    <n v="0"/>
    <s v="Federal"/>
  </r>
  <r>
    <x v="3"/>
    <s v="Nuevo León"/>
    <s v="19"/>
    <s v="19.01"/>
    <s v="Monterrey"/>
    <s v="19006"/>
    <s v="Apodaca"/>
    <x v="11"/>
    <x v="62"/>
    <n v="139.22798940067645"/>
    <n v="106.95250924888158"/>
    <n v="5.7947201342963197"/>
    <n v="811.19714820148477"/>
    <n v="962.02564238271998"/>
    <n v="142.70741463104963"/>
    <n v="30.943372286875203"/>
    <s v="Federal"/>
  </r>
  <r>
    <x v="3"/>
    <s v="Nuevo León"/>
    <s v="19"/>
    <s v="19.01"/>
    <s v="Monterrey"/>
    <s v="19006"/>
    <s v="Apodaca"/>
    <x v="11"/>
    <x v="66"/>
    <n v="2.7209936124863998"/>
    <n v="1.3097274062432001"/>
    <n v="0"/>
    <n v="0"/>
    <n v="0"/>
    <n v="0.57477769184860761"/>
    <n v="0"/>
    <s v="Federal"/>
  </r>
  <r>
    <x v="3"/>
    <s v="Nuevo León"/>
    <s v="19"/>
    <s v="19.01"/>
    <s v="Monterrey"/>
    <s v="19006"/>
    <s v="Apodaca"/>
    <x v="11"/>
    <x v="67"/>
    <n v="3.0617031680000002"/>
    <n v="3.0617004680000006"/>
    <n v="0.24200145242395998"/>
    <n v="33.835358864"/>
    <n v="40.301469400000002"/>
    <n v="2.2132000000000001"/>
    <n v="1.2917999999999998"/>
    <s v="Federal"/>
  </r>
  <r>
    <x v="3"/>
    <s v="Nuevo León"/>
    <s v="19"/>
    <s v="19.01"/>
    <s v="Monterrey"/>
    <s v="19006"/>
    <s v="Apodaca"/>
    <x v="11"/>
    <x v="68"/>
    <n v="9.7113999999999992E-2"/>
    <n v="9.1330000000000022E-2"/>
    <n v="1.0149999999999999E-2"/>
    <n v="0.48185"/>
    <n v="0.38849"/>
    <n v="5.7735564799999999"/>
    <n v="0"/>
    <s v="Federal"/>
  </r>
  <r>
    <x v="3"/>
    <s v="Nuevo León"/>
    <s v="19"/>
    <s v="19.01"/>
    <s v="Monterrey"/>
    <s v="19006"/>
    <s v="Apodaca"/>
    <x v="11"/>
    <x v="69"/>
    <n v="29.451696000000002"/>
    <n v="29.011289999999999"/>
    <n v="5.16E-2"/>
    <n v="7.2471999999999994"/>
    <n v="181.2261"/>
    <n v="194.25324000000003"/>
    <n v="0.27700000000000002"/>
    <s v="Federal"/>
  </r>
  <r>
    <x v="3"/>
    <s v="Nuevo León"/>
    <s v="19"/>
    <s v="19.01"/>
    <s v="Monterrey"/>
    <s v="19009"/>
    <s v="Cadereyta Jiménez"/>
    <x v="11"/>
    <x v="62"/>
    <n v="10.061999999999999"/>
    <n v="8.9504999999999999"/>
    <n v="0.216"/>
    <n v="0"/>
    <n v="0.18"/>
    <n v="0.315"/>
    <n v="0"/>
    <s v="Federal"/>
  </r>
  <r>
    <x v="3"/>
    <s v="Nuevo León"/>
    <s v="19"/>
    <s v="19.01"/>
    <s v="Monterrey"/>
    <s v="19009"/>
    <s v="Cadereyta Jiménez"/>
    <x v="11"/>
    <x v="70"/>
    <n v="951.25485789982599"/>
    <n v="517.5974275118333"/>
    <n v="8728.4511616795262"/>
    <n v="1218.2370813533239"/>
    <n v="3372.1771170814018"/>
    <n v="1218.8225375257123"/>
    <n v="52.312664450831662"/>
    <s v="Federal"/>
  </r>
  <r>
    <x v="3"/>
    <s v="Nuevo León"/>
    <s v="19"/>
    <s v="19.01"/>
    <s v="Monterrey"/>
    <s v="19009"/>
    <s v="Cadereyta Jiménez"/>
    <x v="11"/>
    <x v="67"/>
    <n v="9.5799999999999996E-2"/>
    <n v="9.5799999999999996E-2"/>
    <n v="0"/>
    <n v="1.0169999999999999"/>
    <n v="1.7857000000000001"/>
    <n v="0"/>
    <n v="0"/>
    <s v="Federal"/>
  </r>
  <r>
    <x v="3"/>
    <s v="Nuevo León"/>
    <s v="19"/>
    <s v="19.01"/>
    <s v="Monterrey"/>
    <s v="19009"/>
    <s v="Cadereyta Jiménez"/>
    <x v="11"/>
    <x v="68"/>
    <n v="1.7917200000000001E-2"/>
    <n v="1.2127199999999999E-2"/>
    <n v="0.98709999999999987"/>
    <n v="2.0672000000000001"/>
    <n v="0.5474"/>
    <n v="0"/>
    <n v="0"/>
    <s v="Federal"/>
  </r>
  <r>
    <x v="3"/>
    <s v="Nuevo León"/>
    <s v="19"/>
    <s v="19.01"/>
    <s v="Monterrey"/>
    <s v="19010"/>
    <s v="El Carmen"/>
    <x v="11"/>
    <x v="71"/>
    <n v="31.687262277332799"/>
    <n v="21.817825168552801"/>
    <n v="0.47839999999999994"/>
    <n v="72.47689901216205"/>
    <n v="44.927726089980922"/>
    <n v="4.384500000000001"/>
    <n v="2.5595000000000003"/>
    <s v="Federal"/>
  </r>
  <r>
    <x v="3"/>
    <s v="Nuevo León"/>
    <s v="19"/>
    <s v="19.01"/>
    <s v="Monterrey"/>
    <s v="19010"/>
    <s v="El Carmen"/>
    <x v="11"/>
    <x v="62"/>
    <n v="1.1641586399999999"/>
    <n v="0.85439664000000015"/>
    <n v="3.1262399999999997E-3"/>
    <n v="0.61037359999999996"/>
    <n v="0.82423999999999997"/>
    <n v="2.8657200000000004E-2"/>
    <n v="1.6728640499999999E-2"/>
    <s v="Federal"/>
  </r>
  <r>
    <x v="3"/>
    <s v="Nuevo León"/>
    <s v="19"/>
    <s v="19.01"/>
    <s v="Monterrey"/>
    <s v="19010"/>
    <s v="El Carmen"/>
    <x v="11"/>
    <x v="67"/>
    <n v="0.55940000000000001"/>
    <n v="0.55940000000000001"/>
    <n v="4.4199999999999996E-2"/>
    <n v="6.1837999999999997"/>
    <n v="7.3616999999999999"/>
    <n v="0.40479999999999999"/>
    <n v="0.2364"/>
    <s v="Federal"/>
  </r>
  <r>
    <x v="3"/>
    <s v="Nuevo León"/>
    <s v="19"/>
    <s v="19.01"/>
    <s v="Monterrey"/>
    <s v="19012"/>
    <s v="Ciénega de Flores"/>
    <x v="11"/>
    <x v="63"/>
    <n v="38.186117077975901"/>
    <n v="30.926522286586252"/>
    <n v="0.58080000000000009"/>
    <n v="90.337460516687301"/>
    <n v="138.0394"/>
    <n v="150.43705099995995"/>
    <n v="3.0686000000000013"/>
    <s v="Federal"/>
  </r>
  <r>
    <x v="3"/>
    <s v="Nuevo León"/>
    <s v="19"/>
    <s v="19.01"/>
    <s v="Monterrey"/>
    <s v="19012"/>
    <s v="Ciénega de Flores"/>
    <x v="11"/>
    <x v="62"/>
    <n v="32.262721107343999"/>
    <n v="23.859942034471995"/>
    <n v="0.18813232960000001"/>
    <n v="23.051426143999997"/>
    <n v="48.21172159999999"/>
    <n v="20.930787688000002"/>
    <n v="0.87170695537000009"/>
    <s v="Federal"/>
  </r>
  <r>
    <x v="3"/>
    <s v="Nuevo León"/>
    <s v="19"/>
    <s v="19.01"/>
    <s v="Monterrey"/>
    <s v="19012"/>
    <s v="Ciénega de Flores"/>
    <x v="11"/>
    <x v="66"/>
    <n v="0.41742404231839991"/>
    <n v="0.23641202115919996"/>
    <n v="0"/>
    <n v="0.5877"/>
    <n v="1.0316999999999998"/>
    <n v="4.9586958943752348E-2"/>
    <n v="0"/>
    <s v="Federal"/>
  </r>
  <r>
    <x v="3"/>
    <s v="Nuevo León"/>
    <s v="19"/>
    <s v="19.01"/>
    <s v="Monterrey"/>
    <s v="19012"/>
    <s v="Ciénega de Flores"/>
    <x v="11"/>
    <x v="67"/>
    <n v="5.3723367143398013"/>
    <n v="3.7095183571699"/>
    <n v="12.553340080000002"/>
    <n v="22.1708"/>
    <n v="303.35304260999999"/>
    <n v="0.72240000000000004"/>
    <n v="0.42169999999999996"/>
    <s v="Federal"/>
  </r>
  <r>
    <x v="3"/>
    <s v="Nuevo León"/>
    <s v="19"/>
    <s v="19.01"/>
    <s v="Monterrey"/>
    <s v="19018"/>
    <s v="García"/>
    <x v="11"/>
    <x v="63"/>
    <n v="590.59625312224034"/>
    <n v="260.68980238975843"/>
    <n v="1.2246323848639991"/>
    <n v="884.86873879850987"/>
    <n v="199.37816414399992"/>
    <n v="42.088493527919987"/>
    <n v="6.4016690219232908"/>
    <s v="Federal"/>
  </r>
  <r>
    <x v="3"/>
    <s v="Nuevo León"/>
    <s v="19"/>
    <s v="19.01"/>
    <s v="Monterrey"/>
    <s v="19018"/>
    <s v="García"/>
    <x v="11"/>
    <x v="71"/>
    <n v="42.211267275966478"/>
    <n v="22.782401637983238"/>
    <n v="4.7049999999999988E-2"/>
    <n v="65.859499999999997"/>
    <n v="78.404299999999992"/>
    <n v="4.3121999999999998"/>
    <n v="2.5171999999999999"/>
    <s v="Federal"/>
  </r>
  <r>
    <x v="3"/>
    <s v="Nuevo León"/>
    <s v="19"/>
    <s v="19.01"/>
    <s v="Monterrey"/>
    <s v="19018"/>
    <s v="García"/>
    <x v="11"/>
    <x v="65"/>
    <n v="69.728074635550001"/>
    <n v="69.728074635550001"/>
    <n v="5.9533000000000005"/>
    <n v="732.39879999999994"/>
    <n v="575.71599100000003"/>
    <n v="29.523199999999999"/>
    <n v="10.322699999999999"/>
    <s v="Federal"/>
  </r>
  <r>
    <x v="3"/>
    <s v="Nuevo León"/>
    <s v="19"/>
    <s v="19.01"/>
    <s v="Monterrey"/>
    <s v="19018"/>
    <s v="García"/>
    <x v="11"/>
    <x v="62"/>
    <n v="277.09270847387199"/>
    <n v="210.16801961323603"/>
    <n v="64.954540359416782"/>
    <n v="207.46329911047999"/>
    <n v="411.69697864099999"/>
    <n v="21.724370796104004"/>
    <n v="5.0203782672994297"/>
    <s v="Federal"/>
  </r>
  <r>
    <x v="3"/>
    <s v="Nuevo León"/>
    <s v="19"/>
    <s v="19.01"/>
    <s v="Monterrey"/>
    <s v="19018"/>
    <s v="García"/>
    <x v="11"/>
    <x v="70"/>
    <n v="0"/>
    <n v="0"/>
    <n v="0"/>
    <n v="0"/>
    <n v="0"/>
    <n v="1.743E-3"/>
    <n v="0"/>
    <s v="Federal"/>
  </r>
  <r>
    <x v="3"/>
    <s v="Nuevo León"/>
    <s v="19"/>
    <s v="19.01"/>
    <s v="Monterrey"/>
    <s v="19018"/>
    <s v="García"/>
    <x v="11"/>
    <x v="66"/>
    <n v="2.1157596339999998"/>
    <n v="1.0902494271600001"/>
    <n v="0"/>
    <n v="0"/>
    <n v="0"/>
    <n v="65.466059999999999"/>
    <n v="0"/>
    <s v="Federal"/>
  </r>
  <r>
    <x v="3"/>
    <s v="Nuevo León"/>
    <s v="19"/>
    <s v="19.01"/>
    <s v="Monterrey"/>
    <s v="19018"/>
    <s v="García"/>
    <x v="11"/>
    <x v="67"/>
    <n v="32.426871490799989"/>
    <n v="19.77788684714"/>
    <n v="23.515344041296004"/>
    <n v="60.310456974518416"/>
    <n v="160.734872104"/>
    <n v="8.3178058456399988"/>
    <n v="1.7078662618559999"/>
    <s v="Federal"/>
  </r>
  <r>
    <x v="3"/>
    <s v="Nuevo León"/>
    <s v="19"/>
    <s v="19.01"/>
    <s v="Monterrey"/>
    <s v="19018"/>
    <s v="García"/>
    <x v="11"/>
    <x v="68"/>
    <n v="4.5976447000000004E-2"/>
    <n v="4.5947922000000002E-2"/>
    <n v="0"/>
    <n v="0.48730000000000001"/>
    <n v="0.85560000000000003"/>
    <n v="0"/>
    <n v="0"/>
    <s v="Federal"/>
  </r>
  <r>
    <x v="3"/>
    <s v="Nuevo León"/>
    <s v="19"/>
    <s v="19.01"/>
    <s v="Monterrey"/>
    <s v="19018"/>
    <s v="García"/>
    <x v="11"/>
    <x v="69"/>
    <n v="48.66256915540189"/>
    <n v="45.448191572309433"/>
    <n v="470.14294762164798"/>
    <n v="135.02986703072003"/>
    <n v="1018.2762036079998"/>
    <n v="25.253172088440003"/>
    <n v="5.9940377420893496"/>
    <s v="Federal"/>
  </r>
  <r>
    <x v="3"/>
    <s v="Nuevo León"/>
    <s v="19"/>
    <s v="19.01"/>
    <s v="Monterrey"/>
    <s v="19019"/>
    <s v="San Pedro Garza García"/>
    <x v="11"/>
    <x v="65"/>
    <n v="4.4096000000000002"/>
    <n v="4.4096000000000002"/>
    <n v="6.0100000000000001E-2"/>
    <n v="6.9083000000000006"/>
    <n v="26.958500000000001"/>
    <n v="0.1769"/>
    <n v="0"/>
    <s v="Federal"/>
  </r>
  <r>
    <x v="3"/>
    <s v="Nuevo León"/>
    <s v="19"/>
    <s v="19.01"/>
    <s v="Monterrey"/>
    <s v="19019"/>
    <s v="San Pedro Garza García"/>
    <x v="11"/>
    <x v="62"/>
    <n v="19.641344898600011"/>
    <n v="14.782635750799997"/>
    <n v="2.7599999999999996E-2"/>
    <n v="3.7460000000000013"/>
    <n v="4.4616999999999987"/>
    <n v="85.951001999999988"/>
    <n v="0.14319999999999999"/>
    <s v="Federal"/>
  </r>
  <r>
    <x v="3"/>
    <s v="Nuevo León"/>
    <s v="19"/>
    <s v="19.01"/>
    <s v="Monterrey"/>
    <s v="19019"/>
    <s v="San Pedro Garza García"/>
    <x v="11"/>
    <x v="67"/>
    <n v="1.0375289999999999"/>
    <n v="1.0226582"/>
    <n v="7.9299999999999995E-2"/>
    <n v="0.68310000000000004"/>
    <n v="77.811000000000007"/>
    <n v="236.70141000000001"/>
    <n v="0.42430000000000001"/>
    <s v="Federal"/>
  </r>
  <r>
    <x v="3"/>
    <s v="Nuevo León"/>
    <s v="19"/>
    <s v="19.01"/>
    <s v="Monterrey"/>
    <s v="19021"/>
    <s v="General Escobedo"/>
    <x v="11"/>
    <x v="63"/>
    <n v="110.54723774887921"/>
    <n v="61.786600817316909"/>
    <n v="7.4499999999999997E-2"/>
    <n v="10.362500000000001"/>
    <n v="12.336799999999997"/>
    <n v="74.695229949999998"/>
    <n v="0.39539999999999997"/>
    <s v="Federal"/>
  </r>
  <r>
    <x v="3"/>
    <s v="Nuevo León"/>
    <s v="19"/>
    <s v="19.01"/>
    <s v="Monterrey"/>
    <s v="19021"/>
    <s v="General Escobedo"/>
    <x v="11"/>
    <x v="62"/>
    <n v="34.753139600000004"/>
    <n v="26.602262699999997"/>
    <n v="1.0470000000000002"/>
    <n v="6.5291999999999932"/>
    <n v="10.213396762616991"/>
    <n v="0.56949999999999978"/>
    <n v="0.22750000000000009"/>
    <s v="Federal"/>
  </r>
  <r>
    <x v="3"/>
    <s v="Nuevo León"/>
    <s v="19"/>
    <s v="19.01"/>
    <s v="Monterrey"/>
    <s v="19021"/>
    <s v="General Escobedo"/>
    <x v="11"/>
    <x v="67"/>
    <n v="0.43661999999999995"/>
    <n v="0.354356"/>
    <n v="1.9900000000000001E-2"/>
    <n v="3.6186000000000003"/>
    <n v="3.6137999999999999"/>
    <n v="0.18290000000000001"/>
    <n v="0.10679999999999999"/>
    <s v="Federal"/>
  </r>
  <r>
    <x v="3"/>
    <s v="Nuevo León"/>
    <s v="19"/>
    <s v="19.01"/>
    <s v="Monterrey"/>
    <s v="19026"/>
    <s v="Guadalupe"/>
    <x v="11"/>
    <x v="64"/>
    <n v="7.6065000000000014"/>
    <n v="7.6065000000000014"/>
    <n v="0.60050000000000003"/>
    <n v="401.94763168100604"/>
    <n v="165.66118298926975"/>
    <n v="5.5048000000000004"/>
    <n v="3.2134"/>
    <s v="Federal"/>
  </r>
  <r>
    <x v="3"/>
    <s v="Nuevo León"/>
    <s v="19"/>
    <s v="19.01"/>
    <s v="Monterrey"/>
    <s v="19026"/>
    <s v="Guadalupe"/>
    <x v="11"/>
    <x v="62"/>
    <n v="21.185023861455999"/>
    <n v="16.101438710728001"/>
    <n v="6.2099999999999995E-2"/>
    <n v="8.7079000000000004"/>
    <n v="14.282699999999998"/>
    <n v="10.2883"/>
    <n v="8.1399999999999986E-2"/>
    <s v="Federal"/>
  </r>
  <r>
    <x v="3"/>
    <s v="Nuevo León"/>
    <s v="19"/>
    <s v="19.01"/>
    <s v="Monterrey"/>
    <s v="19026"/>
    <s v="Guadalupe"/>
    <x v="11"/>
    <x v="66"/>
    <n v="1.5147000000000001E-2"/>
    <n v="8.3160000000000005E-3"/>
    <n v="0"/>
    <n v="0"/>
    <n v="0"/>
    <n v="242.46858"/>
    <n v="0"/>
    <s v="Federal"/>
  </r>
  <r>
    <x v="3"/>
    <s v="Nuevo León"/>
    <s v="19"/>
    <s v="19.01"/>
    <s v="Monterrey"/>
    <s v="19026"/>
    <s v="Guadalupe"/>
    <x v="11"/>
    <x v="67"/>
    <n v="4.5484341727472613"/>
    <n v="4.3768913799153255"/>
    <n v="0.33006761186051758"/>
    <n v="46.026524737504261"/>
    <n v="54.791052750573783"/>
    <n v="1120.5788885532891"/>
    <n v="1.7579266701695984"/>
    <s v="Federal"/>
  </r>
  <r>
    <x v="3"/>
    <s v="Nuevo León"/>
    <s v="19"/>
    <s v="19.01"/>
    <s v="Monterrey"/>
    <s v="19031"/>
    <s v="Juárez"/>
    <x v="11"/>
    <x v="65"/>
    <n v="2.3948746405711048"/>
    <n v="2.3948746405711048"/>
    <n v="0.21279999999999999"/>
    <n v="24.445599999999999"/>
    <n v="95.396000000000001"/>
    <n v="0.626"/>
    <n v="0"/>
    <s v="Federal"/>
  </r>
  <r>
    <x v="3"/>
    <s v="Nuevo León"/>
    <s v="19"/>
    <s v="19.01"/>
    <s v="Monterrey"/>
    <s v="19031"/>
    <s v="Juárez"/>
    <x v="11"/>
    <x v="66"/>
    <n v="0.13248000000000001"/>
    <n v="0.12765000000000001"/>
    <n v="0"/>
    <n v="0"/>
    <n v="0"/>
    <n v="1.75093629755143"/>
    <n v="0"/>
    <s v="Federal"/>
  </r>
  <r>
    <x v="3"/>
    <s v="Nuevo León"/>
    <s v="19"/>
    <s v="19.01"/>
    <s v="Monterrey"/>
    <s v="19039"/>
    <s v="Monterrey"/>
    <x v="11"/>
    <x v="64"/>
    <n v="2.8324228471999997"/>
    <n v="2.4366840406108206"/>
    <n v="9.0149568759999993E-2"/>
    <n v="9.1990250339999999"/>
    <n v="6.2519489394000001"/>
    <n v="0.60177609003400001"/>
    <n v="0.35060000000000002"/>
    <s v="Federal"/>
  </r>
  <r>
    <x v="3"/>
    <s v="Nuevo León"/>
    <s v="19"/>
    <s v="19.01"/>
    <s v="Monterrey"/>
    <s v="19039"/>
    <s v="Monterrey"/>
    <x v="11"/>
    <x v="71"/>
    <n v="150.34759504489301"/>
    <n v="95.657731844893007"/>
    <n v="1792.5743"/>
    <n v="2030.877"/>
    <n v="2040.4110000000001"/>
    <n v="60.456699999999998"/>
    <n v="1.548987174026488"/>
    <s v="Federal"/>
  </r>
  <r>
    <x v="3"/>
    <s v="Nuevo León"/>
    <s v="19"/>
    <s v="19.01"/>
    <s v="Monterrey"/>
    <s v="19039"/>
    <s v="Monterrey"/>
    <x v="11"/>
    <x v="65"/>
    <n v="24.074608106472002"/>
    <n v="20.516333106472"/>
    <n v="3.8763999999999998"/>
    <n v="137.05389999999997"/>
    <n v="566.18389999999999"/>
    <n v="4.1370000000000005"/>
    <n v="0.54370000000000007"/>
    <s v="Federal"/>
  </r>
  <r>
    <x v="3"/>
    <s v="Nuevo León"/>
    <s v="19"/>
    <s v="19.01"/>
    <s v="Monterrey"/>
    <s v="19039"/>
    <s v="Monterrey"/>
    <x v="11"/>
    <x v="62"/>
    <n v="26.353376643803436"/>
    <n v="22.065804950999858"/>
    <n v="0.8790189385599998"/>
    <n v="111.56995139840001"/>
    <n v="204.3701897599999"/>
    <n v="112.6006869368"/>
    <n v="4.7015618618570025"/>
    <s v="Federal"/>
  </r>
  <r>
    <x v="3"/>
    <s v="Nuevo León"/>
    <s v="19"/>
    <s v="19.01"/>
    <s v="Monterrey"/>
    <s v="19039"/>
    <s v="Monterrey"/>
    <x v="11"/>
    <x v="66"/>
    <n v="0.33427259442400004"/>
    <n v="0.21256740721200001"/>
    <n v="2.4000000000000002E-3"/>
    <n v="0.34040000000000004"/>
    <n v="0.40529999999999999"/>
    <n v="338.8820187"/>
    <n v="1.3000000000000001E-2"/>
    <s v="Federal"/>
  </r>
  <r>
    <x v="3"/>
    <s v="Nuevo León"/>
    <s v="19"/>
    <s v="19.01"/>
    <s v="Monterrey"/>
    <s v="19039"/>
    <s v="Monterrey"/>
    <x v="11"/>
    <x v="67"/>
    <n v="40.983186285575769"/>
    <n v="23.113167274767548"/>
    <n v="0.28896910086304001"/>
    <n v="24.68018152141504"/>
    <n v="40.888604978678607"/>
    <n v="204.22145276140375"/>
    <n v="0.98674219435138277"/>
    <s v="Federal"/>
  </r>
  <r>
    <x v="3"/>
    <s v="Nuevo León"/>
    <s v="19"/>
    <s v="19.01"/>
    <s v="Monterrey"/>
    <s v="19039"/>
    <s v="Monterrey"/>
    <x v="11"/>
    <x v="69"/>
    <n v="207.10349588621438"/>
    <n v="120.46523694310719"/>
    <n v="3.0783000000000005"/>
    <n v="430.99220000000003"/>
    <n v="2164.7229694026664"/>
    <n v="28.219399999999993"/>
    <n v="16.472900000000003"/>
    <s v="Federal"/>
  </r>
  <r>
    <x v="3"/>
    <s v="Nuevo León"/>
    <s v="19"/>
    <s v="19.01"/>
    <s v="Monterrey"/>
    <s v="19041"/>
    <s v="Pesquería"/>
    <x v="11"/>
    <x v="63"/>
    <n v="23.012899999999991"/>
    <n v="11.911249999999995"/>
    <n v="6.4000000000000001E-2"/>
    <n v="8.9486000000000008"/>
    <n v="10.653"/>
    <n v="2728.5859999999998"/>
    <n v="0.34200000000000003"/>
    <s v="Federal"/>
  </r>
  <r>
    <x v="3"/>
    <s v="Nuevo León"/>
    <s v="19"/>
    <s v="19.01"/>
    <s v="Monterrey"/>
    <s v="19041"/>
    <s v="Pesquería"/>
    <x v="11"/>
    <x v="65"/>
    <n v="1075.6849927830549"/>
    <n v="1075.694592783055"/>
    <n v="41.664900000000003"/>
    <n v="5275.2715000000007"/>
    <n v="8426.3420999999998"/>
    <n v="255.2852"/>
    <n v="81.087199999999996"/>
    <s v="Federal"/>
  </r>
  <r>
    <x v="3"/>
    <s v="Nuevo León"/>
    <s v="19"/>
    <s v="19.01"/>
    <s v="Monterrey"/>
    <s v="19041"/>
    <s v="Pesquería"/>
    <x v="11"/>
    <x v="62"/>
    <n v="137.48827399999999"/>
    <n v="100.19914280000002"/>
    <n v="0.32299999999999995"/>
    <n v="43.395700000000005"/>
    <n v="77.310400000000016"/>
    <n v="16.764016999999999"/>
    <n v="1.7285999999999999"/>
    <s v="Federal"/>
  </r>
  <r>
    <x v="3"/>
    <s v="Nuevo León"/>
    <s v="19"/>
    <s v="19.01"/>
    <s v="Monterrey"/>
    <s v="19041"/>
    <s v="Pesquería"/>
    <x v="11"/>
    <x v="66"/>
    <n v="2.2662910803331653"/>
    <n v="1.1988455401665825"/>
    <n v="1.03E-2"/>
    <n v="1.4530000000000001"/>
    <n v="19.792188176"/>
    <n v="9.509999999999999E-2"/>
    <n v="5.5599999999999997E-2"/>
    <s v="Federal"/>
  </r>
  <r>
    <x v="3"/>
    <s v="Nuevo León"/>
    <s v="19"/>
    <s v="19.01"/>
    <s v="Monterrey"/>
    <s v="19041"/>
    <s v="Pesquería"/>
    <x v="11"/>
    <x v="67"/>
    <n v="0.1542"/>
    <n v="0.11829339999999999"/>
    <n v="0.27800000000000002"/>
    <n v="1.3940999999999999"/>
    <n v="2.5992000000000002"/>
    <n v="5.4599999999999996E-2"/>
    <n v="6.4699999999999994E-2"/>
    <s v="Federal"/>
  </r>
  <r>
    <x v="3"/>
    <s v="Nuevo León"/>
    <s v="19"/>
    <s v="19.01"/>
    <s v="Monterrey"/>
    <s v="19041"/>
    <s v="Pesquería"/>
    <x v="11"/>
    <x v="68"/>
    <n v="1.4E-3"/>
    <n v="1.4E-3"/>
    <n v="0"/>
    <n v="1.4400000000000001E-2"/>
    <n v="2.53E-2"/>
    <n v="0"/>
    <n v="0"/>
    <s v="Federal"/>
  </r>
  <r>
    <x v="3"/>
    <s v="Nuevo León"/>
    <s v="19"/>
    <s v="19.01"/>
    <s v="Monterrey"/>
    <s v="19045"/>
    <s v="Salinas Victoria"/>
    <x v="11"/>
    <x v="65"/>
    <n v="7.9964999999999993"/>
    <n v="7.9964999999999993"/>
    <n v="0.48139999999999994"/>
    <n v="320.1148"/>
    <n v="261.82532680128003"/>
    <n v="93.060599999999994"/>
    <n v="0"/>
    <s v="Federal"/>
  </r>
  <r>
    <x v="3"/>
    <s v="Nuevo León"/>
    <s v="19"/>
    <s v="19.01"/>
    <s v="Monterrey"/>
    <s v="19045"/>
    <s v="Salinas Victoria"/>
    <x v="11"/>
    <x v="62"/>
    <n v="0.1598"/>
    <n v="0.1598"/>
    <n v="1E-4"/>
    <n v="1.6978"/>
    <n v="2.9807999999999999"/>
    <n v="0"/>
    <n v="0"/>
    <s v="Federal"/>
  </r>
  <r>
    <x v="3"/>
    <s v="Nuevo León"/>
    <s v="19"/>
    <s v="19.01"/>
    <s v="Monterrey"/>
    <s v="19045"/>
    <s v="Salinas Victoria"/>
    <x v="11"/>
    <x v="67"/>
    <n v="4.8617999999999997"/>
    <n v="4.8617999999999997"/>
    <n v="1.2999999999999999E-3"/>
    <n v="51.6402"/>
    <n v="90.665999999999997"/>
    <n v="0"/>
    <n v="0"/>
    <s v="Federal"/>
  </r>
  <r>
    <x v="3"/>
    <s v="Nuevo León"/>
    <s v="19"/>
    <s v="19.01"/>
    <s v="Monterrey"/>
    <s v="19045"/>
    <s v="Salinas Victoria"/>
    <x v="11"/>
    <x v="68"/>
    <n v="1.2999999999999999E-3"/>
    <n v="1.2999999999999999E-3"/>
    <n v="2.8479999999999999"/>
    <n v="0.70459999999999989"/>
    <n v="6.3459000000000003"/>
    <n v="5.9999999999999995E-4"/>
    <n v="0"/>
    <s v="Federal"/>
  </r>
  <r>
    <x v="3"/>
    <s v="Nuevo León"/>
    <s v="19"/>
    <s v="19.01"/>
    <s v="Monterrey"/>
    <s v="19045"/>
    <s v="San Pedro Garza García"/>
    <x v="11"/>
    <x v="68"/>
    <n v="1.1351"/>
    <n v="1.1351"/>
    <n v="5.9999999999999995E-4"/>
    <n v="12.056900000000001"/>
    <n v="21.168600000000001"/>
    <n v="0"/>
    <n v="0"/>
    <s v="Federal"/>
  </r>
  <r>
    <x v="3"/>
    <s v="Nuevo León"/>
    <s v="19"/>
    <s v="19.01"/>
    <s v="Monterrey"/>
    <s v="19046"/>
    <s v="San Nicolás de los Garza"/>
    <x v="11"/>
    <x v="63"/>
    <n v="1.5200000000000002E-2"/>
    <n v="1.5200000000000002E-2"/>
    <n v="1.2000000000000001E-3"/>
    <n v="0.13439999999999999"/>
    <n v="0.47239999999999999"/>
    <n v="1.0999999999999999E-2"/>
    <n v="6.3999999999999994E-3"/>
    <s v="Federal"/>
  </r>
  <r>
    <x v="3"/>
    <s v="Nuevo León"/>
    <s v="19"/>
    <s v="19.01"/>
    <s v="Monterrey"/>
    <s v="19046"/>
    <s v="San Nicolás de los Garza"/>
    <x v="11"/>
    <x v="64"/>
    <n v="24.566213464002431"/>
    <n v="20.985541022556749"/>
    <n v="0.58130650720019272"/>
    <n v="58.399944480026889"/>
    <n v="95.674391368031991"/>
    <n v="6.5949463744817596"/>
    <n v="2.7971000000010275"/>
    <s v="Federal"/>
  </r>
  <r>
    <x v="3"/>
    <s v="Nuevo León"/>
    <s v="19"/>
    <s v="19.01"/>
    <s v="Monterrey"/>
    <s v="19046"/>
    <s v="San Nicolás de los Garza"/>
    <x v="11"/>
    <x v="65"/>
    <n v="3.3073604016999996"/>
    <n v="3.3073604016999996"/>
    <n v="0.29049999999999998"/>
    <n v="34.046900000000001"/>
    <n v="128.71019999999999"/>
    <n v="1.0218"/>
    <n v="0.14369999999999999"/>
    <s v="Federal"/>
  </r>
  <r>
    <x v="3"/>
    <s v="Nuevo León"/>
    <s v="19"/>
    <s v="19.01"/>
    <s v="Monterrey"/>
    <s v="19046"/>
    <s v="San Nicolás de los Garza"/>
    <x v="11"/>
    <x v="62"/>
    <n v="271.04910718497911"/>
    <n v="205.19350878390219"/>
    <n v="2.8825825428800016"/>
    <n v="398.52212196224502"/>
    <n v="580.93952470262275"/>
    <n v="149.83425997640001"/>
    <n v="14.443066586223505"/>
    <s v="Federal"/>
  </r>
  <r>
    <x v="3"/>
    <s v="Nuevo León"/>
    <s v="19"/>
    <s v="19.01"/>
    <s v="Monterrey"/>
    <s v="19046"/>
    <s v="San Nicolás de los Garza"/>
    <x v="11"/>
    <x v="70"/>
    <n v="3.3121999999999999E-2"/>
    <n v="2.0732E-2"/>
    <n v="0"/>
    <n v="4.3900000000000002E-2"/>
    <n v="7.7100000000000002E-2"/>
    <n v="0.25469599999999998"/>
    <n v="0"/>
    <s v="Federal"/>
  </r>
  <r>
    <x v="3"/>
    <s v="Nuevo León"/>
    <s v="19"/>
    <s v="19.01"/>
    <s v="Monterrey"/>
    <s v="19046"/>
    <s v="San Nicolás de los Garza"/>
    <x v="11"/>
    <x v="66"/>
    <n v="4.9208000000000002E-2"/>
    <n v="0.28909699999999999"/>
    <n v="7.2899999999999996E-3"/>
    <n v="6.7991999999999999"/>
    <n v="8.094100000000001"/>
    <n v="0.44499999999999995"/>
    <n v="0.2601"/>
    <s v="Federal"/>
  </r>
  <r>
    <x v="3"/>
    <s v="Nuevo León"/>
    <s v="19"/>
    <s v="19.01"/>
    <s v="Monterrey"/>
    <s v="19046"/>
    <s v="San Nicolás de los Garza"/>
    <x v="11"/>
    <x v="67"/>
    <n v="147.07854609842627"/>
    <n v="95.150367514818043"/>
    <n v="113.03246501192"/>
    <n v="219.65957428010401"/>
    <n v="1299.1372605148417"/>
    <n v="1947.3551439720002"/>
    <n v="7.9302839604481399"/>
    <s v="Federal"/>
  </r>
  <r>
    <x v="3"/>
    <s v="Nuevo León"/>
    <s v="19"/>
    <s v="19.01"/>
    <s v="Monterrey"/>
    <s v="19046"/>
    <s v="San Nicolás de los Garza"/>
    <x v="11"/>
    <x v="69"/>
    <n v="3.6300000000000006E-2"/>
    <n v="3.6300000000000006E-2"/>
    <n v="2.8999999999999998E-3"/>
    <n v="0.40160000000000001"/>
    <n v="0.47809999999999997"/>
    <n v="2.6299999999999997E-2"/>
    <n v="1.5399999999999999E-2"/>
    <s v="Federal"/>
  </r>
  <r>
    <x v="3"/>
    <s v="Nuevo León"/>
    <s v="19"/>
    <s v="19.01"/>
    <s v="Monterrey"/>
    <s v="19047"/>
    <s v="Hidalgo"/>
    <x v="11"/>
    <x v="71"/>
    <n v="0.21216999999999997"/>
    <n v="0.10608499999999998"/>
    <n v="0"/>
    <n v="0"/>
    <n v="0"/>
    <n v="0"/>
    <n v="0"/>
    <s v="Federal"/>
  </r>
  <r>
    <x v="3"/>
    <s v="Nuevo León"/>
    <s v="19"/>
    <s v="19.01"/>
    <s v="Monterrey"/>
    <s v="19048"/>
    <s v="Santa Catarina"/>
    <x v="11"/>
    <x v="63"/>
    <n v="15.127416386401599"/>
    <n v="10.957744714992799"/>
    <n v="3.670000000000001E-2"/>
    <n v="5.1063459764735999"/>
    <n v="6.2437682176000004"/>
    <n v="23.652311999999998"/>
    <n v="0.1966"/>
    <s v="Federal"/>
  </r>
  <r>
    <x v="3"/>
    <s v="Nuevo León"/>
    <s v="19"/>
    <s v="19.01"/>
    <s v="Monterrey"/>
    <s v="19048"/>
    <s v="Santa Catarina"/>
    <x v="11"/>
    <x v="64"/>
    <n v="0.39499750239999998"/>
    <n v="0.39499750239999998"/>
    <n v="2.930005059584E-2"/>
    <n v="2.9311356336000003"/>
    <n v="5.1799182879999996"/>
    <n v="157.63592330271078"/>
    <n v="0.15660000000000002"/>
    <s v="Federal"/>
  </r>
  <r>
    <x v="3"/>
    <s v="Nuevo León"/>
    <s v="19"/>
    <s v="19.01"/>
    <s v="Monterrey"/>
    <s v="19048"/>
    <s v="Santa Catarina"/>
    <x v="11"/>
    <x v="62"/>
    <n v="154.13519993476797"/>
    <n v="111.67003283476799"/>
    <n v="0.165671058008"/>
    <n v="22.902048121120004"/>
    <n v="27.291309668000004"/>
    <n v="147.59201803174"/>
    <n v="0.87484377602822527"/>
    <s v="Federal"/>
  </r>
  <r>
    <x v="3"/>
    <s v="Nuevo León"/>
    <s v="19"/>
    <s v="19.01"/>
    <s v="Monterrey"/>
    <s v="19048"/>
    <s v="Santa Catarina"/>
    <x v="11"/>
    <x v="70"/>
    <n v="3.1537450094450019"/>
    <n v="3.1537450094450019"/>
    <n v="4.3005545564634887E-2"/>
    <n v="4.9407989127390843"/>
    <n v="19.280852728899326"/>
    <n v="115.09106439214233"/>
    <n v="0"/>
    <s v="Federal"/>
  </r>
  <r>
    <x v="3"/>
    <s v="Nuevo León"/>
    <s v="19"/>
    <s v="19.01"/>
    <s v="Monterrey"/>
    <s v="19048"/>
    <s v="Santa Catarina"/>
    <x v="11"/>
    <x v="66"/>
    <n v="17.77773551229"/>
    <n v="8.539730991519999"/>
    <n v="0.1069"/>
    <n v="7.7010290023999994"/>
    <n v="10.346671277819199"/>
    <n v="0.81498575369477078"/>
    <n v="0.40870000000000001"/>
    <s v="Federal"/>
  </r>
  <r>
    <x v="3"/>
    <s v="Nuevo León"/>
    <s v="19"/>
    <s v="19.01"/>
    <s v="Monterrey"/>
    <s v="19048"/>
    <s v="Santa Catarina"/>
    <x v="11"/>
    <x v="67"/>
    <n v="1.9977215000000001"/>
    <n v="1.4880332000000001"/>
    <n v="2.4746808000000002"/>
    <n v="13.687100000000001"/>
    <n v="66.961068000000012"/>
    <n v="0.60969999999999991"/>
    <n v="0.35680000000000001"/>
    <s v="Federal"/>
  </r>
  <r>
    <x v="0"/>
    <s v="Nuevo León"/>
    <s v="19"/>
    <s v="19.01"/>
    <s v="Monterrey"/>
    <s v="19001"/>
    <s v="Abasolo"/>
    <x v="0"/>
    <x v="72"/>
    <n v="1.0999490088487748E-3"/>
    <n v="1.0999490088487748E-3"/>
    <n v="1.2872078252216778E-4"/>
    <n v="9.4319393189320946E-3"/>
    <n v="1.5637844573055067E-2"/>
    <n v="9.4047048150655154E-4"/>
    <n v="9.5154852249585672E-6"/>
    <s v="Estatal"/>
  </r>
  <r>
    <x v="0"/>
    <s v="Nuevo León"/>
    <s v="19"/>
    <s v="19.01"/>
    <s v="Monterrey"/>
    <s v="19006"/>
    <s v="Apodaca"/>
    <x v="0"/>
    <x v="72"/>
    <n v="0.763708346206315"/>
    <n v="0.763708346206315"/>
    <n v="8.9372448314922651E-2"/>
    <n v="6.5487133683760419"/>
    <n v="10.857550960129299"/>
    <n v="0.6529804111910178"/>
    <n v="6.606720335254045E-3"/>
    <s v="Estatal"/>
  </r>
  <r>
    <x v="0"/>
    <s v="Nuevo León"/>
    <s v="19"/>
    <s v="19.01"/>
    <s v="Monterrey"/>
    <s v="19009"/>
    <s v="Cadereyta Jiménez"/>
    <x v="0"/>
    <x v="72"/>
    <n v="0.20630918597219833"/>
    <n v="0.20630918597219833"/>
    <n v="2.41431917718141E-2"/>
    <n v="1.7690781185072013"/>
    <n v="2.9330732227336416"/>
    <n v="0.17639699468757258"/>
    <n v="1.7847481975062911E-3"/>
    <s v="Estatal"/>
  </r>
  <r>
    <x v="0"/>
    <s v="Nuevo León"/>
    <s v="19"/>
    <s v="19.01"/>
    <s v="Monterrey"/>
    <s v="19010"/>
    <s v="El Carmen"/>
    <x v="0"/>
    <x v="72"/>
    <n v="1.5811767002201139E-2"/>
    <n v="1.5811767002201139E-2"/>
    <n v="1.8503612487561622E-3"/>
    <n v="0.13558412770964887"/>
    <n v="0.22479401573766661"/>
    <n v="1.3519263171656679E-2"/>
    <n v="1.3678510010877939E-4"/>
    <s v="Estatal"/>
  </r>
  <r>
    <x v="0"/>
    <s v="Nuevo León"/>
    <s v="19"/>
    <s v="19.01"/>
    <s v="Monterrey"/>
    <s v="19012"/>
    <s v="Ciénega de Flores"/>
    <x v="0"/>
    <x v="72"/>
    <n v="4.1041847392669917E-2"/>
    <n v="4.1041847392669917E-2"/>
    <n v="4.8028941978583871E-3"/>
    <n v="0.3519292358376539"/>
    <n v="0.58348707563211732"/>
    <n v="3.5091304841213214E-2"/>
    <n v="3.5504654245626651E-4"/>
    <s v="Estatal"/>
  </r>
  <r>
    <x v="0"/>
    <s v="Nuevo León"/>
    <s v="19"/>
    <s v="19.01"/>
    <s v="Monterrey"/>
    <s v="19018"/>
    <s v="García"/>
    <x v="0"/>
    <x v="72"/>
    <n v="0.13082518523995115"/>
    <n v="0.13082518523995115"/>
    <n v="1.5309728071230332E-2"/>
    <n v="1.121811282745486"/>
    <n v="1.8599261389077371"/>
    <n v="0.11185720789418548"/>
    <n v="1.1317480239435094E-3"/>
    <s v="Estatal"/>
  </r>
  <r>
    <x v="0"/>
    <s v="Nuevo León"/>
    <s v="19"/>
    <s v="19.01"/>
    <s v="Monterrey"/>
    <s v="19019"/>
    <s v="San Pedro Garza García"/>
    <x v="0"/>
    <x v="72"/>
    <n v="0.92285721842412205"/>
    <n v="0.92285721842412205"/>
    <n v="0.10799673653609877"/>
    <n v="7.9133970885840279"/>
    <n v="13.120151596793201"/>
    <n v="0.78905473398399684"/>
    <n v="7.9834921037402369E-3"/>
    <s v="Estatal"/>
  </r>
  <r>
    <x v="0"/>
    <s v="Nuevo León"/>
    <s v="19"/>
    <s v="19.01"/>
    <s v="Monterrey"/>
    <s v="19021"/>
    <s v="General Escobedo"/>
    <x v="0"/>
    <x v="72"/>
    <n v="0.50721398670539131"/>
    <n v="0.50721398670539131"/>
    <n v="5.935637084053462E-2"/>
    <n v="4.3493030184425621"/>
    <n v="7.2110010787500176"/>
    <n v="0.43367445078470862"/>
    <n v="4.3878281243590177E-3"/>
    <s v="Estatal"/>
  </r>
  <r>
    <x v="0"/>
    <s v="Nuevo León"/>
    <s v="19"/>
    <s v="19.01"/>
    <s v="Monterrey"/>
    <s v="19025"/>
    <s v="General Zuazua"/>
    <x v="0"/>
    <x v="72"/>
    <n v="8.1464973467862384E-2"/>
    <n v="8.1464973467862384E-2"/>
    <n v="9.5333829555480521E-3"/>
    <n v="0.6985530058084084"/>
    <n v="1.1581778636918911"/>
    <n v="6.9653595036578975E-2"/>
    <n v="7.0474062447349389E-4"/>
    <s v="Estatal"/>
  </r>
  <r>
    <x v="0"/>
    <s v="Nuevo León"/>
    <s v="19"/>
    <s v="19.01"/>
    <s v="Monterrey"/>
    <s v="19026"/>
    <s v="Guadalupe"/>
    <x v="0"/>
    <x v="72"/>
    <n v="1.3575433173585472"/>
    <n v="1.3575433173585472"/>
    <n v="0.15886558077907795"/>
    <n v="11.640781608184502"/>
    <n v="19.300032299007398"/>
    <n v="1.1607169123943668"/>
    <n v="1.1743892921078549E-2"/>
    <s v="Estatal"/>
  </r>
  <r>
    <x v="0"/>
    <s v="Nuevo León"/>
    <s v="19"/>
    <s v="19.01"/>
    <s v="Monterrey"/>
    <s v="19031"/>
    <s v="Juárez"/>
    <x v="0"/>
    <x v="72"/>
    <n v="0.25051338676530843"/>
    <n v="0.25051338676530843"/>
    <n v="2.9316158219423721E-2"/>
    <n v="2.1481241798867847"/>
    <n v="3.5615191015132917"/>
    <n v="0.21419215216311713"/>
    <n v="2.1671517599843142E-3"/>
    <s v="Estatal"/>
  </r>
  <r>
    <x v="0"/>
    <s v="Nuevo León"/>
    <s v="19"/>
    <s v="19.01"/>
    <s v="Monterrey"/>
    <s v="19039"/>
    <s v="Monterrey"/>
    <x v="0"/>
    <x v="72"/>
    <n v="4.3900339879415666"/>
    <n v="4.3900339879415666"/>
    <n v="0.51374073314378699"/>
    <n v="37.644048814272864"/>
    <n v="62.412592421634407"/>
    <n v="3.7535352505028361"/>
    <n v="3.797749096846275E-2"/>
    <s v="Estatal"/>
  </r>
  <r>
    <x v="0"/>
    <s v="Nuevo León"/>
    <s v="19"/>
    <s v="19.01"/>
    <s v="Monterrey"/>
    <s v="19041"/>
    <s v="Pesquería"/>
    <x v="0"/>
    <x v="72"/>
    <n v="2.1655246111710259E-2"/>
    <n v="2.1655246111710259E-2"/>
    <n v="2.5341904059051788E-3"/>
    <n v="0.18569130534147565"/>
    <n v="0.30787006503202174"/>
    <n v="1.8515512604660236E-2"/>
    <n v="1.8733611536637178E-4"/>
    <s v="Estatal"/>
  </r>
  <r>
    <x v="0"/>
    <s v="Nuevo León"/>
    <s v="19"/>
    <s v="19.01"/>
    <s v="Monterrey"/>
    <s v="19045"/>
    <s v="Salinas Victoria"/>
    <x v="0"/>
    <x v="72"/>
    <n v="4.0491872888245524E-2"/>
    <n v="4.0491872888245524E-2"/>
    <n v="4.7385338065973033E-3"/>
    <n v="0.34721326617818782"/>
    <n v="0.57566815334558974"/>
    <n v="3.4621069600459929E-2"/>
    <n v="3.5028879984378726E-4"/>
    <s v="Estatal"/>
  </r>
  <r>
    <x v="0"/>
    <s v="Nuevo León"/>
    <s v="19"/>
    <s v="19.01"/>
    <s v="Monterrey"/>
    <s v="19046"/>
    <s v="San Nicolás de los Garza"/>
    <x v="0"/>
    <x v="72"/>
    <n v="1.1669771515754972"/>
    <n v="1.1669771515754972"/>
    <n v="0.13656470520711242"/>
    <n v="10.006698121179522"/>
    <n v="16.590775726725614"/>
    <n v="0.99778040147335734"/>
    <n v="1.009533510585448E-2"/>
    <s v="Estatal"/>
  </r>
  <r>
    <x v="0"/>
    <s v="Nuevo León"/>
    <s v="19"/>
    <s v="19.01"/>
    <s v="Monterrey"/>
    <s v="19047"/>
    <s v="Hidalgo"/>
    <x v="0"/>
    <x v="72"/>
    <n v="2.536757401657487E-2"/>
    <n v="2.536757401657487E-2"/>
    <n v="2.9686230469174947E-3"/>
    <n v="0.21752410054287147"/>
    <n v="0.36064779046608247"/>
    <n v="2.1689600479744844E-2"/>
    <n v="2.1945087800060692E-4"/>
    <s v="Estatal"/>
  </r>
  <r>
    <x v="0"/>
    <s v="Nuevo León"/>
    <s v="19"/>
    <s v="19.01"/>
    <s v="Monterrey"/>
    <s v="19048"/>
    <s v="Santa Catarina"/>
    <x v="0"/>
    <x v="72"/>
    <n v="0.36779544983380913"/>
    <n v="0.36779544983380913"/>
    <n v="4.3041011655849858E-2"/>
    <n v="3.1538047097679196"/>
    <n v="5.2289042791152891"/>
    <n v="0.31446981725375328"/>
    <n v="3.1817403720955212E-3"/>
    <s v="Estatal"/>
  </r>
  <r>
    <x v="0"/>
    <s v="Nuevo León"/>
    <s v="19"/>
    <s v="19.01"/>
    <s v="Monterrey"/>
    <s v="19049"/>
    <s v="Santiago"/>
    <x v="0"/>
    <x v="72"/>
    <n v="0.1506242673992291"/>
    <n v="0.1506242673992291"/>
    <n v="1.7626702156629356E-2"/>
    <n v="1.291586190486264"/>
    <n v="2.1414073412227284"/>
    <n v="0.12878567656130341"/>
    <n v="1.3030267579927635E-3"/>
    <s v="Estatal"/>
  </r>
  <r>
    <x v="0"/>
    <s v="Nuevo León"/>
    <s v="19"/>
    <s v="19.01"/>
    <s v="Monterrey"/>
    <s v="19001"/>
    <s v="Abasolo"/>
    <x v="0"/>
    <x v="73"/>
    <n v="6.6445277512148376E-3"/>
    <n v="4.5197766783953231E-3"/>
    <n v="6.2397172599736126E-4"/>
    <n v="4.5503832723179073E-2"/>
    <n v="0.11126410242121723"/>
    <n v="2.4923701962187295E-3"/>
    <n v="2.2365800766521201E-3"/>
    <s v="Estatal"/>
  </r>
  <r>
    <x v="0"/>
    <s v="Nuevo León"/>
    <s v="19"/>
    <s v="19.01"/>
    <s v="Monterrey"/>
    <s v="19006"/>
    <s v="Apodaca"/>
    <x v="0"/>
    <x v="73"/>
    <n v="2.0166205838416027"/>
    <n v="1.3717565830547964"/>
    <n v="0.1893760209145624"/>
    <n v="13.810457138428017"/>
    <n v="33.768762444293117"/>
    <n v="0.75643675945654332"/>
    <n v="0.67880421135453284"/>
    <s v="Estatal"/>
  </r>
  <r>
    <x v="0"/>
    <s v="Nuevo León"/>
    <s v="19"/>
    <s v="19.01"/>
    <s v="Monterrey"/>
    <s v="19009"/>
    <s v="Cadereyta Jiménez"/>
    <x v="0"/>
    <x v="73"/>
    <n v="0.19598780589318812"/>
    <n v="0.13331588752322451"/>
    <n v="1.8404746596964644E-2"/>
    <n v="1.3421866337326958"/>
    <n v="3.281859618122958"/>
    <n v="7.3515257143921847E-2"/>
    <n v="6.5970440389435378E-2"/>
    <s v="Estatal"/>
  </r>
  <r>
    <x v="0"/>
    <s v="Nuevo León"/>
    <s v="19"/>
    <s v="19.01"/>
    <s v="Monterrey"/>
    <s v="19010"/>
    <s v="El Carmen"/>
    <x v="0"/>
    <x v="73"/>
    <n v="0.10230142391299255"/>
    <n v="6.9588029018923012E-2"/>
    <n v="9.6068823008989453E-3"/>
    <n v="0.70059258616667486"/>
    <n v="1.7130602104883184"/>
    <n v="3.8373384766865221E-2"/>
    <n v="3.4435152520073196E-2"/>
    <s v="Estatal"/>
  </r>
  <r>
    <x v="0"/>
    <s v="Nuevo León"/>
    <s v="19"/>
    <s v="19.01"/>
    <s v="Monterrey"/>
    <s v="19012"/>
    <s v="Ciénega de Flores"/>
    <x v="0"/>
    <x v="73"/>
    <n v="8.6001419680762997E-2"/>
    <n v="5.8500351798656085E-2"/>
    <n v="8.0761878474535503E-3"/>
    <n v="0.58896498918133999"/>
    <n v="1.4401129961389652"/>
    <n v="3.225923395468442E-2"/>
    <n v="2.8948492507480963E-2"/>
    <s v="Estatal"/>
  </r>
  <r>
    <x v="0"/>
    <s v="Nuevo León"/>
    <s v="19"/>
    <s v="19.01"/>
    <s v="Monterrey"/>
    <s v="19018"/>
    <s v="García"/>
    <x v="0"/>
    <x v="73"/>
    <n v="0.38145292655753155"/>
    <n v="0.259473977070102"/>
    <n v="3.5821332964909448E-2"/>
    <n v="2.61231058274495"/>
    <n v="6.387514519991349"/>
    <n v="0.14308344264776085"/>
    <n v="0.12839889419729428"/>
    <s v="Estatal"/>
  </r>
  <r>
    <x v="0"/>
    <s v="Nuevo León"/>
    <s v="19"/>
    <s v="19.01"/>
    <s v="Monterrey"/>
    <s v="19019"/>
    <s v="San Pedro Garza García"/>
    <x v="0"/>
    <x v="73"/>
    <n v="0.24486082064501399"/>
    <n v="0.16656055449564949"/>
    <n v="2.2994294644802314E-2"/>
    <n v="1.6768845342024385"/>
    <n v="4.1002491745495382"/>
    <n v="9.1847582619504126E-2"/>
    <n v="8.242133278880473E-2"/>
    <s v="Estatal"/>
  </r>
  <r>
    <x v="0"/>
    <s v="Nuevo León"/>
    <s v="19"/>
    <s v="19.01"/>
    <s v="Monterrey"/>
    <s v="19021"/>
    <s v="General Escobedo"/>
    <x v="0"/>
    <x v="73"/>
    <n v="0.74715214646356376"/>
    <n v="0.50823188242107997"/>
    <n v="7.0163272976964564E-2"/>
    <n v="5.1167347875439599"/>
    <n v="12.511229700734585"/>
    <n v="0.28025765135019109"/>
    <n v="0.25149501478156189"/>
    <s v="Estatal"/>
  </r>
  <r>
    <x v="0"/>
    <s v="Nuevo León"/>
    <s v="19"/>
    <s v="19.01"/>
    <s v="Monterrey"/>
    <s v="19025"/>
    <s v="General Zuazua"/>
    <x v="0"/>
    <x v="73"/>
    <n v="0.29519979715353295"/>
    <n v="0.20080240591931098"/>
    <n v="2.7721507658732221E-2"/>
    <n v="2.0216218055729867"/>
    <n v="4.9431865882730452"/>
    <n v="0.11072979207901741"/>
    <n v="9.9365674983391564E-2"/>
    <s v="Estatal"/>
  </r>
  <r>
    <x v="0"/>
    <s v="Nuevo León"/>
    <s v="19"/>
    <s v="19.01"/>
    <s v="Monterrey"/>
    <s v="19026"/>
    <s v="Guadalupe"/>
    <x v="0"/>
    <x v="73"/>
    <n v="1.7860534493387532"/>
    <n v="1.2149189572145125"/>
    <n v="0.16772401218486677"/>
    <n v="12.231460298816327"/>
    <n v="29.907864239209804"/>
    <n v="0.66995075536733006"/>
    <n v="0.60119420223604314"/>
    <s v="Estatal"/>
  </r>
  <r>
    <x v="0"/>
    <s v="Nuevo León"/>
    <s v="19"/>
    <s v="19.01"/>
    <s v="Monterrey"/>
    <s v="19031"/>
    <s v="Juárez"/>
    <x v="0"/>
    <x v="73"/>
    <n v="0.22604814514688298"/>
    <n v="0.1537636944089224"/>
    <n v="2.1227641236055417E-2"/>
    <n v="1.5480493677324227"/>
    <n v="3.7852267182043948"/>
    <n v="8.4790925851970358E-2"/>
    <n v="7.6088895513642729E-2"/>
    <s v="Estatal"/>
  </r>
  <r>
    <x v="0"/>
    <s v="Nuevo León"/>
    <s v="19"/>
    <s v="19.01"/>
    <s v="Monterrey"/>
    <s v="19039"/>
    <s v="Monterrey"/>
    <x v="0"/>
    <x v="73"/>
    <n v="3.4911414425132739"/>
    <n v="2.3747631530270832"/>
    <n v="0.32784475182418304"/>
    <n v="23.908443483291531"/>
    <n v="58.459943817035551"/>
    <n v="1.3095312726345798"/>
    <n v="1.1751350415644113"/>
    <s v="Estatal"/>
  </r>
  <r>
    <x v="0"/>
    <s v="Nuevo León"/>
    <s v="19"/>
    <s v="19.01"/>
    <s v="Monterrey"/>
    <s v="19041"/>
    <s v="Pesquería"/>
    <x v="0"/>
    <x v="73"/>
    <n v="0.11488913185882299"/>
    <n v="7.8150507939658026E-2"/>
    <n v="1.0788963879514444E-2"/>
    <n v="0.78679720117946883"/>
    <n v="1.9238441937258302"/>
    <n v="4.3095048863633786E-2"/>
    <n v="3.8672235704384161E-2"/>
    <s v="Estatal"/>
  </r>
  <r>
    <x v="0"/>
    <s v="Nuevo León"/>
    <s v="19"/>
    <s v="19.01"/>
    <s v="Monterrey"/>
    <s v="19045"/>
    <s v="Salinas Victoria"/>
    <x v="0"/>
    <x v="73"/>
    <n v="0.10868334462161386"/>
    <n v="7.3929173711549362E-2"/>
    <n v="1.020619322694763E-2"/>
    <n v="0.74429800260121426"/>
    <n v="1.8199268992817101"/>
    <n v="4.0767250751681181E-2"/>
    <n v="3.6583337800067901E-2"/>
    <s v="Estatal"/>
  </r>
  <r>
    <x v="0"/>
    <s v="Nuevo León"/>
    <s v="19"/>
    <s v="19.01"/>
    <s v="Monterrey"/>
    <s v="19046"/>
    <s v="San Nicolás de los Garza"/>
    <x v="0"/>
    <x v="73"/>
    <n v="1.2834156332641311"/>
    <n v="0.87301193780921715"/>
    <n v="0.12052249578059197"/>
    <n v="8.789237170344645"/>
    <n v="21.491081656237121"/>
    <n v="0.48141071773293026"/>
    <n v="0.43200388995254113"/>
    <s v="Estatal"/>
  </r>
  <r>
    <x v="0"/>
    <s v="Nuevo León"/>
    <s v="19"/>
    <s v="19.01"/>
    <s v="Monterrey"/>
    <s v="19047"/>
    <s v="Hidalgo"/>
    <x v="0"/>
    <x v="73"/>
    <n v="1.7378767842929368E-2"/>
    <n v="1.182147965013128E-2"/>
    <n v="1.6319985667420029E-3"/>
    <n v="0.11901531221914716"/>
    <n v="0.29101135214262863"/>
    <n v="6.518796314877659E-3"/>
    <n v="5.8497770450506199E-3"/>
    <s v="Estatal"/>
  </r>
  <r>
    <x v="0"/>
    <s v="Nuevo León"/>
    <s v="19"/>
    <s v="19.01"/>
    <s v="Monterrey"/>
    <s v="19048"/>
    <s v="Santa Catarina"/>
    <x v="0"/>
    <x v="73"/>
    <n v="1.1308754411666695"/>
    <n v="0.76925022161591872"/>
    <n v="0.1061978107900567"/>
    <n v="7.7445935711820963"/>
    <n v="18.936762042810706"/>
    <n v="0.42419271176709122"/>
    <n v="0.38065812584289566"/>
    <s v="Estatal"/>
  </r>
  <r>
    <x v="0"/>
    <s v="Nuevo León"/>
    <s v="19"/>
    <s v="19.01"/>
    <s v="Monterrey"/>
    <s v="19049"/>
    <s v="Santiago"/>
    <x v="0"/>
    <x v="73"/>
    <n v="7.4510400946043776E-2"/>
    <n v="5.0683868756848945E-2"/>
    <n v="6.9970937324414098E-3"/>
    <n v="0.51027084959738234"/>
    <n v="1.2476933188804624"/>
    <n v="2.7948939274468967E-2"/>
    <n v="2.5080560199152453E-2"/>
    <s v="Estatal"/>
  </r>
  <r>
    <x v="0"/>
    <s v="Nuevo León"/>
    <s v="19"/>
    <s v="19.01"/>
    <s v="Monterrey"/>
    <s v="19001"/>
    <s v="Abasolo"/>
    <x v="1"/>
    <x v="74"/>
    <m/>
    <m/>
    <m/>
    <m/>
    <m/>
    <n v="0"/>
    <m/>
    <s v="Estatal"/>
  </r>
  <r>
    <x v="0"/>
    <s v="Nuevo León"/>
    <s v="19"/>
    <s v="19.01"/>
    <s v="Monterrey"/>
    <s v="19006"/>
    <s v="Apodaca"/>
    <x v="1"/>
    <x v="74"/>
    <m/>
    <m/>
    <m/>
    <m/>
    <m/>
    <n v="258.95253312481799"/>
    <m/>
    <s v="Estatal"/>
  </r>
  <r>
    <x v="0"/>
    <s v="Nuevo León"/>
    <s v="19"/>
    <s v="19.01"/>
    <s v="Monterrey"/>
    <s v="19009"/>
    <s v="Cadereyta Jiménez"/>
    <x v="1"/>
    <x v="74"/>
    <m/>
    <m/>
    <m/>
    <m/>
    <m/>
    <n v="11.041392595901499"/>
    <m/>
    <s v="Estatal"/>
  </r>
  <r>
    <x v="0"/>
    <s v="Nuevo León"/>
    <s v="19"/>
    <s v="19.01"/>
    <s v="Monterrey"/>
    <s v="19010"/>
    <s v="El Carmen"/>
    <x v="1"/>
    <x v="74"/>
    <m/>
    <m/>
    <m/>
    <m/>
    <m/>
    <n v="1.9629142392713781"/>
    <m/>
    <s v="Estatal"/>
  </r>
  <r>
    <x v="0"/>
    <s v="Nuevo León"/>
    <s v="19"/>
    <s v="19.01"/>
    <s v="Monterrey"/>
    <s v="19012"/>
    <s v="Ciénega de Flores"/>
    <x v="1"/>
    <x v="74"/>
    <m/>
    <m/>
    <m/>
    <m/>
    <m/>
    <n v="0"/>
    <m/>
    <s v="Estatal"/>
  </r>
  <r>
    <x v="0"/>
    <s v="Nuevo León"/>
    <s v="19"/>
    <s v="19.01"/>
    <s v="Monterrey"/>
    <s v="19018"/>
    <s v="García"/>
    <x v="1"/>
    <x v="74"/>
    <m/>
    <m/>
    <m/>
    <m/>
    <m/>
    <n v="4.9072855981784453"/>
    <m/>
    <s v="Estatal"/>
  </r>
  <r>
    <x v="0"/>
    <s v="Nuevo León"/>
    <s v="19"/>
    <s v="19.01"/>
    <s v="Monterrey"/>
    <s v="19019"/>
    <s v="San Pedro Garza García"/>
    <x v="1"/>
    <x v="74"/>
    <m/>
    <m/>
    <m/>
    <m/>
    <m/>
    <n v="30.425170708706354"/>
    <m/>
    <s v="Estatal"/>
  </r>
  <r>
    <x v="0"/>
    <s v="Nuevo León"/>
    <s v="19"/>
    <s v="19.01"/>
    <s v="Monterrey"/>
    <s v="19021"/>
    <s v="General Escobedo"/>
    <x v="1"/>
    <x v="74"/>
    <m/>
    <m/>
    <m/>
    <m/>
    <m/>
    <n v="73.118555412858839"/>
    <m/>
    <s v="Estatal"/>
  </r>
  <r>
    <x v="0"/>
    <s v="Nuevo León"/>
    <s v="19"/>
    <s v="19.01"/>
    <s v="Monterrey"/>
    <s v="19025"/>
    <s v="General Zuazua"/>
    <x v="1"/>
    <x v="74"/>
    <m/>
    <m/>
    <m/>
    <m/>
    <m/>
    <n v="0.98145711963568905"/>
    <m/>
    <s v="Estatal"/>
  </r>
  <r>
    <x v="0"/>
    <s v="Nuevo León"/>
    <s v="19"/>
    <s v="19.01"/>
    <s v="Monterrey"/>
    <s v="19026"/>
    <s v="Guadalupe"/>
    <x v="1"/>
    <x v="74"/>
    <m/>
    <m/>
    <m/>
    <m/>
    <m/>
    <n v="219.84639479839433"/>
    <m/>
    <s v="Estatal"/>
  </r>
  <r>
    <x v="0"/>
    <s v="Nuevo León"/>
    <s v="19"/>
    <s v="19.01"/>
    <s v="Monterrey"/>
    <s v="19031"/>
    <s v="Juárez"/>
    <x v="1"/>
    <x v="74"/>
    <m/>
    <m/>
    <m/>
    <m/>
    <m/>
    <n v="2.944371358907067"/>
    <m/>
    <s v="Estatal"/>
  </r>
  <r>
    <x v="0"/>
    <s v="Nuevo León"/>
    <s v="19"/>
    <s v="19.01"/>
    <s v="Monterrey"/>
    <s v="19039"/>
    <s v="Monterrey"/>
    <x v="1"/>
    <x v="74"/>
    <m/>
    <m/>
    <m/>
    <m/>
    <m/>
    <n v="1548.5013347851188"/>
    <m/>
    <s v="Estatal"/>
  </r>
  <r>
    <x v="0"/>
    <s v="Nuevo León"/>
    <s v="19"/>
    <s v="19.01"/>
    <s v="Monterrey"/>
    <s v="19041"/>
    <s v="Pesquería"/>
    <x v="1"/>
    <x v="74"/>
    <m/>
    <m/>
    <m/>
    <m/>
    <m/>
    <n v="9.8145711963568889"/>
    <m/>
    <s v="Estatal"/>
  </r>
  <r>
    <x v="0"/>
    <s v="Nuevo León"/>
    <s v="19"/>
    <s v="19.01"/>
    <s v="Monterrey"/>
    <s v="19045"/>
    <s v="Salinas Victoria"/>
    <x v="1"/>
    <x v="74"/>
    <m/>
    <m/>
    <m/>
    <m/>
    <m/>
    <n v="4.9072855981784445"/>
    <m/>
    <s v="Estatal"/>
  </r>
  <r>
    <x v="0"/>
    <s v="Nuevo León"/>
    <s v="19"/>
    <s v="19.01"/>
    <s v="Monterrey"/>
    <s v="19046"/>
    <s v="San Nicolás de los Garza"/>
    <x v="1"/>
    <x v="74"/>
    <m/>
    <m/>
    <m/>
    <m/>
    <m/>
    <n v="18.040335151165458"/>
    <m/>
    <s v="Estatal"/>
  </r>
  <r>
    <x v="0"/>
    <s v="Nuevo León"/>
    <s v="19"/>
    <s v="19.01"/>
    <s v="Monterrey"/>
    <s v="19047"/>
    <s v="Hidalgo"/>
    <x v="1"/>
    <x v="74"/>
    <m/>
    <m/>
    <m/>
    <m/>
    <m/>
    <n v="1.9629142392713781"/>
    <m/>
    <s v="Estatal"/>
  </r>
  <r>
    <x v="0"/>
    <s v="Nuevo León"/>
    <s v="19"/>
    <s v="19.01"/>
    <s v="Monterrey"/>
    <s v="19048"/>
    <s v="Santa Catarina"/>
    <x v="1"/>
    <x v="74"/>
    <m/>
    <m/>
    <m/>
    <m/>
    <m/>
    <n v="213.35955612030699"/>
    <m/>
    <s v="Estatal"/>
  </r>
  <r>
    <x v="0"/>
    <s v="Nuevo León"/>
    <s v="19"/>
    <s v="19.01"/>
    <s v="Monterrey"/>
    <s v="19049"/>
    <s v="Santiago"/>
    <x v="1"/>
    <x v="74"/>
    <m/>
    <m/>
    <m/>
    <m/>
    <m/>
    <n v="7.8516569570855115"/>
    <m/>
    <s v="Estatal"/>
  </r>
  <r>
    <x v="0"/>
    <s v="Nuevo León"/>
    <s v="19"/>
    <m/>
    <s v="Monterrey"/>
    <s v="19001"/>
    <s v="Abasolo"/>
    <x v="1"/>
    <x v="75"/>
    <m/>
    <m/>
    <m/>
    <m/>
    <m/>
    <n v="0.21896421844936692"/>
    <m/>
    <s v="Estatal"/>
  </r>
  <r>
    <x v="0"/>
    <s v="Nuevo León"/>
    <s v="19"/>
    <m/>
    <s v="Monterrey"/>
    <s v="19006"/>
    <s v="Apodaca"/>
    <x v="1"/>
    <x v="75"/>
    <m/>
    <m/>
    <m/>
    <m/>
    <m/>
    <n v="3.2007283394093498"/>
    <m/>
    <s v="Estatal"/>
  </r>
  <r>
    <x v="0"/>
    <s v="Nuevo León"/>
    <s v="19"/>
    <s v="19.01"/>
    <s v="Monterrey"/>
    <s v="19009"/>
    <s v="Cadereyta Jiménez"/>
    <x v="1"/>
    <x v="75"/>
    <m/>
    <m/>
    <m/>
    <m/>
    <m/>
    <n v="7.3189419224225185"/>
    <m/>
    <s v="Estatal"/>
  </r>
  <r>
    <x v="0"/>
    <s v="Nuevo León"/>
    <s v="19"/>
    <s v="19.01"/>
    <s v="Monterrey"/>
    <s v="19010"/>
    <s v="El Carmen"/>
    <x v="1"/>
    <x v="75"/>
    <m/>
    <m/>
    <m/>
    <m/>
    <m/>
    <n v="0.46435515291848506"/>
    <m/>
    <s v="Estatal"/>
  </r>
  <r>
    <x v="0"/>
    <s v="Nuevo León"/>
    <s v="19"/>
    <s v="19.01"/>
    <s v="Monterrey"/>
    <s v="19012"/>
    <s v="Ciénega de Flores"/>
    <x v="1"/>
    <x v="75"/>
    <m/>
    <m/>
    <m/>
    <m/>
    <m/>
    <n v="0.49581552913247456"/>
    <m/>
    <s v="Estatal"/>
  </r>
  <r>
    <x v="0"/>
    <s v="Nuevo León"/>
    <s v="19"/>
    <s v="19.01"/>
    <s v="Monterrey"/>
    <s v="19018"/>
    <s v="García"/>
    <x v="1"/>
    <x v="75"/>
    <m/>
    <m/>
    <m/>
    <m/>
    <m/>
    <n v="5.023517368946929"/>
    <m/>
    <s v="Estatal"/>
  </r>
  <r>
    <x v="0"/>
    <s v="Nuevo León"/>
    <s v="19"/>
    <s v="19.01"/>
    <s v="Monterrey"/>
    <s v="19019"/>
    <s v="San Pedro Garza García"/>
    <x v="1"/>
    <x v="75"/>
    <m/>
    <m/>
    <m/>
    <m/>
    <m/>
    <n v="0"/>
    <m/>
    <s v="Estatal"/>
  </r>
  <r>
    <x v="0"/>
    <s v="Nuevo León"/>
    <s v="19"/>
    <s v="19.01"/>
    <s v="Monterrey"/>
    <s v="19021"/>
    <s v="General Escobedo"/>
    <x v="1"/>
    <x v="75"/>
    <m/>
    <m/>
    <m/>
    <m/>
    <m/>
    <n v="1.9515500573061964"/>
    <m/>
    <s v="Estatal"/>
  </r>
  <r>
    <x v="0"/>
    <s v="Nuevo León"/>
    <s v="19"/>
    <s v="19.01"/>
    <s v="Monterrey"/>
    <s v="19025"/>
    <s v="General Zuazua"/>
    <x v="1"/>
    <x v="75"/>
    <m/>
    <m/>
    <m/>
    <m/>
    <m/>
    <n v="0.73239755826167563"/>
    <m/>
    <s v="Estatal"/>
  </r>
  <r>
    <x v="0"/>
    <s v="Nuevo León"/>
    <s v="19"/>
    <s v="19.01"/>
    <s v="Monterrey"/>
    <s v="19026"/>
    <s v="Guadalupe"/>
    <x v="1"/>
    <x v="75"/>
    <m/>
    <m/>
    <m/>
    <m/>
    <m/>
    <n v="0.52601749029790457"/>
    <m/>
    <s v="Estatal"/>
  </r>
  <r>
    <x v="0"/>
    <s v="Nuevo León"/>
    <s v="19"/>
    <s v="19.01"/>
    <s v="Monterrey"/>
    <s v="19031"/>
    <s v="Juárez"/>
    <x v="1"/>
    <x v="75"/>
    <m/>
    <m/>
    <m/>
    <m/>
    <m/>
    <n v="1.6887929951669567"/>
    <m/>
    <s v="Estatal"/>
  </r>
  <r>
    <x v="0"/>
    <s v="Nuevo León"/>
    <s v="19"/>
    <s v="19.01"/>
    <s v="Monterrey"/>
    <s v="19039"/>
    <s v="Monterrey"/>
    <x v="1"/>
    <x v="75"/>
    <m/>
    <m/>
    <m/>
    <m/>
    <m/>
    <n v="0.1635939563127454"/>
    <m/>
    <s v="Estatal"/>
  </r>
  <r>
    <x v="0"/>
    <s v="Nuevo León"/>
    <s v="19"/>
    <s v="19.01"/>
    <s v="Monterrey"/>
    <s v="19041"/>
    <s v="Pesquería"/>
    <x v="1"/>
    <x v="75"/>
    <m/>
    <m/>
    <m/>
    <m/>
    <m/>
    <n v="2.3624729072628421"/>
    <m/>
    <s v="Estatal"/>
  </r>
  <r>
    <x v="0"/>
    <s v="Nuevo León"/>
    <s v="19"/>
    <s v="19.01"/>
    <s v="Monterrey"/>
    <s v="19045"/>
    <s v="Salinas Victoria"/>
    <x v="1"/>
    <x v="75"/>
    <m/>
    <m/>
    <m/>
    <m/>
    <m/>
    <n v="4.497575383551939"/>
    <m/>
    <s v="Estatal"/>
  </r>
  <r>
    <x v="0"/>
    <s v="Nuevo León"/>
    <s v="19"/>
    <s v="19.01"/>
    <s v="Monterrey"/>
    <s v="19046"/>
    <s v="San Nicolás de los Garza"/>
    <x v="1"/>
    <x v="75"/>
    <m/>
    <m/>
    <m/>
    <m/>
    <m/>
    <n v="1.7617810679834117E-2"/>
    <m/>
    <s v="Estatal"/>
  </r>
  <r>
    <x v="0"/>
    <s v="Nuevo León"/>
    <s v="19"/>
    <s v="19.01"/>
    <s v="Monterrey"/>
    <s v="19047"/>
    <s v="Hidalgo"/>
    <x v="1"/>
    <x v="75"/>
    <m/>
    <m/>
    <m/>
    <m/>
    <m/>
    <n v="0.17617810679834123"/>
    <m/>
    <s v="Estatal"/>
  </r>
  <r>
    <x v="0"/>
    <s v="Nuevo León"/>
    <s v="19"/>
    <s v="19.01"/>
    <s v="Monterrey"/>
    <s v="19048"/>
    <s v="Santa Catarina"/>
    <x v="1"/>
    <x v="75"/>
    <m/>
    <m/>
    <m/>
    <m/>
    <m/>
    <n v="0.77921059806809201"/>
    <m/>
    <s v="Estatal"/>
  </r>
  <r>
    <x v="0"/>
    <s v="Nuevo León"/>
    <s v="19"/>
    <s v="19.01"/>
    <s v="Monterrey"/>
    <s v="19049"/>
    <s v="Santiago"/>
    <x v="1"/>
    <x v="75"/>
    <m/>
    <m/>
    <m/>
    <m/>
    <m/>
    <n v="3.1435207913018308"/>
    <m/>
    <s v="Estatal"/>
  </r>
  <r>
    <x v="0"/>
    <s v="Nuevo León"/>
    <s v="19"/>
    <s v="19.01"/>
    <s v="Monterrey"/>
    <s v="19001"/>
    <s v="Abasolo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06"/>
    <s v="Apodaca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09"/>
    <s v="Cadereyta Jiménez"/>
    <x v="4"/>
    <x v="76"/>
    <n v="2.9695714268828253"/>
    <n v="2.8215691869129249"/>
    <n v="0.20115672720044811"/>
    <n v="28.684591891797446"/>
    <n v="1.0794350408945228"/>
    <n v="2.3264783481091849"/>
    <n v="0.5741188659409282"/>
    <s v="Estatal"/>
  </r>
  <r>
    <x v="0"/>
    <s v="Nuevo León"/>
    <s v="19"/>
    <s v="19.01"/>
    <s v="Monterrey"/>
    <s v="19010"/>
    <s v="El Carmen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12"/>
    <s v="Ciénega de Flores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18"/>
    <s v="García"/>
    <x v="4"/>
    <x v="76"/>
    <n v="6.0188517795562446E-2"/>
    <n v="5.7388477881817425E-2"/>
    <n v="1.9014726457714523E-3"/>
    <n v="0.32059151609615916"/>
    <n v="1.4401717774428304E-2"/>
    <n v="2.3195944453042454E-2"/>
    <n v="6.4130528282791222E-3"/>
    <s v="Estatal"/>
  </r>
  <r>
    <x v="0"/>
    <s v="Nuevo León"/>
    <s v="19"/>
    <s v="19.01"/>
    <s v="Monterrey"/>
    <s v="19019"/>
    <s v="San Pedro Garza García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21"/>
    <s v="General Escobedo"/>
    <x v="4"/>
    <x v="76"/>
    <n v="0.52428393284842145"/>
    <n v="0.50049743075006004"/>
    <n v="1.7655960320433279E-2"/>
    <n v="2.2805615413892988"/>
    <n v="0.13315536741660097"/>
    <n v="0.15105654940815139"/>
    <n v="4.5611230827785974E-2"/>
    <s v="Estatal"/>
  </r>
  <r>
    <x v="0"/>
    <s v="Nuevo León"/>
    <s v="19"/>
    <s v="19.01"/>
    <s v="Monterrey"/>
    <s v="19025"/>
    <s v="General Zuazua"/>
    <x v="4"/>
    <x v="76"/>
    <n v="7.6352029055595377E-2"/>
    <n v="7.2887975351950504E-2"/>
    <n v="2.5712563573446522E-3"/>
    <n v="0.33212061282368427"/>
    <n v="1.9391558361640922E-2"/>
    <n v="2.199852661283758E-2"/>
    <n v="6.6424122564736864E-3"/>
    <s v="Estatal"/>
  </r>
  <r>
    <x v="0"/>
    <s v="Nuevo León"/>
    <s v="19"/>
    <s v="19.01"/>
    <s v="Monterrey"/>
    <s v="19026"/>
    <s v="Guadalupe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31"/>
    <s v="Juárez"/>
    <x v="4"/>
    <x v="76"/>
    <n v="5.1773563193574609E-2"/>
    <n v="4.9476798255641483E-2"/>
    <n v="1.7343376214246282E-3"/>
    <n v="0.23707319726659831"/>
    <n v="1.3394060894141751E-2"/>
    <n v="1.7710858604315583E-2"/>
    <n v="4.7408589438361209E-3"/>
    <s v="Estatal"/>
  </r>
  <r>
    <x v="0"/>
    <s v="Nuevo León"/>
    <s v="19"/>
    <s v="19.01"/>
    <s v="Monterrey"/>
    <s v="19039"/>
    <s v="Monterrey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41"/>
    <s v="Pesquería"/>
    <x v="4"/>
    <x v="76"/>
    <n v="3.2415521354616983"/>
    <n v="3.0890192003430479"/>
    <n v="0.1582082552849475"/>
    <n v="21.966825906912359"/>
    <n v="0.98644013604645964"/>
    <n v="1.6991172632786655"/>
    <n v="0.43952809690358602"/>
    <s v="Estatal"/>
  </r>
  <r>
    <x v="0"/>
    <s v="Nuevo León"/>
    <s v="19"/>
    <s v="19.01"/>
    <s v="Monterrey"/>
    <s v="19045"/>
    <s v="Salinas Victoria"/>
    <x v="4"/>
    <x v="76"/>
    <n v="0.16434792474285098"/>
    <n v="0.15667444596950753"/>
    <n v="5.0670471808810947E-3"/>
    <n v="0.93941081364304568"/>
    <n v="3.8666164052175864E-2"/>
    <n v="7.0875444318165004E-2"/>
    <n v="1.8792272169277865E-2"/>
    <s v="Estatal"/>
  </r>
  <r>
    <x v="0"/>
    <s v="Nuevo León"/>
    <s v="19"/>
    <s v="19.01"/>
    <s v="Monterrey"/>
    <s v="19046"/>
    <s v="San Nicolás de los Garza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47"/>
    <s v="Hidalgo"/>
    <x v="4"/>
    <x v="76"/>
    <n v="6.4485462493687404E-2"/>
    <n v="6.1396980274185921E-2"/>
    <n v="1.8695554557461649E-3"/>
    <n v="0.42257573091535849"/>
    <n v="1.4269666114601696E-2"/>
    <n v="3.2845211903123492E-2"/>
    <n v="8.4544085421289633E-3"/>
    <s v="Estatal"/>
  </r>
  <r>
    <x v="0"/>
    <s v="Nuevo León"/>
    <s v="19"/>
    <s v="19.01"/>
    <s v="Monterrey"/>
    <s v="19048"/>
    <s v="Santa Catarina"/>
    <x v="4"/>
    <x v="76"/>
    <n v="0"/>
    <n v="0"/>
    <n v="0"/>
    <n v="0"/>
    <n v="0"/>
    <n v="0"/>
    <n v="0"/>
    <s v="Estatal"/>
  </r>
  <r>
    <x v="0"/>
    <s v="Nuevo León"/>
    <s v="19"/>
    <s v="19.01"/>
    <s v="Monterrey"/>
    <s v="19049"/>
    <s v="Santiago"/>
    <x v="4"/>
    <x v="76"/>
    <n v="0"/>
    <n v="0"/>
    <n v="0"/>
    <n v="0"/>
    <n v="0"/>
    <n v="0"/>
    <n v="0"/>
    <s v="Esta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S1:Z5" firstHeaderRow="0" firstDataRow="1" firstDataCol="1"/>
  <pivotFields count="17">
    <pivotField axis="axisRow" showAll="0">
      <items count="6">
        <item x="3"/>
        <item x="0"/>
        <item x="2"/>
        <item h="1"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E_PM10" fld="9" baseField="0" baseItem="0"/>
    <dataField name="Suma de E_PM2.5" fld="10" baseField="0" baseItem="0"/>
    <dataField name="Suma de E_SO2" fld="11" baseField="0" baseItem="0"/>
    <dataField name="Suma de E_CO" fld="12" baseField="0" baseItem="0"/>
    <dataField name="Suma de E_NOX" fld="13" baseField="0" baseItem="0"/>
    <dataField name="Suma de E_COV" fld="14" baseField="0" baseItem="0"/>
    <dataField name="Suma de E_NH3" fld="15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1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S8:Z12" firstHeaderRow="0" firstDataRow="1" firstDataCol="1"/>
  <pivotFields count="17">
    <pivotField axis="axisRow" showAll="0">
      <items count="6">
        <item x="3"/>
        <item h="1" x="0"/>
        <item h="1" x="2"/>
        <item h="1"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">
        <item x="4"/>
        <item x="2"/>
        <item x="9"/>
        <item x="0"/>
        <item x="7"/>
        <item x="11"/>
        <item x="10"/>
        <item x="3"/>
        <item x="6"/>
        <item x="8"/>
        <item x="5"/>
        <item x="1"/>
        <item x="1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7"/>
  </rowFields>
  <rowItems count="4">
    <i>
      <x/>
    </i>
    <i r="1">
      <x v="5"/>
    </i>
    <i r="1"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E_PM10" fld="9" baseField="0" baseItem="0"/>
    <dataField name="Suma de E_PM2.5" fld="10" baseField="0" baseItem="0"/>
    <dataField name="Suma de E_SO2" fld="11" baseField="0" baseItem="0"/>
    <dataField name="Suma de E_CO" fld="12" baseField="0" baseItem="0"/>
    <dataField name="Suma de E_NOX" fld="13" baseField="0" baseItem="0"/>
    <dataField name="Suma de E_COV" fld="14" baseField="0" baseItem="0"/>
    <dataField name="Suma de E_NH3" fld="15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1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outline="1" outlineData="1" multipleFieldFilters="0" rowHeaderCaption="Emisiones">
  <location ref="AN1:AU4" firstHeaderRow="0" firstDataRow="1" firstDataCol="1"/>
  <pivotFields count="17">
    <pivotField axis="axisRow" showAll="0">
      <items count="5">
        <item x="3"/>
        <item h="1" x="0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2"/>
        <item x="9"/>
        <item x="0"/>
        <item x="7"/>
        <item x="10"/>
        <item x="11"/>
        <item x="3"/>
        <item x="6"/>
        <item x="8"/>
        <item x="5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7"/>
  </rowFields>
  <rowItems count="3">
    <i>
      <x/>
    </i>
    <i r="1">
      <x v="5"/>
    </i>
    <i r="1">
      <x v="6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PM10" fld="9" baseField="0" baseItem="0"/>
    <dataField name="PM2.5" fld="10" baseField="0" baseItem="0"/>
    <dataField name="SO2" fld="11" baseField="0" baseItem="0"/>
    <dataField name="CO" fld="12" baseField="0" baseItem="0"/>
    <dataField name="NOX" fld="13" baseField="0" baseItem="0"/>
    <dataField name="COV" fld="14" baseField="0" baseItem="0"/>
    <dataField name="NH3" fld="15" baseField="0" baseItem="0"/>
  </dataFields>
  <formats count="3">
    <format dxfId="2">
      <pivotArea grandRow="1" outline="0" collapsedLevelsAreSubtotals="1" fieldPosition="0"/>
    </format>
    <format dxfId="1">
      <pivotArea collapsedLevelsAreSubtotals="1" fieldPosition="0">
        <references count="1">
          <reference field="0" count="0"/>
        </references>
      </pivotArea>
    </format>
    <format dxfId="0">
      <pivotArea collapsedLevelsAreSubtotals="1" fieldPosition="0">
        <references count="2">
          <reference field="0" count="0" selected="0"/>
          <reference field="7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2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T33:AA110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8">
        <item x="47"/>
        <item x="11"/>
        <item x="19"/>
        <item x="48"/>
        <item x="49"/>
        <item x="14"/>
        <item x="15"/>
        <item x="74"/>
        <item x="12"/>
        <item x="2"/>
        <item x="41"/>
        <item x="63"/>
        <item x="37"/>
        <item x="22"/>
        <item x="39"/>
        <item x="64"/>
        <item x="71"/>
        <item x="40"/>
        <item x="0"/>
        <item x="72"/>
        <item x="1"/>
        <item x="73"/>
        <item x="17"/>
        <item x="31"/>
        <item x="59"/>
        <item x="60"/>
        <item x="29"/>
        <item x="23"/>
        <item x="16"/>
        <item x="30"/>
        <item x="25"/>
        <item x="45"/>
        <item x="65"/>
        <item x="50"/>
        <item x="26"/>
        <item x="24"/>
        <item x="51"/>
        <item x="52"/>
        <item x="18"/>
        <item x="27"/>
        <item x="3"/>
        <item x="4"/>
        <item x="32"/>
        <item x="33"/>
        <item x="53"/>
        <item x="10"/>
        <item x="9"/>
        <item x="35"/>
        <item x="54"/>
        <item x="62"/>
        <item x="55"/>
        <item x="56"/>
        <item x="36"/>
        <item x="61"/>
        <item x="57"/>
        <item x="13"/>
        <item x="58"/>
        <item x="70"/>
        <item x="44"/>
        <item x="5"/>
        <item x="75"/>
        <item x="66"/>
        <item x="46"/>
        <item x="20"/>
        <item x="76"/>
        <item x="67"/>
        <item x="6"/>
        <item x="7"/>
        <item x="21"/>
        <item x="38"/>
        <item x="34"/>
        <item x="43"/>
        <item x="68"/>
        <item x="8"/>
        <item x="42"/>
        <item x="69"/>
        <item h="1" x="2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8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E_PM10" fld="9" baseField="0" baseItem="0"/>
    <dataField name="Suma de E_PM2.5" fld="10" baseField="0" baseItem="0"/>
    <dataField name="Suma de E_SO2" fld="11" baseField="0" baseItem="0"/>
    <dataField name="Suma de E_CO" fld="12" baseField="0" baseItem="0"/>
    <dataField name="Suma de E_NOX" fld="13" baseField="0" baseItem="0"/>
    <dataField name="Suma de E_COV" fld="14" baseField="0" baseItem="0"/>
    <dataField name="Suma de E_NH3" fld="15" baseField="0" baseItem="0"/>
  </dataFields>
  <formats count="2">
    <format dxfId="4">
      <pivotArea collapsedLevelsAreSubtotals="1" fieldPosition="0">
        <references count="1">
          <reference field="8" count="0"/>
        </references>
      </pivotArea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dinámica1" cacheId="1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T1:AA5" firstHeaderRow="0" firstDataRow="1" firstDataCol="1"/>
  <pivotFields count="17">
    <pivotField axis="axisRow" showAll="0">
      <items count="5">
        <item x="3"/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PM10" fld="9" baseField="0" baseItem="0"/>
    <dataField name="PM2.5" fld="10" baseField="0" baseItem="0"/>
    <dataField name="SO2" fld="11" baseField="0" baseItem="0"/>
    <dataField name="CO" fld="12" baseField="0" baseItem="0"/>
    <dataField name="NOX" fld="13" baseField="0" baseItem="0"/>
    <dataField name="COV" fld="14" baseField="0" baseItem="0"/>
    <dataField name="NH3" fld="15" baseField="0" baseItem="0"/>
  </dataFields>
  <formats count="2">
    <format dxfId="6">
      <pivotArea grandRow="1" outline="0" collapsedLevelsAreSubtotals="1" fieldPosition="0"/>
    </format>
    <format dxfId="5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 dinámica5" cacheId="14" applyNumberFormats="0" applyBorderFormats="0" applyFontFormats="0" applyPatternFormats="0" applyAlignmentFormats="0" applyWidthHeightFormats="1" dataCaption="Valores" updatedVersion="5" minRefreshableVersion="3" rowGrandTotals="0" colGrandTotals="0" itemPrintTitles="1" createdVersion="5" indent="0" compact="0" compactData="0" multipleFieldFilters="0">
  <location ref="AW1:BE28" firstHeaderRow="0" firstDataRow="1" firstDataCol="3"/>
  <pivotFields count="17">
    <pivotField name="Categoria" axis="axisRow" compact="0" outline="0" showAll="0" defaultSubtotal="0">
      <items count="4">
        <item x="3"/>
        <item h="1" x="0"/>
        <item h="1"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4"/>
        <item x="2"/>
        <item x="9"/>
        <item x="0"/>
        <item x="7"/>
        <item x="10"/>
        <item x="11"/>
        <item x="3"/>
        <item x="6"/>
        <item x="8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ategoría" axis="axisRow" compact="0" outline="0" showAll="0" defaultSubtotal="0">
      <items count="77">
        <item x="47"/>
        <item x="11"/>
        <item x="19"/>
        <item x="48"/>
        <item x="49"/>
        <item x="14"/>
        <item x="15"/>
        <item x="74"/>
        <item x="12"/>
        <item x="2"/>
        <item x="41"/>
        <item x="63"/>
        <item x="37"/>
        <item x="22"/>
        <item x="39"/>
        <item x="64"/>
        <item x="71"/>
        <item x="40"/>
        <item x="0"/>
        <item x="72"/>
        <item x="1"/>
        <item x="73"/>
        <item x="17"/>
        <item x="31"/>
        <item x="59"/>
        <item x="60"/>
        <item x="29"/>
        <item x="23"/>
        <item x="16"/>
        <item x="30"/>
        <item x="25"/>
        <item x="45"/>
        <item x="65"/>
        <item x="50"/>
        <item x="26"/>
        <item x="24"/>
        <item x="51"/>
        <item x="52"/>
        <item x="18"/>
        <item x="27"/>
        <item x="3"/>
        <item x="4"/>
        <item x="32"/>
        <item x="33"/>
        <item x="53"/>
        <item x="10"/>
        <item x="9"/>
        <item x="35"/>
        <item x="54"/>
        <item x="62"/>
        <item x="55"/>
        <item x="56"/>
        <item x="36"/>
        <item x="61"/>
        <item x="57"/>
        <item x="13"/>
        <item x="58"/>
        <item x="70"/>
        <item x="44"/>
        <item x="5"/>
        <item x="75"/>
        <item x="66"/>
        <item x="46"/>
        <item x="20"/>
        <item x="76"/>
        <item x="67"/>
        <item x="6"/>
        <item x="7"/>
        <item x="21"/>
        <item x="38"/>
        <item x="34"/>
        <item x="43"/>
        <item x="68"/>
        <item x="8"/>
        <item x="42"/>
        <item x="69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7"/>
    <field x="8"/>
  </rowFields>
  <rowItems count="27">
    <i>
      <x/>
      <x v="5"/>
      <x/>
    </i>
    <i r="2">
      <x v="3"/>
    </i>
    <i r="2">
      <x v="4"/>
    </i>
    <i r="2">
      <x v="24"/>
    </i>
    <i r="2">
      <x v="25"/>
    </i>
    <i r="2">
      <x v="31"/>
    </i>
    <i r="2">
      <x v="33"/>
    </i>
    <i r="2">
      <x v="36"/>
    </i>
    <i r="2">
      <x v="37"/>
    </i>
    <i r="2">
      <x v="44"/>
    </i>
    <i r="2">
      <x v="48"/>
    </i>
    <i r="2">
      <x v="50"/>
    </i>
    <i r="2">
      <x v="51"/>
    </i>
    <i r="2">
      <x v="53"/>
    </i>
    <i r="2">
      <x v="54"/>
    </i>
    <i r="2">
      <x v="56"/>
    </i>
    <i r="2">
      <x v="62"/>
    </i>
    <i r="1">
      <x v="6"/>
      <x v="11"/>
    </i>
    <i r="2">
      <x v="15"/>
    </i>
    <i r="2">
      <x v="16"/>
    </i>
    <i r="2">
      <x v="32"/>
    </i>
    <i r="2">
      <x v="49"/>
    </i>
    <i r="2">
      <x v="57"/>
    </i>
    <i r="2">
      <x v="61"/>
    </i>
    <i r="2">
      <x v="65"/>
    </i>
    <i r="2">
      <x v="72"/>
    </i>
    <i r="2">
      <x v="75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M10" fld="9" baseField="0" baseItem="0" numFmtId="164"/>
    <dataField name="PM2.5" fld="10" baseField="0" baseItem="0" numFmtId="164"/>
    <dataField name="SO2" fld="11" baseField="0" baseItem="0" numFmtId="164"/>
    <dataField name="CO" fld="12" baseField="0" baseItem="0" numFmtId="164"/>
    <dataField name="NOX" fld="13" baseField="0" baseItem="0" numFmtId="164"/>
    <dataField name="COV" fld="14" baseField="0" baseItem="0" numFmtId="164"/>
  </dataFields>
  <formats count="9">
    <format dxfId="15">
      <pivotArea grandRow="1" outline="0" collapsedLevelsAreSubtotals="1" fieldPosition="0"/>
    </format>
    <format dxfId="14">
      <pivotArea collapsedLevelsAreSubtotals="1" fieldPosition="0">
        <references count="1">
          <reference field="0" count="0"/>
        </references>
      </pivotArea>
    </format>
    <format dxfId="13">
      <pivotArea collapsedLevelsAreSubtotals="1" fieldPosition="0">
        <references count="2">
          <reference field="0" count="0" selected="0"/>
          <reference field="7" count="2">
            <x v="5"/>
            <x v="6"/>
          </reference>
        </references>
      </pivotArea>
    </format>
    <format dxfId="12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">
      <pivotArea outline="0" collapsedLevelsAreSubtotals="1" fieldPosition="0">
        <references count="4">
          <reference field="4294967294" count="2" selected="0">
            <x v="0"/>
            <x v="1"/>
          </reference>
          <reference field="0" count="0" selected="0"/>
          <reference field="7" count="1" selected="0">
            <x v="5"/>
          </reference>
          <reference field="8" count="1" selected="0">
            <x v="31"/>
          </reference>
        </references>
      </pivotArea>
    </format>
    <format dxfId="7">
      <pivotArea dataOnly="0" labelOnly="1" outline="0" fieldPosition="0">
        <references count="3">
          <reference field="0" count="0" selected="0"/>
          <reference field="7" count="1" selected="0">
            <x v="5"/>
          </reference>
          <reference field="8" count="1">
            <x v="3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1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1:B21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showAll="0">
      <items count="20">
        <item x="0"/>
        <item x="1"/>
        <item x="2"/>
        <item x="4"/>
        <item x="3"/>
        <item x="5"/>
        <item x="7"/>
        <item x="8"/>
        <item x="9"/>
        <item x="15"/>
        <item x="10"/>
        <item x="11"/>
        <item x="12"/>
        <item x="13"/>
        <item x="14"/>
        <item x="6"/>
        <item x="16"/>
        <item x="17"/>
        <item x="18"/>
        <item t="default"/>
      </items>
    </pivotField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2817"/>
  <sheetViews>
    <sheetView topLeftCell="A1595" workbookViewId="0">
      <selection activeCell="G1514" sqref="G1:G1048576"/>
    </sheetView>
  </sheetViews>
  <sheetFormatPr defaultColWidth="11.42578125" defaultRowHeight="15" x14ac:dyDescent="0.25"/>
  <cols>
    <col min="1" max="1" width="14" customWidth="1"/>
    <col min="2" max="2" width="16.42578125" customWidth="1"/>
    <col min="10" max="10" width="13.28515625" customWidth="1"/>
    <col min="11" max="12" width="13.42578125" customWidth="1"/>
    <col min="15" max="15" width="12" bestFit="1" customWidth="1"/>
    <col min="19" max="19" width="17.5703125" customWidth="1"/>
    <col min="20" max="20" width="16.140625" customWidth="1"/>
    <col min="21" max="21" width="16.7109375" customWidth="1"/>
    <col min="22" max="22" width="14.42578125" customWidth="1"/>
    <col min="23" max="23" width="13.5703125" customWidth="1"/>
    <col min="24" max="24" width="15" customWidth="1"/>
    <col min="25" max="25" width="14.85546875" customWidth="1"/>
    <col min="26" max="26" width="14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S1" s="19" t="s">
        <v>244</v>
      </c>
      <c r="T1" t="s">
        <v>246</v>
      </c>
      <c r="U1" t="s">
        <v>247</v>
      </c>
      <c r="V1" t="s">
        <v>248</v>
      </c>
      <c r="W1" t="s">
        <v>249</v>
      </c>
      <c r="X1" t="s">
        <v>250</v>
      </c>
      <c r="Y1" t="s">
        <v>251</v>
      </c>
      <c r="Z1" t="s">
        <v>252</v>
      </c>
    </row>
    <row r="2" spans="1:26" hidden="1" x14ac:dyDescent="0.2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t="s">
        <v>26</v>
      </c>
      <c r="S2" s="20" t="s">
        <v>182</v>
      </c>
      <c r="T2" s="22">
        <v>8428.9269757287766</v>
      </c>
      <c r="U2" s="22">
        <v>5665.4189003132769</v>
      </c>
      <c r="V2" s="22">
        <v>12210.758787196188</v>
      </c>
      <c r="W2" s="22">
        <v>15173.402387024389</v>
      </c>
      <c r="X2" s="22">
        <v>25864.154400860451</v>
      </c>
      <c r="Y2" s="22">
        <v>15370.885429212398</v>
      </c>
      <c r="Z2" s="22">
        <v>303.42637030553618</v>
      </c>
    </row>
    <row r="3" spans="1:26" hidden="1" x14ac:dyDescent="0.25">
      <c r="A3" s="7" t="s">
        <v>17</v>
      </c>
      <c r="B3" s="7" t="s">
        <v>18</v>
      </c>
      <c r="C3" s="7" t="s">
        <v>19</v>
      </c>
      <c r="D3" s="7"/>
      <c r="E3" s="7"/>
      <c r="F3" s="7" t="s">
        <v>27</v>
      </c>
      <c r="G3" s="7" t="s">
        <v>28</v>
      </c>
      <c r="H3" s="7" t="s">
        <v>24</v>
      </c>
      <c r="I3" s="7" t="s">
        <v>25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t="s">
        <v>26</v>
      </c>
      <c r="S3" s="20" t="s">
        <v>17</v>
      </c>
      <c r="T3" s="22">
        <v>12977.894659422616</v>
      </c>
      <c r="U3" s="22">
        <v>3202.6200793253438</v>
      </c>
      <c r="V3" s="22">
        <v>61.210785396443924</v>
      </c>
      <c r="W3" s="22">
        <v>10405.824553881808</v>
      </c>
      <c r="X3" s="22">
        <v>1243.1981214189536</v>
      </c>
      <c r="Y3" s="22">
        <v>68091.590631864034</v>
      </c>
      <c r="Z3" s="22">
        <v>19527.449526286986</v>
      </c>
    </row>
    <row r="4" spans="1:26" hidden="1" x14ac:dyDescent="0.25">
      <c r="A4" s="7" t="s">
        <v>17</v>
      </c>
      <c r="B4" s="7" t="s">
        <v>18</v>
      </c>
      <c r="C4" s="7" t="s">
        <v>19</v>
      </c>
      <c r="D4" s="7"/>
      <c r="E4" s="7"/>
      <c r="F4" s="7" t="s">
        <v>29</v>
      </c>
      <c r="G4" s="7" t="s">
        <v>30</v>
      </c>
      <c r="H4" s="7" t="s">
        <v>24</v>
      </c>
      <c r="I4" s="7" t="s">
        <v>25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t="s">
        <v>26</v>
      </c>
      <c r="S4" s="20" t="s">
        <v>162</v>
      </c>
      <c r="T4" s="22">
        <v>3646.8376415366697</v>
      </c>
      <c r="U4" s="22">
        <v>3319.1583392934663</v>
      </c>
      <c r="V4" s="22">
        <v>475.36052060612627</v>
      </c>
      <c r="W4" s="22">
        <v>349086.27168173436</v>
      </c>
      <c r="X4" s="22">
        <v>102898.07963429314</v>
      </c>
      <c r="Y4" s="22">
        <v>72968.320936268021</v>
      </c>
      <c r="Z4" s="22">
        <v>466.55948795865402</v>
      </c>
    </row>
    <row r="5" spans="1:26" hidden="1" x14ac:dyDescent="0.25">
      <c r="A5" s="7" t="s">
        <v>17</v>
      </c>
      <c r="B5" s="7" t="s">
        <v>18</v>
      </c>
      <c r="C5" s="7" t="s">
        <v>19</v>
      </c>
      <c r="D5" s="7"/>
      <c r="E5" s="7"/>
      <c r="F5" s="7" t="s">
        <v>31</v>
      </c>
      <c r="G5" s="7" t="s">
        <v>32</v>
      </c>
      <c r="H5" s="7" t="s">
        <v>24</v>
      </c>
      <c r="I5" s="7" t="s">
        <v>25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t="s">
        <v>26</v>
      </c>
      <c r="S5" s="20" t="s">
        <v>245</v>
      </c>
      <c r="T5" s="22">
        <v>25053.65927668806</v>
      </c>
      <c r="U5" s="22">
        <v>12187.197318932087</v>
      </c>
      <c r="V5" s="22">
        <v>12747.330093198758</v>
      </c>
      <c r="W5" s="22">
        <v>374665.49862264056</v>
      </c>
      <c r="X5" s="22">
        <v>130005.43215657255</v>
      </c>
      <c r="Y5" s="22">
        <v>156430.79699734447</v>
      </c>
      <c r="Z5" s="22">
        <v>20297.435384551176</v>
      </c>
    </row>
    <row r="6" spans="1:26" hidden="1" x14ac:dyDescent="0.25">
      <c r="A6" s="7" t="s">
        <v>17</v>
      </c>
      <c r="B6" s="7" t="s">
        <v>18</v>
      </c>
      <c r="C6" s="7" t="s">
        <v>19</v>
      </c>
      <c r="D6" s="7"/>
      <c r="E6" s="7"/>
      <c r="F6" s="7" t="s">
        <v>33</v>
      </c>
      <c r="G6" s="7" t="s">
        <v>34</v>
      </c>
      <c r="H6" s="7" t="s">
        <v>24</v>
      </c>
      <c r="I6" s="7" t="s">
        <v>25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t="s">
        <v>26</v>
      </c>
    </row>
    <row r="7" spans="1:26" hidden="1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35</v>
      </c>
      <c r="G7" s="7" t="s">
        <v>36</v>
      </c>
      <c r="H7" s="7" t="s">
        <v>24</v>
      </c>
      <c r="I7" s="7" t="s">
        <v>25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t="s">
        <v>26</v>
      </c>
    </row>
    <row r="8" spans="1:26" hidden="1" x14ac:dyDescent="0.25">
      <c r="A8" s="7" t="s">
        <v>17</v>
      </c>
      <c r="B8" s="7" t="s">
        <v>18</v>
      </c>
      <c r="C8" s="7" t="s">
        <v>19</v>
      </c>
      <c r="D8" s="7"/>
      <c r="E8" s="7"/>
      <c r="F8" s="7" t="s">
        <v>37</v>
      </c>
      <c r="G8" s="7" t="s">
        <v>38</v>
      </c>
      <c r="H8" s="7" t="s">
        <v>24</v>
      </c>
      <c r="I8" s="7" t="s">
        <v>25</v>
      </c>
      <c r="J8" s="8">
        <v>0.10796491100838114</v>
      </c>
      <c r="K8" s="8">
        <v>0.10796491100838114</v>
      </c>
      <c r="L8" s="8">
        <v>1.3271596038436063E-2</v>
      </c>
      <c r="M8" s="8">
        <v>0.8843311802062066</v>
      </c>
      <c r="N8" s="8">
        <v>1.5526425301330344</v>
      </c>
      <c r="O8" s="8">
        <v>5.4229978226385693E-2</v>
      </c>
      <c r="P8" s="8">
        <v>0</v>
      </c>
      <c r="Q8" t="s">
        <v>26</v>
      </c>
      <c r="S8" s="19" t="s">
        <v>244</v>
      </c>
      <c r="T8" t="s">
        <v>246</v>
      </c>
      <c r="U8" t="s">
        <v>247</v>
      </c>
      <c r="V8" t="s">
        <v>248</v>
      </c>
      <c r="W8" t="s">
        <v>249</v>
      </c>
      <c r="X8" t="s">
        <v>250</v>
      </c>
      <c r="Y8" t="s">
        <v>251</v>
      </c>
      <c r="Z8" t="s">
        <v>252</v>
      </c>
    </row>
    <row r="9" spans="1:26" hidden="1" x14ac:dyDescent="0.25">
      <c r="A9" s="7" t="s">
        <v>17</v>
      </c>
      <c r="B9" s="7" t="s">
        <v>18</v>
      </c>
      <c r="C9" s="7" t="s">
        <v>19</v>
      </c>
      <c r="D9" s="7"/>
      <c r="E9" s="7"/>
      <c r="F9" s="7" t="s">
        <v>39</v>
      </c>
      <c r="G9" s="7" t="s">
        <v>40</v>
      </c>
      <c r="H9" s="7" t="s">
        <v>24</v>
      </c>
      <c r="I9" s="7" t="s">
        <v>25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t="s">
        <v>26</v>
      </c>
      <c r="S9" s="20" t="s">
        <v>182</v>
      </c>
      <c r="T9" s="22">
        <v>8428.926975728773</v>
      </c>
      <c r="U9" s="22">
        <v>5665.4189003132778</v>
      </c>
      <c r="V9" s="22">
        <v>12210.758787196197</v>
      </c>
      <c r="W9" s="22">
        <v>15173.402387024398</v>
      </c>
      <c r="X9" s="22">
        <v>25864.154400860458</v>
      </c>
      <c r="Y9" s="22">
        <v>15370.885429212396</v>
      </c>
      <c r="Z9" s="22">
        <v>303.42637030553607</v>
      </c>
    </row>
    <row r="10" spans="1:26" hidden="1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21</v>
      </c>
      <c r="F10" s="7" t="s">
        <v>41</v>
      </c>
      <c r="G10" s="7" t="s">
        <v>42</v>
      </c>
      <c r="H10" s="7" t="s">
        <v>24</v>
      </c>
      <c r="I10" s="7" t="s">
        <v>25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t="s">
        <v>26</v>
      </c>
      <c r="S10" s="24" t="s">
        <v>227</v>
      </c>
      <c r="T10" s="22">
        <v>4890.3354277145845</v>
      </c>
      <c r="U10" s="22">
        <v>3491.3018478780382</v>
      </c>
      <c r="V10" s="22">
        <v>11330.186749175604</v>
      </c>
      <c r="W10" s="22">
        <v>14275.596112834924</v>
      </c>
      <c r="X10" s="22">
        <v>24659.108991588211</v>
      </c>
      <c r="Y10" s="22">
        <v>10212.015702444032</v>
      </c>
      <c r="Z10" s="22">
        <v>271.40973584985028</v>
      </c>
    </row>
    <row r="11" spans="1:26" hidden="1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43</v>
      </c>
      <c r="G11" s="7" t="s">
        <v>44</v>
      </c>
      <c r="H11" s="7" t="s">
        <v>24</v>
      </c>
      <c r="I11" s="7" t="s">
        <v>25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t="s">
        <v>26</v>
      </c>
      <c r="S11" s="24" t="s">
        <v>26</v>
      </c>
      <c r="T11" s="22">
        <v>3538.5915480141884</v>
      </c>
      <c r="U11" s="22">
        <v>2174.1170524352392</v>
      </c>
      <c r="V11" s="22">
        <v>880.57203802059257</v>
      </c>
      <c r="W11" s="22">
        <v>897.80627418947324</v>
      </c>
      <c r="X11" s="22">
        <v>1205.0454092722455</v>
      </c>
      <c r="Y11" s="22">
        <v>5158.8697267683638</v>
      </c>
      <c r="Z11" s="22">
        <v>32.016634455685768</v>
      </c>
    </row>
    <row r="12" spans="1:26" hidden="1" x14ac:dyDescent="0.25">
      <c r="A12" s="7" t="s">
        <v>17</v>
      </c>
      <c r="B12" s="7" t="s">
        <v>18</v>
      </c>
      <c r="C12" s="7" t="s">
        <v>19</v>
      </c>
      <c r="D12" s="7"/>
      <c r="E12" s="7"/>
      <c r="F12" s="7" t="s">
        <v>45</v>
      </c>
      <c r="G12" s="7" t="s">
        <v>46</v>
      </c>
      <c r="H12" s="7" t="s">
        <v>24</v>
      </c>
      <c r="I12" s="7" t="s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t="s">
        <v>26</v>
      </c>
      <c r="S12" s="20" t="s">
        <v>245</v>
      </c>
      <c r="T12" s="22">
        <v>8428.926975728773</v>
      </c>
      <c r="U12" s="22">
        <v>5665.4189003132778</v>
      </c>
      <c r="V12" s="22">
        <v>12210.758787196197</v>
      </c>
      <c r="W12" s="22">
        <v>15173.402387024398</v>
      </c>
      <c r="X12" s="22">
        <v>25864.154400860458</v>
      </c>
      <c r="Y12" s="22">
        <v>15370.885429212396</v>
      </c>
      <c r="Z12" s="22">
        <v>303.42637030553607</v>
      </c>
    </row>
    <row r="13" spans="1:26" hidden="1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21</v>
      </c>
      <c r="F13" s="7" t="s">
        <v>47</v>
      </c>
      <c r="G13" s="7" t="s">
        <v>48</v>
      </c>
      <c r="H13" s="7" t="s">
        <v>24</v>
      </c>
      <c r="I13" s="7" t="s">
        <v>25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t="s">
        <v>26</v>
      </c>
    </row>
    <row r="14" spans="1:26" hidden="1" x14ac:dyDescent="0.25">
      <c r="A14" s="7" t="s">
        <v>17</v>
      </c>
      <c r="B14" s="7" t="s">
        <v>18</v>
      </c>
      <c r="C14" s="7" t="s">
        <v>19</v>
      </c>
      <c r="D14" s="7"/>
      <c r="E14" s="7"/>
      <c r="F14" s="7" t="s">
        <v>49</v>
      </c>
      <c r="G14" s="7" t="s">
        <v>50</v>
      </c>
      <c r="H14" s="7" t="s">
        <v>24</v>
      </c>
      <c r="I14" s="7" t="s">
        <v>25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t="s">
        <v>26</v>
      </c>
    </row>
    <row r="15" spans="1:26" hidden="1" x14ac:dyDescent="0.25">
      <c r="A15" s="7" t="s">
        <v>17</v>
      </c>
      <c r="B15" s="7" t="s">
        <v>18</v>
      </c>
      <c r="C15" s="7" t="s">
        <v>19</v>
      </c>
      <c r="D15" s="7"/>
      <c r="E15" s="7"/>
      <c r="F15" s="7" t="s">
        <v>51</v>
      </c>
      <c r="G15" s="7" t="s">
        <v>52</v>
      </c>
      <c r="H15" s="7" t="s">
        <v>24</v>
      </c>
      <c r="I15" s="7" t="s">
        <v>25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t="s">
        <v>26</v>
      </c>
    </row>
    <row r="16" spans="1:26" hidden="1" x14ac:dyDescent="0.25">
      <c r="A16" s="7" t="s">
        <v>17</v>
      </c>
      <c r="B16" s="7" t="s">
        <v>18</v>
      </c>
      <c r="C16" s="7" t="s">
        <v>19</v>
      </c>
      <c r="D16" s="7"/>
      <c r="E16" s="7"/>
      <c r="F16" s="7" t="s">
        <v>53</v>
      </c>
      <c r="G16" s="7" t="s">
        <v>54</v>
      </c>
      <c r="H16" s="7" t="s">
        <v>24</v>
      </c>
      <c r="I16" s="7" t="s">
        <v>25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t="s">
        <v>26</v>
      </c>
    </row>
    <row r="17" spans="1:25" hidden="1" x14ac:dyDescent="0.25">
      <c r="A17" s="7" t="s">
        <v>17</v>
      </c>
      <c r="B17" s="7" t="s">
        <v>18</v>
      </c>
      <c r="C17" s="7" t="s">
        <v>19</v>
      </c>
      <c r="D17" s="7"/>
      <c r="E17" s="7"/>
      <c r="F17" s="7" t="s">
        <v>55</v>
      </c>
      <c r="G17" s="7" t="s">
        <v>56</v>
      </c>
      <c r="H17" s="7" t="s">
        <v>24</v>
      </c>
      <c r="I17" s="7" t="s">
        <v>25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t="s">
        <v>26</v>
      </c>
    </row>
    <row r="18" spans="1:25" hidden="1" x14ac:dyDescent="0.25">
      <c r="A18" s="7" t="s">
        <v>17</v>
      </c>
      <c r="B18" s="7" t="s">
        <v>18</v>
      </c>
      <c r="C18" s="7" t="s">
        <v>19</v>
      </c>
      <c r="D18" s="7"/>
      <c r="E18" s="7"/>
      <c r="F18" s="7" t="s">
        <v>57</v>
      </c>
      <c r="G18" s="7" t="s">
        <v>58</v>
      </c>
      <c r="H18" s="7" t="s">
        <v>24</v>
      </c>
      <c r="I18" s="7" t="s">
        <v>25</v>
      </c>
      <c r="J18" s="8">
        <v>0.27458670741496388</v>
      </c>
      <c r="K18" s="8">
        <v>0.27458670741496388</v>
      </c>
      <c r="L18" s="8">
        <v>3.3753594795745662E-2</v>
      </c>
      <c r="M18" s="8">
        <v>2.2491157985427432</v>
      </c>
      <c r="N18" s="8">
        <v>3.94882926461703</v>
      </c>
      <c r="O18" s="8">
        <v>0.13792287721343538</v>
      </c>
      <c r="P18" s="8">
        <v>0</v>
      </c>
      <c r="Q18" t="s">
        <v>26</v>
      </c>
    </row>
    <row r="19" spans="1:25" hidden="1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21</v>
      </c>
      <c r="F19" s="7" t="s">
        <v>59</v>
      </c>
      <c r="G19" s="7" t="s">
        <v>60</v>
      </c>
      <c r="H19" s="7" t="s">
        <v>24</v>
      </c>
      <c r="I19" s="7" t="s">
        <v>25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t="s">
        <v>26</v>
      </c>
    </row>
    <row r="20" spans="1:25" hidden="1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21</v>
      </c>
      <c r="F20" s="7" t="s">
        <v>61</v>
      </c>
      <c r="G20" s="7" t="s">
        <v>62</v>
      </c>
      <c r="H20" s="7" t="s">
        <v>24</v>
      </c>
      <c r="I20" s="7" t="s">
        <v>25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t="s">
        <v>26</v>
      </c>
    </row>
    <row r="21" spans="1:25" hidden="1" x14ac:dyDescent="0.25">
      <c r="A21" s="7" t="s">
        <v>17</v>
      </c>
      <c r="B21" s="7" t="s">
        <v>18</v>
      </c>
      <c r="C21" s="7" t="s">
        <v>19</v>
      </c>
      <c r="D21" s="7"/>
      <c r="E21" s="7"/>
      <c r="F21" s="7" t="s">
        <v>63</v>
      </c>
      <c r="G21" s="7" t="s">
        <v>64</v>
      </c>
      <c r="H21" s="7" t="s">
        <v>24</v>
      </c>
      <c r="I21" s="7" t="s">
        <v>25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t="s">
        <v>26</v>
      </c>
    </row>
    <row r="22" spans="1:25" hidden="1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21</v>
      </c>
      <c r="F22" s="7" t="s">
        <v>65</v>
      </c>
      <c r="G22" s="7" t="s">
        <v>66</v>
      </c>
      <c r="H22" s="7" t="s">
        <v>24</v>
      </c>
      <c r="I22" s="7" t="s">
        <v>25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t="s">
        <v>26</v>
      </c>
    </row>
    <row r="23" spans="1:25" hidden="1" x14ac:dyDescent="0.25">
      <c r="A23" s="7" t="s">
        <v>17</v>
      </c>
      <c r="B23" s="7" t="s">
        <v>18</v>
      </c>
      <c r="C23" s="7" t="s">
        <v>19</v>
      </c>
      <c r="D23" s="7"/>
      <c r="E23" s="7"/>
      <c r="F23" s="7" t="s">
        <v>67</v>
      </c>
      <c r="G23" s="7" t="s">
        <v>68</v>
      </c>
      <c r="H23" s="7" t="s">
        <v>24</v>
      </c>
      <c r="I23" s="7" t="s">
        <v>25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t="s">
        <v>26</v>
      </c>
    </row>
    <row r="24" spans="1:25" hidden="1" x14ac:dyDescent="0.25">
      <c r="A24" s="7" t="s">
        <v>17</v>
      </c>
      <c r="B24" s="7" t="s">
        <v>18</v>
      </c>
      <c r="C24" s="7" t="s">
        <v>19</v>
      </c>
      <c r="D24" s="7"/>
      <c r="E24" s="7"/>
      <c r="F24" s="7" t="s">
        <v>69</v>
      </c>
      <c r="G24" s="7" t="s">
        <v>70</v>
      </c>
      <c r="H24" s="7" t="s">
        <v>24</v>
      </c>
      <c r="I24" s="7" t="s">
        <v>25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t="s">
        <v>26</v>
      </c>
    </row>
    <row r="25" spans="1:25" hidden="1" x14ac:dyDescent="0.25">
      <c r="A25" s="7" t="s">
        <v>17</v>
      </c>
      <c r="B25" s="7" t="s">
        <v>18</v>
      </c>
      <c r="C25" s="7" t="s">
        <v>19</v>
      </c>
      <c r="D25" s="7"/>
      <c r="E25" s="7"/>
      <c r="F25" s="7" t="s">
        <v>71</v>
      </c>
      <c r="G25" s="7" t="s">
        <v>72</v>
      </c>
      <c r="H25" s="7" t="s">
        <v>24</v>
      </c>
      <c r="I25" s="7" t="s">
        <v>25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t="s">
        <v>26</v>
      </c>
    </row>
    <row r="26" spans="1:25" hidden="1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21</v>
      </c>
      <c r="F26" s="7" t="s">
        <v>73</v>
      </c>
      <c r="G26" s="7" t="s">
        <v>74</v>
      </c>
      <c r="H26" s="7" t="s">
        <v>24</v>
      </c>
      <c r="I26" s="7" t="s">
        <v>25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t="s">
        <v>26</v>
      </c>
      <c r="T26" s="28"/>
      <c r="U26" s="28"/>
      <c r="V26" s="28"/>
      <c r="W26" s="28"/>
      <c r="X26" s="28"/>
      <c r="Y26" s="28"/>
    </row>
    <row r="27" spans="1:25" hidden="1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21</v>
      </c>
      <c r="F27" s="7" t="s">
        <v>75</v>
      </c>
      <c r="G27" s="7" t="s">
        <v>76</v>
      </c>
      <c r="H27" s="7" t="s">
        <v>24</v>
      </c>
      <c r="I27" s="7" t="s">
        <v>25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t="s">
        <v>26</v>
      </c>
      <c r="T27" s="28"/>
      <c r="U27" s="28"/>
      <c r="V27" s="28"/>
      <c r="W27" s="28"/>
      <c r="X27" s="28"/>
      <c r="Y27" s="28"/>
    </row>
    <row r="28" spans="1:25" hidden="1" x14ac:dyDescent="0.25">
      <c r="A28" s="7" t="s">
        <v>17</v>
      </c>
      <c r="B28" s="7" t="s">
        <v>18</v>
      </c>
      <c r="C28" s="7" t="s">
        <v>19</v>
      </c>
      <c r="D28" s="7"/>
      <c r="E28" s="7"/>
      <c r="F28" s="7" t="s">
        <v>77</v>
      </c>
      <c r="G28" s="7" t="s">
        <v>78</v>
      </c>
      <c r="H28" s="7" t="s">
        <v>24</v>
      </c>
      <c r="I28" s="7" t="s">
        <v>25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t="s">
        <v>26</v>
      </c>
    </row>
    <row r="29" spans="1:25" hidden="1" x14ac:dyDescent="0.25">
      <c r="A29" s="7" t="s">
        <v>17</v>
      </c>
      <c r="B29" s="7" t="s">
        <v>18</v>
      </c>
      <c r="C29" s="7" t="s">
        <v>19</v>
      </c>
      <c r="D29" s="7"/>
      <c r="E29" s="7"/>
      <c r="F29" s="7" t="s">
        <v>79</v>
      </c>
      <c r="G29" s="7" t="s">
        <v>80</v>
      </c>
      <c r="H29" s="7" t="s">
        <v>24</v>
      </c>
      <c r="I29" s="7" t="s">
        <v>25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t="s">
        <v>26</v>
      </c>
    </row>
    <row r="30" spans="1:25" hidden="1" x14ac:dyDescent="0.25">
      <c r="A30" s="7" t="s">
        <v>17</v>
      </c>
      <c r="B30" s="7" t="s">
        <v>18</v>
      </c>
      <c r="C30" s="7" t="s">
        <v>19</v>
      </c>
      <c r="D30" s="7"/>
      <c r="E30" s="7"/>
      <c r="F30" s="7" t="s">
        <v>81</v>
      </c>
      <c r="G30" s="7" t="s">
        <v>82</v>
      </c>
      <c r="H30" s="7" t="s">
        <v>24</v>
      </c>
      <c r="I30" s="7" t="s">
        <v>25</v>
      </c>
      <c r="J30" s="8">
        <v>6.8123826485465006E-4</v>
      </c>
      <c r="K30" s="8">
        <v>6.8123826485465006E-4</v>
      </c>
      <c r="L30" s="8">
        <v>8.3741272721228721E-5</v>
      </c>
      <c r="M30" s="8">
        <v>5.5799632781966977E-3</v>
      </c>
      <c r="N30" s="8">
        <v>9.7968820914903828E-3</v>
      </c>
      <c r="O30" s="8">
        <v>3.421809542100264E-4</v>
      </c>
      <c r="P30" s="8">
        <v>0</v>
      </c>
      <c r="Q30" t="s">
        <v>26</v>
      </c>
      <c r="T30" s="28"/>
      <c r="U30" s="28"/>
      <c r="V30" s="28"/>
      <c r="W30" s="28"/>
      <c r="X30" s="28"/>
      <c r="Y30" s="28"/>
    </row>
    <row r="31" spans="1:25" hidden="1" x14ac:dyDescent="0.25">
      <c r="A31" s="7" t="s">
        <v>17</v>
      </c>
      <c r="B31" s="7" t="s">
        <v>18</v>
      </c>
      <c r="C31" s="7" t="s">
        <v>19</v>
      </c>
      <c r="D31" s="7"/>
      <c r="E31" s="7"/>
      <c r="F31" s="7" t="s">
        <v>83</v>
      </c>
      <c r="G31" s="7" t="s">
        <v>84</v>
      </c>
      <c r="H31" s="7" t="s">
        <v>24</v>
      </c>
      <c r="I31" s="7" t="s">
        <v>25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t="s">
        <v>26</v>
      </c>
    </row>
    <row r="32" spans="1:25" hidden="1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21</v>
      </c>
      <c r="F32" s="7" t="s">
        <v>85</v>
      </c>
      <c r="G32" s="7" t="s">
        <v>86</v>
      </c>
      <c r="H32" s="7" t="s">
        <v>24</v>
      </c>
      <c r="I32" s="7" t="s">
        <v>25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t="s">
        <v>26</v>
      </c>
    </row>
    <row r="33" spans="1:17" hidden="1" x14ac:dyDescent="0.25">
      <c r="A33" s="7" t="s">
        <v>17</v>
      </c>
      <c r="B33" s="7" t="s">
        <v>18</v>
      </c>
      <c r="C33" s="7" t="s">
        <v>19</v>
      </c>
      <c r="D33" s="7"/>
      <c r="E33" s="7"/>
      <c r="F33" s="7" t="s">
        <v>87</v>
      </c>
      <c r="G33" s="7" t="s">
        <v>88</v>
      </c>
      <c r="H33" s="7" t="s">
        <v>24</v>
      </c>
      <c r="I33" s="7" t="s">
        <v>25</v>
      </c>
      <c r="J33" s="8">
        <v>5.6769855404554181E-3</v>
      </c>
      <c r="K33" s="8">
        <v>5.6769855404554181E-3</v>
      </c>
      <c r="L33" s="8">
        <v>6.9784393934357273E-4</v>
      </c>
      <c r="M33" s="8">
        <v>4.649969398497248E-2</v>
      </c>
      <c r="N33" s="8">
        <v>8.1640684095753202E-2</v>
      </c>
      <c r="O33" s="8">
        <v>2.8515079517502208E-3</v>
      </c>
      <c r="P33" s="8">
        <v>0</v>
      </c>
      <c r="Q33" t="s">
        <v>26</v>
      </c>
    </row>
    <row r="34" spans="1:17" hidden="1" x14ac:dyDescent="0.25">
      <c r="A34" s="7" t="s">
        <v>17</v>
      </c>
      <c r="B34" s="7" t="s">
        <v>18</v>
      </c>
      <c r="C34" s="7" t="s">
        <v>19</v>
      </c>
      <c r="D34" s="7"/>
      <c r="E34" s="7"/>
      <c r="F34" s="7" t="s">
        <v>89</v>
      </c>
      <c r="G34" s="7" t="s">
        <v>90</v>
      </c>
      <c r="H34" s="7" t="s">
        <v>24</v>
      </c>
      <c r="I34" s="7" t="s">
        <v>25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t="s">
        <v>26</v>
      </c>
    </row>
    <row r="35" spans="1:17" hidden="1" x14ac:dyDescent="0.25">
      <c r="A35" s="7" t="s">
        <v>17</v>
      </c>
      <c r="B35" s="7" t="s">
        <v>18</v>
      </c>
      <c r="C35" s="7" t="s">
        <v>19</v>
      </c>
      <c r="D35" s="7"/>
      <c r="E35" s="7"/>
      <c r="F35" s="7" t="s">
        <v>91</v>
      </c>
      <c r="G35" s="7" t="s">
        <v>92</v>
      </c>
      <c r="H35" s="7" t="s">
        <v>24</v>
      </c>
      <c r="I35" s="7" t="s">
        <v>25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t="s">
        <v>26</v>
      </c>
    </row>
    <row r="36" spans="1:17" hidden="1" x14ac:dyDescent="0.25">
      <c r="A36" s="7" t="s">
        <v>17</v>
      </c>
      <c r="B36" s="7" t="s">
        <v>18</v>
      </c>
      <c r="C36" s="7" t="s">
        <v>19</v>
      </c>
      <c r="D36" s="7"/>
      <c r="E36" s="7"/>
      <c r="F36" s="7" t="s">
        <v>93</v>
      </c>
      <c r="G36" s="7" t="s">
        <v>94</v>
      </c>
      <c r="H36" s="7" t="s">
        <v>24</v>
      </c>
      <c r="I36" s="7" t="s">
        <v>25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t="s">
        <v>26</v>
      </c>
    </row>
    <row r="37" spans="1:17" hidden="1" x14ac:dyDescent="0.25">
      <c r="A37" s="7" t="s">
        <v>17</v>
      </c>
      <c r="B37" s="7" t="s">
        <v>18</v>
      </c>
      <c r="C37" s="7" t="s">
        <v>19</v>
      </c>
      <c r="D37" s="7"/>
      <c r="E37" s="7"/>
      <c r="F37" s="7" t="s">
        <v>95</v>
      </c>
      <c r="G37" s="7" t="s">
        <v>96</v>
      </c>
      <c r="H37" s="7" t="s">
        <v>24</v>
      </c>
      <c r="I37" s="7" t="s">
        <v>25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t="s">
        <v>26</v>
      </c>
    </row>
    <row r="38" spans="1:17" hidden="1" x14ac:dyDescent="0.25">
      <c r="A38" s="7" t="s">
        <v>17</v>
      </c>
      <c r="B38" s="7" t="s">
        <v>18</v>
      </c>
      <c r="C38" s="7" t="s">
        <v>19</v>
      </c>
      <c r="D38" s="7"/>
      <c r="E38" s="7"/>
      <c r="F38" s="7" t="s">
        <v>97</v>
      </c>
      <c r="G38" s="7" t="s">
        <v>98</v>
      </c>
      <c r="H38" s="7" t="s">
        <v>24</v>
      </c>
      <c r="I38" s="7" t="s">
        <v>25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t="s">
        <v>26</v>
      </c>
    </row>
    <row r="39" spans="1:17" hidden="1" x14ac:dyDescent="0.25">
      <c r="A39" s="7" t="s">
        <v>17</v>
      </c>
      <c r="B39" s="7" t="s">
        <v>18</v>
      </c>
      <c r="C39" s="7" t="s">
        <v>19</v>
      </c>
      <c r="D39" s="7"/>
      <c r="E39" s="7"/>
      <c r="F39" s="7" t="s">
        <v>99</v>
      </c>
      <c r="G39" s="7" t="s">
        <v>100</v>
      </c>
      <c r="H39" s="7" t="s">
        <v>24</v>
      </c>
      <c r="I39" s="7" t="s">
        <v>25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t="s">
        <v>26</v>
      </c>
    </row>
    <row r="40" spans="1:17" hidden="1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21</v>
      </c>
      <c r="F40" s="7" t="s">
        <v>101</v>
      </c>
      <c r="G40" s="7" t="s">
        <v>21</v>
      </c>
      <c r="H40" s="7" t="s">
        <v>24</v>
      </c>
      <c r="I40" s="7" t="s">
        <v>25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t="s">
        <v>26</v>
      </c>
    </row>
    <row r="41" spans="1:17" hidden="1" x14ac:dyDescent="0.25">
      <c r="A41" s="7" t="s">
        <v>17</v>
      </c>
      <c r="B41" s="7" t="s">
        <v>18</v>
      </c>
      <c r="C41" s="7" t="s">
        <v>19</v>
      </c>
      <c r="D41" s="7"/>
      <c r="E41" s="7"/>
      <c r="F41" s="7" t="s">
        <v>102</v>
      </c>
      <c r="G41" s="7" t="s">
        <v>103</v>
      </c>
      <c r="H41" s="7" t="s">
        <v>24</v>
      </c>
      <c r="I41" s="7" t="s">
        <v>25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t="s">
        <v>26</v>
      </c>
    </row>
    <row r="42" spans="1:17" hidden="1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21</v>
      </c>
      <c r="F42" s="7" t="s">
        <v>104</v>
      </c>
      <c r="G42" s="7" t="s">
        <v>105</v>
      </c>
      <c r="H42" s="7" t="s">
        <v>24</v>
      </c>
      <c r="I42" s="7" t="s">
        <v>25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t="s">
        <v>26</v>
      </c>
    </row>
    <row r="43" spans="1:17" hidden="1" x14ac:dyDescent="0.25">
      <c r="A43" s="7" t="s">
        <v>17</v>
      </c>
      <c r="B43" s="7" t="s">
        <v>18</v>
      </c>
      <c r="C43" s="7" t="s">
        <v>19</v>
      </c>
      <c r="D43" s="7"/>
      <c r="E43" s="7"/>
      <c r="F43" s="7" t="s">
        <v>106</v>
      </c>
      <c r="G43" s="7" t="s">
        <v>107</v>
      </c>
      <c r="H43" s="7" t="s">
        <v>24</v>
      </c>
      <c r="I43" s="7" t="s">
        <v>25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t="s">
        <v>26</v>
      </c>
    </row>
    <row r="44" spans="1:17" hidden="1" x14ac:dyDescent="0.25">
      <c r="A44" s="7" t="s">
        <v>17</v>
      </c>
      <c r="B44" s="7" t="s">
        <v>18</v>
      </c>
      <c r="C44" s="7" t="s">
        <v>19</v>
      </c>
      <c r="D44" s="7"/>
      <c r="E44" s="7"/>
      <c r="F44" s="7" t="s">
        <v>108</v>
      </c>
      <c r="G44" s="7" t="s">
        <v>109</v>
      </c>
      <c r="H44" s="7" t="s">
        <v>24</v>
      </c>
      <c r="I44" s="7" t="s">
        <v>25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t="s">
        <v>26</v>
      </c>
    </row>
    <row r="45" spans="1:17" hidden="1" x14ac:dyDescent="0.25">
      <c r="A45" s="7" t="s">
        <v>17</v>
      </c>
      <c r="B45" s="7" t="s">
        <v>18</v>
      </c>
      <c r="C45" s="7" t="s">
        <v>19</v>
      </c>
      <c r="D45" s="7"/>
      <c r="E45" s="7"/>
      <c r="F45" s="7" t="s">
        <v>110</v>
      </c>
      <c r="G45" s="7" t="s">
        <v>111</v>
      </c>
      <c r="H45" s="7" t="s">
        <v>24</v>
      </c>
      <c r="I45" s="7" t="s">
        <v>25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t="s">
        <v>26</v>
      </c>
    </row>
    <row r="46" spans="1:17" hidden="1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21</v>
      </c>
      <c r="F46" s="7" t="s">
        <v>112</v>
      </c>
      <c r="G46" s="7" t="s">
        <v>113</v>
      </c>
      <c r="H46" s="7" t="s">
        <v>24</v>
      </c>
      <c r="I46" s="7" t="s">
        <v>25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t="s">
        <v>26</v>
      </c>
    </row>
    <row r="47" spans="1:17" hidden="1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21</v>
      </c>
      <c r="F47" s="7" t="s">
        <v>114</v>
      </c>
      <c r="G47" s="7" t="s">
        <v>115</v>
      </c>
      <c r="H47" s="7" t="s">
        <v>24</v>
      </c>
      <c r="I47" s="7" t="s">
        <v>25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t="s">
        <v>26</v>
      </c>
    </row>
    <row r="48" spans="1:17" hidden="1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21</v>
      </c>
      <c r="F48" s="7" t="s">
        <v>116</v>
      </c>
      <c r="G48" s="7" t="s">
        <v>117</v>
      </c>
      <c r="H48" s="7" t="s">
        <v>24</v>
      </c>
      <c r="I48" s="7" t="s">
        <v>25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t="s">
        <v>26</v>
      </c>
    </row>
    <row r="49" spans="1:17" hidden="1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21</v>
      </c>
      <c r="F49" s="7" t="s">
        <v>118</v>
      </c>
      <c r="G49" s="7" t="s">
        <v>119</v>
      </c>
      <c r="H49" s="7" t="s">
        <v>24</v>
      </c>
      <c r="I49" s="7" t="s">
        <v>25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t="s">
        <v>26</v>
      </c>
    </row>
    <row r="50" spans="1:17" hidden="1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21</v>
      </c>
      <c r="F50" s="7" t="s">
        <v>120</v>
      </c>
      <c r="G50" s="7" t="s">
        <v>121</v>
      </c>
      <c r="H50" s="7" t="s">
        <v>24</v>
      </c>
      <c r="I50" s="7" t="s">
        <v>25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t="s">
        <v>26</v>
      </c>
    </row>
    <row r="51" spans="1:17" hidden="1" x14ac:dyDescent="0.25">
      <c r="A51" s="7" t="s">
        <v>17</v>
      </c>
      <c r="B51" s="7" t="s">
        <v>18</v>
      </c>
      <c r="C51" s="7" t="s">
        <v>19</v>
      </c>
      <c r="D51" s="7"/>
      <c r="E51" s="7"/>
      <c r="F51" s="7" t="s">
        <v>122</v>
      </c>
      <c r="G51" s="7" t="s">
        <v>123</v>
      </c>
      <c r="H51" s="7" t="s">
        <v>24</v>
      </c>
      <c r="I51" s="7" t="s">
        <v>25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t="s">
        <v>26</v>
      </c>
    </row>
    <row r="52" spans="1:17" hidden="1" x14ac:dyDescent="0.25">
      <c r="A52" s="7" t="s">
        <v>17</v>
      </c>
      <c r="B52" s="7" t="s">
        <v>18</v>
      </c>
      <c r="C52" s="7" t="s">
        <v>19</v>
      </c>
      <c r="D52" s="7"/>
      <c r="E52" s="7"/>
      <c r="F52" s="7" t="s">
        <v>124</v>
      </c>
      <c r="G52" s="7" t="s">
        <v>125</v>
      </c>
      <c r="H52" s="7" t="s">
        <v>24</v>
      </c>
      <c r="I52" s="7" t="s">
        <v>25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t="s">
        <v>26</v>
      </c>
    </row>
    <row r="53" spans="1:17" hidden="1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21</v>
      </c>
      <c r="F53" s="7" t="s">
        <v>22</v>
      </c>
      <c r="G53" s="7" t="s">
        <v>23</v>
      </c>
      <c r="H53" s="7" t="s">
        <v>24</v>
      </c>
      <c r="I53" s="7" t="s">
        <v>126</v>
      </c>
      <c r="J53" s="8">
        <v>0.29122564894441072</v>
      </c>
      <c r="K53" s="8">
        <v>0.28180139706032864</v>
      </c>
      <c r="L53" s="8">
        <v>1.1969003684427947E-2</v>
      </c>
      <c r="M53" s="8">
        <v>2.4265818773929677</v>
      </c>
      <c r="N53" s="8">
        <v>0.60519823534717099</v>
      </c>
      <c r="O53" s="8">
        <v>0.97713770858609206</v>
      </c>
      <c r="P53" s="8">
        <v>1.5902545152450633E-2</v>
      </c>
      <c r="Q53" t="s">
        <v>26</v>
      </c>
    </row>
    <row r="54" spans="1:17" hidden="1" x14ac:dyDescent="0.25">
      <c r="A54" s="7" t="s">
        <v>17</v>
      </c>
      <c r="B54" s="7" t="s">
        <v>18</v>
      </c>
      <c r="C54" s="7" t="s">
        <v>19</v>
      </c>
      <c r="D54" s="7"/>
      <c r="E54" s="7"/>
      <c r="F54" s="7" t="s">
        <v>27</v>
      </c>
      <c r="G54" s="7" t="s">
        <v>28</v>
      </c>
      <c r="H54" s="7" t="s">
        <v>24</v>
      </c>
      <c r="I54" s="7" t="s">
        <v>126</v>
      </c>
      <c r="J54" s="8">
        <v>0.16105747211420926</v>
      </c>
      <c r="K54" s="8">
        <v>0.15677293542224438</v>
      </c>
      <c r="L54" s="8">
        <v>8.9642282850076228E-3</v>
      </c>
      <c r="M54" s="8">
        <v>1.3379284102192979</v>
      </c>
      <c r="N54" s="8">
        <v>0.68726951000583969</v>
      </c>
      <c r="O54" s="8">
        <v>0.4586296303887672</v>
      </c>
      <c r="P54" s="8">
        <v>7.2297556388943992E-3</v>
      </c>
      <c r="Q54" t="s">
        <v>26</v>
      </c>
    </row>
    <row r="55" spans="1:17" hidden="1" x14ac:dyDescent="0.25">
      <c r="A55" s="7" t="s">
        <v>17</v>
      </c>
      <c r="B55" s="7" t="s">
        <v>18</v>
      </c>
      <c r="C55" s="7" t="s">
        <v>19</v>
      </c>
      <c r="D55" s="7"/>
      <c r="E55" s="7"/>
      <c r="F55" s="7" t="s">
        <v>29</v>
      </c>
      <c r="G55" s="7" t="s">
        <v>30</v>
      </c>
      <c r="H55" s="7" t="s">
        <v>24</v>
      </c>
      <c r="I55" s="7" t="s">
        <v>126</v>
      </c>
      <c r="J55" s="8">
        <v>0.30198056426896919</v>
      </c>
      <c r="K55" s="8">
        <v>0.29168176095935477</v>
      </c>
      <c r="L55" s="8">
        <v>1.107968308680007E-2</v>
      </c>
      <c r="M55" s="8">
        <v>2.5184956827178007</v>
      </c>
      <c r="N55" s="8">
        <v>0.42737730779288763</v>
      </c>
      <c r="O55" s="8">
        <v>1.0596416844102039</v>
      </c>
      <c r="P55" s="8">
        <v>1.7378269029924627E-2</v>
      </c>
      <c r="Q55" t="s">
        <v>26</v>
      </c>
    </row>
    <row r="56" spans="1:17" hidden="1" x14ac:dyDescent="0.25">
      <c r="A56" s="7" t="s">
        <v>17</v>
      </c>
      <c r="B56" s="7" t="s">
        <v>18</v>
      </c>
      <c r="C56" s="7" t="s">
        <v>19</v>
      </c>
      <c r="D56" s="7"/>
      <c r="E56" s="7"/>
      <c r="F56" s="7" t="s">
        <v>31</v>
      </c>
      <c r="G56" s="7" t="s">
        <v>32</v>
      </c>
      <c r="H56" s="7" t="s">
        <v>24</v>
      </c>
      <c r="I56" s="7" t="s">
        <v>126</v>
      </c>
      <c r="J56" s="8">
        <v>2.598853402897654</v>
      </c>
      <c r="K56" s="8">
        <v>2.5131930905689512</v>
      </c>
      <c r="L56" s="8">
        <v>9.8915268534750619E-2</v>
      </c>
      <c r="M56" s="8">
        <v>21.918324794775828</v>
      </c>
      <c r="N56" s="8">
        <v>4.6978531915508439</v>
      </c>
      <c r="O56" s="8">
        <v>8.877223028848924</v>
      </c>
      <c r="P56" s="8">
        <v>0.15033531444255488</v>
      </c>
      <c r="Q56" t="s">
        <v>26</v>
      </c>
    </row>
    <row r="57" spans="1:17" hidden="1" x14ac:dyDescent="0.25">
      <c r="A57" s="7" t="s">
        <v>17</v>
      </c>
      <c r="B57" s="7" t="s">
        <v>18</v>
      </c>
      <c r="C57" s="7" t="s">
        <v>19</v>
      </c>
      <c r="D57" s="7"/>
      <c r="E57" s="7"/>
      <c r="F57" s="7" t="s">
        <v>33</v>
      </c>
      <c r="G57" s="7" t="s">
        <v>34</v>
      </c>
      <c r="H57" s="7" t="s">
        <v>24</v>
      </c>
      <c r="I57" s="7" t="s">
        <v>126</v>
      </c>
      <c r="J57" s="8">
        <v>3.1718805522466909</v>
      </c>
      <c r="K57" s="8">
        <v>3.0594303824823328</v>
      </c>
      <c r="L57" s="8">
        <v>0.10351209834006163</v>
      </c>
      <c r="M57" s="8">
        <v>26.60551410891674</v>
      </c>
      <c r="N57" s="8">
        <v>2.8063499243990586</v>
      </c>
      <c r="O57" s="8">
        <v>11.517334429419146</v>
      </c>
      <c r="P57" s="8">
        <v>0.19275871356267116</v>
      </c>
      <c r="Q57" t="s">
        <v>26</v>
      </c>
    </row>
    <row r="58" spans="1:17" hidden="1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21</v>
      </c>
      <c r="F58" s="7" t="s">
        <v>35</v>
      </c>
      <c r="G58" s="7" t="s">
        <v>36</v>
      </c>
      <c r="H58" s="7" t="s">
        <v>24</v>
      </c>
      <c r="I58" s="7" t="s">
        <v>126</v>
      </c>
      <c r="J58" s="8">
        <v>13.931175906433502</v>
      </c>
      <c r="K58" s="8">
        <v>13.588630557479757</v>
      </c>
      <c r="L58" s="8">
        <v>0.78430556429963183</v>
      </c>
      <c r="M58" s="8">
        <v>119.64240311648521</v>
      </c>
      <c r="N58" s="8">
        <v>68.389852019980864</v>
      </c>
      <c r="O58" s="8">
        <v>37.509164173389969</v>
      </c>
      <c r="P58" s="8">
        <v>0.66895785175391032</v>
      </c>
      <c r="Q58" t="s">
        <v>26</v>
      </c>
    </row>
    <row r="59" spans="1:17" hidden="1" x14ac:dyDescent="0.25">
      <c r="A59" s="7" t="s">
        <v>17</v>
      </c>
      <c r="B59" s="7" t="s">
        <v>18</v>
      </c>
      <c r="C59" s="7" t="s">
        <v>19</v>
      </c>
      <c r="D59" s="7"/>
      <c r="E59" s="7"/>
      <c r="F59" s="7" t="s">
        <v>37</v>
      </c>
      <c r="G59" s="7" t="s">
        <v>38</v>
      </c>
      <c r="H59" s="7" t="s">
        <v>24</v>
      </c>
      <c r="I59" s="7" t="s">
        <v>126</v>
      </c>
      <c r="J59" s="8">
        <v>52.411253211535623</v>
      </c>
      <c r="K59" s="8">
        <v>50.461163996970051</v>
      </c>
      <c r="L59" s="8">
        <v>1.5100108733147726</v>
      </c>
      <c r="M59" s="8">
        <v>437.92719308871654</v>
      </c>
      <c r="N59" s="8">
        <v>12.292944194926514</v>
      </c>
      <c r="O59" s="8">
        <v>198.25734124120973</v>
      </c>
      <c r="P59" s="8">
        <v>3.2930839204778977</v>
      </c>
      <c r="Q59" t="s">
        <v>26</v>
      </c>
    </row>
    <row r="60" spans="1:17" hidden="1" x14ac:dyDescent="0.25">
      <c r="A60" s="7" t="s">
        <v>17</v>
      </c>
      <c r="B60" s="7" t="s">
        <v>18</v>
      </c>
      <c r="C60" s="7" t="s">
        <v>19</v>
      </c>
      <c r="D60" s="7"/>
      <c r="E60" s="7"/>
      <c r="F60" s="7" t="s">
        <v>39</v>
      </c>
      <c r="G60" s="7" t="s">
        <v>40</v>
      </c>
      <c r="H60" s="7" t="s">
        <v>24</v>
      </c>
      <c r="I60" s="7" t="s">
        <v>126</v>
      </c>
      <c r="J60" s="8">
        <v>0.86465156578004099</v>
      </c>
      <c r="K60" s="8">
        <v>0.83375995535237624</v>
      </c>
      <c r="L60" s="8">
        <v>2.7698698975074407E-2</v>
      </c>
      <c r="M60" s="8">
        <v>7.2482946806485016</v>
      </c>
      <c r="N60" s="8">
        <v>0.67690035967235662</v>
      </c>
      <c r="O60" s="8">
        <v>3.1601629625313903</v>
      </c>
      <c r="P60" s="8">
        <v>5.2825860086990424E-2</v>
      </c>
      <c r="Q60" t="s">
        <v>26</v>
      </c>
    </row>
    <row r="61" spans="1:17" hidden="1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21</v>
      </c>
      <c r="F61" s="7" t="s">
        <v>41</v>
      </c>
      <c r="G61" s="7" t="s">
        <v>42</v>
      </c>
      <c r="H61" s="7" t="s">
        <v>24</v>
      </c>
      <c r="I61" s="7" t="s">
        <v>126</v>
      </c>
      <c r="J61" s="8">
        <v>8.2943279768750884</v>
      </c>
      <c r="K61" s="8">
        <v>8.0160031032564802</v>
      </c>
      <c r="L61" s="8">
        <v>0.30493792779856049</v>
      </c>
      <c r="M61" s="8">
        <v>69.86204320990845</v>
      </c>
      <c r="N61" s="8">
        <v>13.164489602320304</v>
      </c>
      <c r="O61" s="8">
        <v>28.758508010425537</v>
      </c>
      <c r="P61" s="8">
        <v>0.48559429462697051</v>
      </c>
      <c r="Q61" t="s">
        <v>26</v>
      </c>
    </row>
    <row r="62" spans="1:17" hidden="1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21</v>
      </c>
      <c r="F62" s="7" t="s">
        <v>43</v>
      </c>
      <c r="G62" s="7" t="s">
        <v>44</v>
      </c>
      <c r="H62" s="7" t="s">
        <v>24</v>
      </c>
      <c r="I62" s="7" t="s">
        <v>126</v>
      </c>
      <c r="J62" s="8">
        <v>2.7952792945782137</v>
      </c>
      <c r="K62" s="8">
        <v>2.7027629854280946</v>
      </c>
      <c r="L62" s="8">
        <v>0.10555983273791265</v>
      </c>
      <c r="M62" s="8">
        <v>23.567938284187019</v>
      </c>
      <c r="N62" s="8">
        <v>4.9115425549614145</v>
      </c>
      <c r="O62" s="8">
        <v>9.5811536573567793</v>
      </c>
      <c r="P62" s="8">
        <v>0.1621463587708262</v>
      </c>
      <c r="Q62" t="s">
        <v>26</v>
      </c>
    </row>
    <row r="63" spans="1:17" hidden="1" x14ac:dyDescent="0.25">
      <c r="A63" s="7" t="s">
        <v>17</v>
      </c>
      <c r="B63" s="7" t="s">
        <v>18</v>
      </c>
      <c r="C63" s="7" t="s">
        <v>19</v>
      </c>
      <c r="D63" s="7"/>
      <c r="E63" s="7"/>
      <c r="F63" s="7" t="s">
        <v>45</v>
      </c>
      <c r="G63" s="7" t="s">
        <v>46</v>
      </c>
      <c r="H63" s="7" t="s">
        <v>24</v>
      </c>
      <c r="I63" s="7" t="s">
        <v>126</v>
      </c>
      <c r="J63" s="8">
        <v>1.361489400627413</v>
      </c>
      <c r="K63" s="8">
        <v>1.3135334552592592</v>
      </c>
      <c r="L63" s="8">
        <v>4.511039616474264E-2</v>
      </c>
      <c r="M63" s="8">
        <v>11.425836128494289</v>
      </c>
      <c r="N63" s="8">
        <v>1.3201100841248774</v>
      </c>
      <c r="O63" s="8">
        <v>4.9167260979547773</v>
      </c>
      <c r="P63" s="8">
        <v>8.2373405286947171E-2</v>
      </c>
      <c r="Q63" t="s">
        <v>26</v>
      </c>
    </row>
    <row r="64" spans="1:17" hidden="1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21</v>
      </c>
      <c r="F64" s="7" t="s">
        <v>47</v>
      </c>
      <c r="G64" s="7" t="s">
        <v>48</v>
      </c>
      <c r="H64" s="7" t="s">
        <v>24</v>
      </c>
      <c r="I64" s="7" t="s">
        <v>126</v>
      </c>
      <c r="J64" s="8">
        <v>2.9733092565292076</v>
      </c>
      <c r="K64" s="8">
        <v>2.875680766383673</v>
      </c>
      <c r="L64" s="8">
        <v>0.11398277545662196</v>
      </c>
      <c r="M64" s="8">
        <v>25.083308164001263</v>
      </c>
      <c r="N64" s="8">
        <v>5.5133635488357839</v>
      </c>
      <c r="O64" s="8">
        <v>10.123967523184843</v>
      </c>
      <c r="P64" s="8">
        <v>0.17155683351898635</v>
      </c>
      <c r="Q64" t="s">
        <v>26</v>
      </c>
    </row>
    <row r="65" spans="1:17" hidden="1" x14ac:dyDescent="0.25">
      <c r="A65" s="7" t="s">
        <v>17</v>
      </c>
      <c r="B65" s="7" t="s">
        <v>18</v>
      </c>
      <c r="C65" s="7" t="s">
        <v>19</v>
      </c>
      <c r="D65" s="7"/>
      <c r="E65" s="7"/>
      <c r="F65" s="7" t="s">
        <v>49</v>
      </c>
      <c r="G65" s="7" t="s">
        <v>50</v>
      </c>
      <c r="H65" s="7" t="s">
        <v>24</v>
      </c>
      <c r="I65" s="7" t="s">
        <v>126</v>
      </c>
      <c r="J65" s="8">
        <v>2.5170723391599372</v>
      </c>
      <c r="K65" s="8">
        <v>2.4269352839094864</v>
      </c>
      <c r="L65" s="8">
        <v>8.0179482647472419E-2</v>
      </c>
      <c r="M65" s="8">
        <v>21.096432612517869</v>
      </c>
      <c r="N65" s="8">
        <v>1.8931285771617823</v>
      </c>
      <c r="O65" s="8">
        <v>9.2175470344482022</v>
      </c>
      <c r="P65" s="8">
        <v>0.15402350247282195</v>
      </c>
      <c r="Q65" t="s">
        <v>26</v>
      </c>
    </row>
    <row r="66" spans="1:17" hidden="1" x14ac:dyDescent="0.25">
      <c r="A66" s="7" t="s">
        <v>17</v>
      </c>
      <c r="B66" s="7" t="s">
        <v>18</v>
      </c>
      <c r="C66" s="7" t="s">
        <v>19</v>
      </c>
      <c r="D66" s="7"/>
      <c r="E66" s="7"/>
      <c r="F66" s="7" t="s">
        <v>51</v>
      </c>
      <c r="G66" s="7" t="s">
        <v>52</v>
      </c>
      <c r="H66" s="7" t="s">
        <v>24</v>
      </c>
      <c r="I66" s="7" t="s">
        <v>126</v>
      </c>
      <c r="J66" s="8">
        <v>96.128881830675368</v>
      </c>
      <c r="K66" s="8">
        <v>92.552642775081679</v>
      </c>
      <c r="L66" s="8">
        <v>2.7705783739942422</v>
      </c>
      <c r="M66" s="8">
        <v>803.22271132943933</v>
      </c>
      <c r="N66" s="8">
        <v>22.721555849733555</v>
      </c>
      <c r="O66" s="8">
        <v>363.58833874602919</v>
      </c>
      <c r="P66" s="8">
        <v>6.0393804031129985</v>
      </c>
      <c r="Q66" t="s">
        <v>26</v>
      </c>
    </row>
    <row r="67" spans="1:17" hidden="1" x14ac:dyDescent="0.25">
      <c r="A67" s="7" t="s">
        <v>17</v>
      </c>
      <c r="B67" s="7" t="s">
        <v>18</v>
      </c>
      <c r="C67" s="7" t="s">
        <v>19</v>
      </c>
      <c r="D67" s="7"/>
      <c r="E67" s="7"/>
      <c r="F67" s="7" t="s">
        <v>53</v>
      </c>
      <c r="G67" s="7" t="s">
        <v>54</v>
      </c>
      <c r="H67" s="7" t="s">
        <v>24</v>
      </c>
      <c r="I67" s="7" t="s">
        <v>126</v>
      </c>
      <c r="J67" s="8">
        <v>0.97082002034823489</v>
      </c>
      <c r="K67" s="8">
        <v>0.93569744085527373</v>
      </c>
      <c r="L67" s="8">
        <v>3.0528033569018641E-2</v>
      </c>
      <c r="M67" s="8">
        <v>8.10536543721763</v>
      </c>
      <c r="N67" s="8">
        <v>0.60843995295221232</v>
      </c>
      <c r="O67" s="8">
        <v>3.584098868988292</v>
      </c>
      <c r="P67" s="8">
        <v>5.9266073649914604E-2</v>
      </c>
      <c r="Q67" t="s">
        <v>26</v>
      </c>
    </row>
    <row r="68" spans="1:17" hidden="1" x14ac:dyDescent="0.25">
      <c r="A68" s="7" t="s">
        <v>17</v>
      </c>
      <c r="B68" s="7" t="s">
        <v>18</v>
      </c>
      <c r="C68" s="7" t="s">
        <v>19</v>
      </c>
      <c r="D68" s="7"/>
      <c r="E68" s="7"/>
      <c r="F68" s="7" t="s">
        <v>55</v>
      </c>
      <c r="G68" s="7" t="s">
        <v>56</v>
      </c>
      <c r="H68" s="7" t="s">
        <v>24</v>
      </c>
      <c r="I68" s="7" t="s">
        <v>126</v>
      </c>
      <c r="J68" s="8">
        <v>1.034046181468991</v>
      </c>
      <c r="K68" s="8">
        <v>0.99719916591809277</v>
      </c>
      <c r="L68" s="8">
        <v>3.3939747764824807E-2</v>
      </c>
      <c r="M68" s="8">
        <v>8.6307800983259177</v>
      </c>
      <c r="N68" s="8">
        <v>0.86209814636456006</v>
      </c>
      <c r="O68" s="8">
        <v>3.7678859614645441</v>
      </c>
      <c r="P68" s="8">
        <v>6.2175898494492211E-2</v>
      </c>
      <c r="Q68" t="s">
        <v>26</v>
      </c>
    </row>
    <row r="69" spans="1:17" hidden="1" x14ac:dyDescent="0.25">
      <c r="A69" s="7" t="s">
        <v>17</v>
      </c>
      <c r="B69" s="7" t="s">
        <v>18</v>
      </c>
      <c r="C69" s="7" t="s">
        <v>19</v>
      </c>
      <c r="D69" s="7"/>
      <c r="E69" s="7"/>
      <c r="F69" s="7" t="s">
        <v>57</v>
      </c>
      <c r="G69" s="7" t="s">
        <v>58</v>
      </c>
      <c r="H69" s="7" t="s">
        <v>24</v>
      </c>
      <c r="I69" s="7" t="s">
        <v>126</v>
      </c>
      <c r="J69" s="8">
        <v>74.881863518549366</v>
      </c>
      <c r="K69" s="8">
        <v>72.101253507724763</v>
      </c>
      <c r="L69" s="8">
        <v>2.1695041542466713</v>
      </c>
      <c r="M69" s="8">
        <v>625.78483410575768</v>
      </c>
      <c r="N69" s="8">
        <v>19.620553189745536</v>
      </c>
      <c r="O69" s="8">
        <v>282.77767306232221</v>
      </c>
      <c r="P69" s="8">
        <v>4.6984300411840456</v>
      </c>
      <c r="Q69" t="s">
        <v>26</v>
      </c>
    </row>
    <row r="70" spans="1:17" hidden="1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21</v>
      </c>
      <c r="F70" s="7" t="s">
        <v>59</v>
      </c>
      <c r="G70" s="7" t="s">
        <v>60</v>
      </c>
      <c r="H70" s="7" t="s">
        <v>24</v>
      </c>
      <c r="I70" s="7" t="s">
        <v>126</v>
      </c>
      <c r="J70" s="8">
        <v>16.097052587099707</v>
      </c>
      <c r="K70" s="8">
        <v>15.572103901446335</v>
      </c>
      <c r="L70" s="8">
        <v>0.62492234082030329</v>
      </c>
      <c r="M70" s="8">
        <v>135.86353791740316</v>
      </c>
      <c r="N70" s="8">
        <v>31.181150988480027</v>
      </c>
      <c r="O70" s="8">
        <v>54.498838982932064</v>
      </c>
      <c r="P70" s="8">
        <v>0.92455957536462885</v>
      </c>
      <c r="Q70" t="s">
        <v>26</v>
      </c>
    </row>
    <row r="71" spans="1:17" hidden="1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21</v>
      </c>
      <c r="F71" s="7" t="s">
        <v>61</v>
      </c>
      <c r="G71" s="7" t="s">
        <v>62</v>
      </c>
      <c r="H71" s="7" t="s">
        <v>24</v>
      </c>
      <c r="I71" s="7" t="s">
        <v>126</v>
      </c>
      <c r="J71" s="8">
        <v>2.4232091890553509</v>
      </c>
      <c r="K71" s="8">
        <v>2.3717781544279148</v>
      </c>
      <c r="L71" s="8">
        <v>0.1541799159314117</v>
      </c>
      <c r="M71" s="8">
        <v>20.960990017060681</v>
      </c>
      <c r="N71" s="8">
        <v>14.915563004179006</v>
      </c>
      <c r="O71" s="8">
        <v>5.8200993477525769</v>
      </c>
      <c r="P71" s="8">
        <v>0.10679086103081503</v>
      </c>
      <c r="Q71" t="s">
        <v>26</v>
      </c>
    </row>
    <row r="72" spans="1:17" hidden="1" x14ac:dyDescent="0.25">
      <c r="A72" s="7" t="s">
        <v>17</v>
      </c>
      <c r="B72" s="7" t="s">
        <v>18</v>
      </c>
      <c r="C72" s="7" t="s">
        <v>19</v>
      </c>
      <c r="D72" s="7"/>
      <c r="E72" s="7"/>
      <c r="F72" s="7" t="s">
        <v>63</v>
      </c>
      <c r="G72" s="7" t="s">
        <v>64</v>
      </c>
      <c r="H72" s="7" t="s">
        <v>24</v>
      </c>
      <c r="I72" s="7" t="s">
        <v>126</v>
      </c>
      <c r="J72" s="8">
        <v>1.0382400246247123</v>
      </c>
      <c r="K72" s="8">
        <v>1.0014211789864669</v>
      </c>
      <c r="L72" s="8">
        <v>3.3858854810921463E-2</v>
      </c>
      <c r="M72" s="8">
        <v>8.7084538288938589</v>
      </c>
      <c r="N72" s="8">
        <v>0.91455086915072248</v>
      </c>
      <c r="O72" s="8">
        <v>3.7708700672004993</v>
      </c>
      <c r="P72" s="8">
        <v>6.3107176787279659E-2</v>
      </c>
      <c r="Q72" t="s">
        <v>26</v>
      </c>
    </row>
    <row r="73" spans="1:17" hidden="1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21</v>
      </c>
      <c r="F73" s="7" t="s">
        <v>65</v>
      </c>
      <c r="G73" s="7" t="s">
        <v>66</v>
      </c>
      <c r="H73" s="7" t="s">
        <v>24</v>
      </c>
      <c r="I73" s="7" t="s">
        <v>126</v>
      </c>
      <c r="J73" s="8">
        <v>18.62206180338022</v>
      </c>
      <c r="K73" s="8">
        <v>18.050641149011145</v>
      </c>
      <c r="L73" s="8">
        <v>0.80108770281131991</v>
      </c>
      <c r="M73" s="8">
        <v>157.8363168654364</v>
      </c>
      <c r="N73" s="8">
        <v>49.360720623504562</v>
      </c>
      <c r="O73" s="8">
        <v>59.948315867816177</v>
      </c>
      <c r="P73" s="8">
        <v>1.0274798946981158</v>
      </c>
      <c r="Q73" t="s">
        <v>26</v>
      </c>
    </row>
    <row r="74" spans="1:17" hidden="1" x14ac:dyDescent="0.25">
      <c r="A74" s="7" t="s">
        <v>17</v>
      </c>
      <c r="B74" s="7" t="s">
        <v>18</v>
      </c>
      <c r="C74" s="7" t="s">
        <v>19</v>
      </c>
      <c r="D74" s="7"/>
      <c r="E74" s="7"/>
      <c r="F74" s="7" t="s">
        <v>67</v>
      </c>
      <c r="G74" s="7" t="s">
        <v>68</v>
      </c>
      <c r="H74" s="7" t="s">
        <v>24</v>
      </c>
      <c r="I74" s="7" t="s">
        <v>126</v>
      </c>
      <c r="J74" s="8">
        <v>7.5999444451094913</v>
      </c>
      <c r="K74" s="8">
        <v>7.3216213245904269</v>
      </c>
      <c r="L74" s="8">
        <v>0.22865678365765127</v>
      </c>
      <c r="M74" s="8">
        <v>63.584094631682461</v>
      </c>
      <c r="N74" s="8">
        <v>3.4315285154789268</v>
      </c>
      <c r="O74" s="8">
        <v>28.363901802123753</v>
      </c>
      <c r="P74" s="8">
        <v>0.47229191729098063</v>
      </c>
      <c r="Q74" t="s">
        <v>26</v>
      </c>
    </row>
    <row r="75" spans="1:17" hidden="1" x14ac:dyDescent="0.25">
      <c r="A75" s="7" t="s">
        <v>17</v>
      </c>
      <c r="B75" s="7" t="s">
        <v>18</v>
      </c>
      <c r="C75" s="7" t="s">
        <v>19</v>
      </c>
      <c r="D75" s="7"/>
      <c r="E75" s="7"/>
      <c r="F75" s="7" t="s">
        <v>69</v>
      </c>
      <c r="G75" s="7" t="s">
        <v>70</v>
      </c>
      <c r="H75" s="7" t="s">
        <v>24</v>
      </c>
      <c r="I75" s="7" t="s">
        <v>126</v>
      </c>
      <c r="J75" s="8">
        <v>0.22732104640994519</v>
      </c>
      <c r="K75" s="8">
        <v>0.2196119970389748</v>
      </c>
      <c r="L75" s="8">
        <v>8.450544301866536E-3</v>
      </c>
      <c r="M75" s="8">
        <v>1.895650506460937</v>
      </c>
      <c r="N75" s="8">
        <v>0.33827296890090541</v>
      </c>
      <c r="O75" s="8">
        <v>0.79382388416591565</v>
      </c>
      <c r="P75" s="8">
        <v>1.3008301052669612E-2</v>
      </c>
      <c r="Q75" t="s">
        <v>26</v>
      </c>
    </row>
    <row r="76" spans="1:17" hidden="1" x14ac:dyDescent="0.25">
      <c r="A76" s="7" t="s">
        <v>17</v>
      </c>
      <c r="B76" s="7" t="s">
        <v>18</v>
      </c>
      <c r="C76" s="7" t="s">
        <v>19</v>
      </c>
      <c r="D76" s="7"/>
      <c r="E76" s="7"/>
      <c r="F76" s="7" t="s">
        <v>71</v>
      </c>
      <c r="G76" s="7" t="s">
        <v>72</v>
      </c>
      <c r="H76" s="7" t="s">
        <v>24</v>
      </c>
      <c r="I76" s="7" t="s">
        <v>126</v>
      </c>
      <c r="J76" s="8">
        <v>23.356738332682919</v>
      </c>
      <c r="K76" s="8">
        <v>22.487283298164748</v>
      </c>
      <c r="L76" s="8">
        <v>0.67203215820018913</v>
      </c>
      <c r="M76" s="8">
        <v>195.15192854357366</v>
      </c>
      <c r="N76" s="8">
        <v>5.3262595944786861</v>
      </c>
      <c r="O76" s="8">
        <v>88.387563693719656</v>
      </c>
      <c r="P76" s="8">
        <v>1.4680244084090766</v>
      </c>
      <c r="Q76" t="s">
        <v>26</v>
      </c>
    </row>
    <row r="77" spans="1:17" hidden="1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21</v>
      </c>
      <c r="F77" s="7" t="s">
        <v>73</v>
      </c>
      <c r="G77" s="7" t="s">
        <v>74</v>
      </c>
      <c r="H77" s="7" t="s">
        <v>24</v>
      </c>
      <c r="I77" s="7" t="s">
        <v>126</v>
      </c>
      <c r="J77" s="8">
        <v>4.7628228938447394</v>
      </c>
      <c r="K77" s="8">
        <v>4.6051531721363519</v>
      </c>
      <c r="L77" s="8">
        <v>0.1797905354938458</v>
      </c>
      <c r="M77" s="8">
        <v>40.156290806546046</v>
      </c>
      <c r="N77" s="8">
        <v>8.3565023530144362</v>
      </c>
      <c r="O77" s="8">
        <v>16.32798672061352</v>
      </c>
      <c r="P77" s="8">
        <v>0.27631538479318862</v>
      </c>
      <c r="Q77" t="s">
        <v>26</v>
      </c>
    </row>
    <row r="78" spans="1:17" hidden="1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21</v>
      </c>
      <c r="F78" s="7" t="s">
        <v>75</v>
      </c>
      <c r="G78" s="7" t="s">
        <v>76</v>
      </c>
      <c r="H78" s="7" t="s">
        <v>24</v>
      </c>
      <c r="I78" s="7" t="s">
        <v>126</v>
      </c>
      <c r="J78" s="8">
        <v>22.05246714493299</v>
      </c>
      <c r="K78" s="8">
        <v>21.438288434757638</v>
      </c>
      <c r="L78" s="8">
        <v>1.084809397453766</v>
      </c>
      <c r="M78" s="8">
        <v>188.06331559120832</v>
      </c>
      <c r="N78" s="8">
        <v>81.607560043784176</v>
      </c>
      <c r="O78" s="8">
        <v>65.591243130889524</v>
      </c>
      <c r="P78" s="8">
        <v>1.1433833097579933</v>
      </c>
      <c r="Q78" t="s">
        <v>26</v>
      </c>
    </row>
    <row r="79" spans="1:17" hidden="1" x14ac:dyDescent="0.25">
      <c r="A79" s="7" t="s">
        <v>17</v>
      </c>
      <c r="B79" s="7" t="s">
        <v>18</v>
      </c>
      <c r="C79" s="7" t="s">
        <v>19</v>
      </c>
      <c r="D79" s="7"/>
      <c r="E79" s="7"/>
      <c r="F79" s="7" t="s">
        <v>77</v>
      </c>
      <c r="G79" s="7" t="s">
        <v>78</v>
      </c>
      <c r="H79" s="7" t="s">
        <v>24</v>
      </c>
      <c r="I79" s="7" t="s">
        <v>126</v>
      </c>
      <c r="J79" s="8">
        <v>0.49289304219609659</v>
      </c>
      <c r="K79" s="8">
        <v>0.47577186776596853</v>
      </c>
      <c r="L79" s="8">
        <v>1.729673404449944E-2</v>
      </c>
      <c r="M79" s="8">
        <v>4.1120525592959325</v>
      </c>
      <c r="N79" s="8">
        <v>0.57915660207412478</v>
      </c>
      <c r="O79" s="8">
        <v>1.7570068316425316</v>
      </c>
      <c r="P79" s="8">
        <v>2.8890383320290133E-2</v>
      </c>
      <c r="Q79" t="s">
        <v>26</v>
      </c>
    </row>
    <row r="80" spans="1:17" hidden="1" x14ac:dyDescent="0.25">
      <c r="A80" s="7" t="s">
        <v>17</v>
      </c>
      <c r="B80" s="7" t="s">
        <v>18</v>
      </c>
      <c r="C80" s="7" t="s">
        <v>19</v>
      </c>
      <c r="D80" s="7"/>
      <c r="E80" s="7"/>
      <c r="F80" s="7" t="s">
        <v>79</v>
      </c>
      <c r="G80" s="7" t="s">
        <v>80</v>
      </c>
      <c r="H80" s="7" t="s">
        <v>24</v>
      </c>
      <c r="I80" s="7" t="s">
        <v>126</v>
      </c>
      <c r="J80" s="8">
        <v>0.5980392584910349</v>
      </c>
      <c r="K80" s="8">
        <v>0.57664464090761525</v>
      </c>
      <c r="L80" s="8">
        <v>1.941611721694635E-2</v>
      </c>
      <c r="M80" s="8">
        <v>4.9919682723927741</v>
      </c>
      <c r="N80" s="8">
        <v>0.46658433053376958</v>
      </c>
      <c r="O80" s="8">
        <v>2.1865746265269244</v>
      </c>
      <c r="P80" s="8">
        <v>3.6101419648429438E-2</v>
      </c>
      <c r="Q80" t="s">
        <v>26</v>
      </c>
    </row>
    <row r="81" spans="1:17" hidden="1" x14ac:dyDescent="0.25">
      <c r="A81" s="7" t="s">
        <v>17</v>
      </c>
      <c r="B81" s="7" t="s">
        <v>18</v>
      </c>
      <c r="C81" s="7" t="s">
        <v>19</v>
      </c>
      <c r="D81" s="7"/>
      <c r="E81" s="7"/>
      <c r="F81" s="7" t="s">
        <v>81</v>
      </c>
      <c r="G81" s="7" t="s">
        <v>82</v>
      </c>
      <c r="H81" s="7" t="s">
        <v>24</v>
      </c>
      <c r="I81" s="7" t="s">
        <v>126</v>
      </c>
      <c r="J81" s="8">
        <v>4.537963219351532</v>
      </c>
      <c r="K81" s="8">
        <v>4.370950939557571</v>
      </c>
      <c r="L81" s="8">
        <v>0.13473711476727049</v>
      </c>
      <c r="M81" s="8">
        <v>37.951153961073835</v>
      </c>
      <c r="N81" s="8">
        <v>1.7436743446766352</v>
      </c>
      <c r="O81" s="8">
        <v>17.007429859784484</v>
      </c>
      <c r="P81" s="8">
        <v>0.28297465646414283</v>
      </c>
      <c r="Q81" t="s">
        <v>26</v>
      </c>
    </row>
    <row r="82" spans="1:17" hidden="1" x14ac:dyDescent="0.25">
      <c r="A82" s="7" t="s">
        <v>17</v>
      </c>
      <c r="B82" s="7" t="s">
        <v>18</v>
      </c>
      <c r="C82" s="7" t="s">
        <v>19</v>
      </c>
      <c r="D82" s="7"/>
      <c r="E82" s="7"/>
      <c r="F82" s="7" t="s">
        <v>83</v>
      </c>
      <c r="G82" s="7" t="s">
        <v>84</v>
      </c>
      <c r="H82" s="7" t="s">
        <v>24</v>
      </c>
      <c r="I82" s="7" t="s">
        <v>126</v>
      </c>
      <c r="J82" s="8">
        <v>10.662808503075613</v>
      </c>
      <c r="K82" s="8">
        <v>10.266199950384072</v>
      </c>
      <c r="L82" s="8">
        <v>0.30748103863056936</v>
      </c>
      <c r="M82" s="8">
        <v>89.096495867914271</v>
      </c>
      <c r="N82" s="8">
        <v>2.5481098776667315</v>
      </c>
      <c r="O82" s="8">
        <v>40.323466048049845</v>
      </c>
      <c r="P82" s="8">
        <v>0.66981293325203373</v>
      </c>
      <c r="Q82" t="s">
        <v>26</v>
      </c>
    </row>
    <row r="83" spans="1:17" hidden="1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21</v>
      </c>
      <c r="F83" s="7" t="s">
        <v>85</v>
      </c>
      <c r="G83" s="7" t="s">
        <v>86</v>
      </c>
      <c r="H83" s="7" t="s">
        <v>24</v>
      </c>
      <c r="I83" s="7" t="s">
        <v>126</v>
      </c>
      <c r="J83" s="8">
        <v>24.3104921282651</v>
      </c>
      <c r="K83" s="8">
        <v>23.502819293440869</v>
      </c>
      <c r="L83" s="8">
        <v>0.91139019422530376</v>
      </c>
      <c r="M83" s="8">
        <v>204.91325807826283</v>
      </c>
      <c r="N83" s="8">
        <v>41.582094820543951</v>
      </c>
      <c r="O83" s="8">
        <v>83.591490559955147</v>
      </c>
      <c r="P83" s="8">
        <v>1.4137698301918691</v>
      </c>
      <c r="Q83" t="s">
        <v>26</v>
      </c>
    </row>
    <row r="84" spans="1:17" hidden="1" x14ac:dyDescent="0.25">
      <c r="A84" s="7" t="s">
        <v>17</v>
      </c>
      <c r="B84" s="7" t="s">
        <v>18</v>
      </c>
      <c r="C84" s="7" t="s">
        <v>19</v>
      </c>
      <c r="D84" s="7"/>
      <c r="E84" s="7"/>
      <c r="F84" s="7" t="s">
        <v>87</v>
      </c>
      <c r="G84" s="7" t="s">
        <v>88</v>
      </c>
      <c r="H84" s="7" t="s">
        <v>24</v>
      </c>
      <c r="I84" s="7" t="s">
        <v>126</v>
      </c>
      <c r="J84" s="8">
        <v>1.309902355568294</v>
      </c>
      <c r="K84" s="8">
        <v>1.2628033372579717</v>
      </c>
      <c r="L84" s="8">
        <v>4.1309270049335163E-2</v>
      </c>
      <c r="M84" s="8">
        <v>10.97524831237742</v>
      </c>
      <c r="N84" s="8">
        <v>0.91440925030251963</v>
      </c>
      <c r="O84" s="8">
        <v>4.8133864208300698</v>
      </c>
      <c r="P84" s="8">
        <v>8.0379980527985687E-2</v>
      </c>
      <c r="Q84" t="s">
        <v>26</v>
      </c>
    </row>
    <row r="85" spans="1:17" hidden="1" x14ac:dyDescent="0.25">
      <c r="A85" s="7" t="s">
        <v>17</v>
      </c>
      <c r="B85" s="7" t="s">
        <v>18</v>
      </c>
      <c r="C85" s="7" t="s">
        <v>19</v>
      </c>
      <c r="D85" s="7"/>
      <c r="E85" s="7"/>
      <c r="F85" s="7" t="s">
        <v>89</v>
      </c>
      <c r="G85" s="7" t="s">
        <v>90</v>
      </c>
      <c r="H85" s="7" t="s">
        <v>24</v>
      </c>
      <c r="I85" s="7" t="s">
        <v>126</v>
      </c>
      <c r="J85" s="8">
        <v>59.488862296444857</v>
      </c>
      <c r="K85" s="8">
        <v>57.294901732153527</v>
      </c>
      <c r="L85" s="8">
        <v>1.7563301108744485</v>
      </c>
      <c r="M85" s="8">
        <v>497.42354660886957</v>
      </c>
      <c r="N85" s="8">
        <v>21.164832406878233</v>
      </c>
      <c r="O85" s="8">
        <v>223.34795017108081</v>
      </c>
      <c r="P85" s="8">
        <v>3.7149287042547061</v>
      </c>
      <c r="Q85" t="s">
        <v>26</v>
      </c>
    </row>
    <row r="86" spans="1:17" hidden="1" x14ac:dyDescent="0.25">
      <c r="A86" s="7" t="s">
        <v>17</v>
      </c>
      <c r="B86" s="7" t="s">
        <v>18</v>
      </c>
      <c r="C86" s="7" t="s">
        <v>19</v>
      </c>
      <c r="D86" s="7"/>
      <c r="E86" s="7"/>
      <c r="F86" s="7" t="s">
        <v>91</v>
      </c>
      <c r="G86" s="7" t="s">
        <v>92</v>
      </c>
      <c r="H86" s="7" t="s">
        <v>24</v>
      </c>
      <c r="I86" s="7" t="s">
        <v>126</v>
      </c>
      <c r="J86" s="8">
        <v>0.2974153819559277</v>
      </c>
      <c r="K86" s="8">
        <v>0.28799643642085698</v>
      </c>
      <c r="L86" s="8">
        <v>1.2156684179441244E-2</v>
      </c>
      <c r="M86" s="8">
        <v>2.5154301811024165</v>
      </c>
      <c r="N86" s="8">
        <v>0.67991544201565757</v>
      </c>
      <c r="O86" s="8">
        <v>0.98273205012545306</v>
      </c>
      <c r="P86" s="8">
        <v>1.6753593480151253E-2</v>
      </c>
      <c r="Q86" t="s">
        <v>26</v>
      </c>
    </row>
    <row r="87" spans="1:17" hidden="1" x14ac:dyDescent="0.25">
      <c r="A87" s="7" t="s">
        <v>17</v>
      </c>
      <c r="B87" s="7" t="s">
        <v>18</v>
      </c>
      <c r="C87" s="7" t="s">
        <v>19</v>
      </c>
      <c r="D87" s="7"/>
      <c r="E87" s="7"/>
      <c r="F87" s="7" t="s">
        <v>93</v>
      </c>
      <c r="G87" s="7" t="s">
        <v>94</v>
      </c>
      <c r="H87" s="7" t="s">
        <v>24</v>
      </c>
      <c r="I87" s="7" t="s">
        <v>126</v>
      </c>
      <c r="J87" s="8">
        <v>0.15496436699128968</v>
      </c>
      <c r="K87" s="8">
        <v>0.14982419104430345</v>
      </c>
      <c r="L87" s="8">
        <v>6.0516841694318556E-3</v>
      </c>
      <c r="M87" s="8">
        <v>1.2917589137524954</v>
      </c>
      <c r="N87" s="8">
        <v>0.27434736970889761</v>
      </c>
      <c r="O87" s="8">
        <v>0.53100364245792386</v>
      </c>
      <c r="P87" s="8">
        <v>8.673566994379156E-3</v>
      </c>
      <c r="Q87" t="s">
        <v>26</v>
      </c>
    </row>
    <row r="88" spans="1:17" hidden="1" x14ac:dyDescent="0.25">
      <c r="A88" s="7" t="s">
        <v>17</v>
      </c>
      <c r="B88" s="7" t="s">
        <v>18</v>
      </c>
      <c r="C88" s="7" t="s">
        <v>19</v>
      </c>
      <c r="D88" s="7"/>
      <c r="E88" s="7"/>
      <c r="F88" s="7" t="s">
        <v>95</v>
      </c>
      <c r="G88" s="7" t="s">
        <v>96</v>
      </c>
      <c r="H88" s="7" t="s">
        <v>24</v>
      </c>
      <c r="I88" s="7" t="s">
        <v>126</v>
      </c>
      <c r="J88" s="8">
        <v>24.591336493788358</v>
      </c>
      <c r="K88" s="8">
        <v>23.675967049597382</v>
      </c>
      <c r="L88" s="8">
        <v>0.70764980518653808</v>
      </c>
      <c r="M88" s="8">
        <v>205.46811411408578</v>
      </c>
      <c r="N88" s="8">
        <v>5.6239313138600249</v>
      </c>
      <c r="O88" s="8">
        <v>93.055820001613796</v>
      </c>
      <c r="P88" s="8">
        <v>1.5455701461094522</v>
      </c>
      <c r="Q88" t="s">
        <v>26</v>
      </c>
    </row>
    <row r="89" spans="1:17" hidden="1" x14ac:dyDescent="0.25">
      <c r="A89" s="7" t="s">
        <v>17</v>
      </c>
      <c r="B89" s="7" t="s">
        <v>18</v>
      </c>
      <c r="C89" s="7" t="s">
        <v>19</v>
      </c>
      <c r="D89" s="7"/>
      <c r="E89" s="7"/>
      <c r="F89" s="7" t="s">
        <v>97</v>
      </c>
      <c r="G89" s="7" t="s">
        <v>98</v>
      </c>
      <c r="H89" s="7" t="s">
        <v>24</v>
      </c>
      <c r="I89" s="7" t="s">
        <v>126</v>
      </c>
      <c r="J89" s="8">
        <v>3.0288245793624178</v>
      </c>
      <c r="K89" s="8">
        <v>2.9174815190009959</v>
      </c>
      <c r="L89" s="8">
        <v>9.0207516299431814E-2</v>
      </c>
      <c r="M89" s="8">
        <v>25.33253464035743</v>
      </c>
      <c r="N89" s="8">
        <v>1.2111584618966533</v>
      </c>
      <c r="O89" s="8">
        <v>11.340417422414596</v>
      </c>
      <c r="P89" s="8">
        <v>0.18871908686139285</v>
      </c>
      <c r="Q89" t="s">
        <v>26</v>
      </c>
    </row>
    <row r="90" spans="1:17" hidden="1" x14ac:dyDescent="0.25">
      <c r="A90" s="7" t="s">
        <v>17</v>
      </c>
      <c r="B90" s="7" t="s">
        <v>18</v>
      </c>
      <c r="C90" s="7" t="s">
        <v>19</v>
      </c>
      <c r="D90" s="7"/>
      <c r="E90" s="7"/>
      <c r="F90" s="7" t="s">
        <v>99</v>
      </c>
      <c r="G90" s="7" t="s">
        <v>100</v>
      </c>
      <c r="H90" s="7" t="s">
        <v>24</v>
      </c>
      <c r="I90" s="7" t="s">
        <v>126</v>
      </c>
      <c r="J90" s="8">
        <v>27.16021062262401</v>
      </c>
      <c r="K90" s="8">
        <v>26.167351785514839</v>
      </c>
      <c r="L90" s="8">
        <v>0.8210707840157504</v>
      </c>
      <c r="M90" s="8">
        <v>227.2658992160429</v>
      </c>
      <c r="N90" s="8">
        <v>12.928384422662202</v>
      </c>
      <c r="O90" s="8">
        <v>101.21005703389424</v>
      </c>
      <c r="P90" s="8">
        <v>1.6857387630278431</v>
      </c>
      <c r="Q90" t="s">
        <v>26</v>
      </c>
    </row>
    <row r="91" spans="1:17" hidden="1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21</v>
      </c>
      <c r="F91" s="7" t="s">
        <v>101</v>
      </c>
      <c r="G91" s="7" t="s">
        <v>21</v>
      </c>
      <c r="H91" s="7" t="s">
        <v>24</v>
      </c>
      <c r="I91" s="7" t="s">
        <v>126</v>
      </c>
      <c r="J91" s="8">
        <v>41.363363304498939</v>
      </c>
      <c r="K91" s="8">
        <v>40.160983415199681</v>
      </c>
      <c r="L91" s="8">
        <v>1.9250193560906141</v>
      </c>
      <c r="M91" s="8">
        <v>351.8182857319548</v>
      </c>
      <c r="N91" s="8">
        <v>134.40794946217241</v>
      </c>
      <c r="O91" s="8">
        <v>127.38066987810537</v>
      </c>
      <c r="P91" s="8">
        <v>2.2037557036469972</v>
      </c>
      <c r="Q91" t="s">
        <v>26</v>
      </c>
    </row>
    <row r="92" spans="1:17" hidden="1" x14ac:dyDescent="0.25">
      <c r="A92" s="7" t="s">
        <v>17</v>
      </c>
      <c r="B92" s="7" t="s">
        <v>18</v>
      </c>
      <c r="C92" s="7" t="s">
        <v>19</v>
      </c>
      <c r="D92" s="7"/>
      <c r="E92" s="7"/>
      <c r="F92" s="7" t="s">
        <v>102</v>
      </c>
      <c r="G92" s="7" t="s">
        <v>103</v>
      </c>
      <c r="H92" s="7" t="s">
        <v>24</v>
      </c>
      <c r="I92" s="7" t="s">
        <v>126</v>
      </c>
      <c r="J92" s="8">
        <v>0.29360961330088892</v>
      </c>
      <c r="K92" s="8">
        <v>0.28332031869626795</v>
      </c>
      <c r="L92" s="8">
        <v>1.0074726694415623E-2</v>
      </c>
      <c r="M92" s="8">
        <v>2.4498884056479531</v>
      </c>
      <c r="N92" s="8">
        <v>0.31060975114807488</v>
      </c>
      <c r="O92" s="8">
        <v>1.0545987147645908</v>
      </c>
      <c r="P92" s="8">
        <v>1.736222397803525E-2</v>
      </c>
      <c r="Q92" t="s">
        <v>26</v>
      </c>
    </row>
    <row r="93" spans="1:17" hidden="1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21</v>
      </c>
      <c r="F93" s="7" t="s">
        <v>104</v>
      </c>
      <c r="G93" s="7" t="s">
        <v>105</v>
      </c>
      <c r="H93" s="7" t="s">
        <v>24</v>
      </c>
      <c r="I93" s="7" t="s">
        <v>126</v>
      </c>
      <c r="J93" s="8">
        <v>5.5978733522859896</v>
      </c>
      <c r="K93" s="8">
        <v>5.4162797358324024</v>
      </c>
      <c r="L93" s="8">
        <v>0.21941546408005425</v>
      </c>
      <c r="M93" s="8">
        <v>47.265302951747778</v>
      </c>
      <c r="N93" s="8">
        <v>11.199588115423474</v>
      </c>
      <c r="O93" s="8">
        <v>18.869333657864363</v>
      </c>
      <c r="P93" s="8">
        <v>0.32039434021041024</v>
      </c>
      <c r="Q93" t="s">
        <v>26</v>
      </c>
    </row>
    <row r="94" spans="1:17" hidden="1" x14ac:dyDescent="0.25">
      <c r="A94" s="7" t="s">
        <v>17</v>
      </c>
      <c r="B94" s="7" t="s">
        <v>18</v>
      </c>
      <c r="C94" s="7" t="s">
        <v>19</v>
      </c>
      <c r="D94" s="7"/>
      <c r="E94" s="7"/>
      <c r="F94" s="7" t="s">
        <v>106</v>
      </c>
      <c r="G94" s="7" t="s">
        <v>107</v>
      </c>
      <c r="H94" s="7" t="s">
        <v>24</v>
      </c>
      <c r="I94" s="7" t="s">
        <v>126</v>
      </c>
      <c r="J94" s="8">
        <v>2.3868308527994073</v>
      </c>
      <c r="K94" s="8">
        <v>2.2994953665391349</v>
      </c>
      <c r="L94" s="8">
        <v>7.1973532012405944E-2</v>
      </c>
      <c r="M94" s="8">
        <v>19.970541983735863</v>
      </c>
      <c r="N94" s="8">
        <v>1.1052532198857614</v>
      </c>
      <c r="O94" s="8">
        <v>8.9015121779148618</v>
      </c>
      <c r="P94" s="8">
        <v>0.14824053438284152</v>
      </c>
      <c r="Q94" t="s">
        <v>26</v>
      </c>
    </row>
    <row r="95" spans="1:17" hidden="1" x14ac:dyDescent="0.25">
      <c r="A95" s="7" t="s">
        <v>17</v>
      </c>
      <c r="B95" s="7" t="s">
        <v>18</v>
      </c>
      <c r="C95" s="7" t="s">
        <v>19</v>
      </c>
      <c r="D95" s="7"/>
      <c r="E95" s="7"/>
      <c r="F95" s="7" t="s">
        <v>108</v>
      </c>
      <c r="G95" s="7" t="s">
        <v>109</v>
      </c>
      <c r="H95" s="7" t="s">
        <v>24</v>
      </c>
      <c r="I95" s="7" t="s">
        <v>126</v>
      </c>
      <c r="J95" s="8">
        <v>9.1791464119072721</v>
      </c>
      <c r="K95" s="8">
        <v>8.8383449366628515</v>
      </c>
      <c r="L95" s="8">
        <v>0.26660503412503178</v>
      </c>
      <c r="M95" s="8">
        <v>76.674673240777793</v>
      </c>
      <c r="N95" s="8">
        <v>2.4392027996587031</v>
      </c>
      <c r="O95" s="8">
        <v>34.656224073079031</v>
      </c>
      <c r="P95" s="8">
        <v>0.57507067030436321</v>
      </c>
      <c r="Q95" t="s">
        <v>26</v>
      </c>
    </row>
    <row r="96" spans="1:17" hidden="1" x14ac:dyDescent="0.25">
      <c r="A96" s="7" t="s">
        <v>17</v>
      </c>
      <c r="B96" s="7" t="s">
        <v>18</v>
      </c>
      <c r="C96" s="7" t="s">
        <v>19</v>
      </c>
      <c r="D96" s="7"/>
      <c r="E96" s="7"/>
      <c r="F96" s="7" t="s">
        <v>110</v>
      </c>
      <c r="G96" s="7" t="s">
        <v>111</v>
      </c>
      <c r="H96" s="7" t="s">
        <v>24</v>
      </c>
      <c r="I96" s="7" t="s">
        <v>126</v>
      </c>
      <c r="J96" s="8">
        <v>1.6845274829605219</v>
      </c>
      <c r="K96" s="8">
        <v>1.6339840037851885</v>
      </c>
      <c r="L96" s="8">
        <v>7.4963161284089919E-2</v>
      </c>
      <c r="M96" s="8">
        <v>14.298763797180559</v>
      </c>
      <c r="N96" s="8">
        <v>4.8898220572521272</v>
      </c>
      <c r="O96" s="8">
        <v>5.3237898666537511</v>
      </c>
      <c r="P96" s="8">
        <v>9.1598045922847621E-2</v>
      </c>
      <c r="Q96" t="s">
        <v>26</v>
      </c>
    </row>
    <row r="97" spans="1:17" hidden="1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21</v>
      </c>
      <c r="F97" s="7" t="s">
        <v>112</v>
      </c>
      <c r="G97" s="7" t="s">
        <v>113</v>
      </c>
      <c r="H97" s="7" t="s">
        <v>24</v>
      </c>
      <c r="I97" s="7" t="s">
        <v>126</v>
      </c>
      <c r="J97" s="8">
        <v>7.7681768297702725</v>
      </c>
      <c r="K97" s="8">
        <v>7.4950001090863374</v>
      </c>
      <c r="L97" s="8">
        <v>0.25834952880504969</v>
      </c>
      <c r="M97" s="8">
        <v>65.199892339001323</v>
      </c>
      <c r="N97" s="8">
        <v>7.6961820093952849</v>
      </c>
      <c r="O97" s="8">
        <v>28.014826995725539</v>
      </c>
      <c r="P97" s="8">
        <v>0.46947249709396394</v>
      </c>
      <c r="Q97" t="s">
        <v>26</v>
      </c>
    </row>
    <row r="98" spans="1:17" hidden="1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21</v>
      </c>
      <c r="F98" s="7" t="s">
        <v>114</v>
      </c>
      <c r="G98" s="7" t="s">
        <v>115</v>
      </c>
      <c r="H98" s="7" t="s">
        <v>24</v>
      </c>
      <c r="I98" s="7" t="s">
        <v>126</v>
      </c>
      <c r="J98" s="8">
        <v>10.311745789492539</v>
      </c>
      <c r="K98" s="8">
        <v>10.062544147073195</v>
      </c>
      <c r="L98" s="8">
        <v>0.59000762846759891</v>
      </c>
      <c r="M98" s="8">
        <v>88.638440315030579</v>
      </c>
      <c r="N98" s="8">
        <v>52.232190666962957</v>
      </c>
      <c r="O98" s="8">
        <v>27.388349978292162</v>
      </c>
      <c r="P98" s="8">
        <v>0.49005319198584102</v>
      </c>
      <c r="Q98" t="s">
        <v>26</v>
      </c>
    </row>
    <row r="99" spans="1:17" hidden="1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21</v>
      </c>
      <c r="F99" s="7" t="s">
        <v>116</v>
      </c>
      <c r="G99" s="7" t="s">
        <v>117</v>
      </c>
      <c r="H99" s="7" t="s">
        <v>24</v>
      </c>
      <c r="I99" s="7" t="s">
        <v>126</v>
      </c>
      <c r="J99" s="8">
        <v>0.75905980494855452</v>
      </c>
      <c r="K99" s="8">
        <v>0.73508010028737081</v>
      </c>
      <c r="L99" s="8">
        <v>3.1154414134295001E-2</v>
      </c>
      <c r="M99" s="8">
        <v>6.4209857325832793</v>
      </c>
      <c r="N99" s="8">
        <v>1.7571858373950164</v>
      </c>
      <c r="O99" s="8">
        <v>2.5030042922804454</v>
      </c>
      <c r="P99" s="8">
        <v>4.2689831111577405E-2</v>
      </c>
      <c r="Q99" t="s">
        <v>26</v>
      </c>
    </row>
    <row r="100" spans="1:17" hidden="1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21</v>
      </c>
      <c r="F100" s="7" t="s">
        <v>118</v>
      </c>
      <c r="G100" s="7" t="s">
        <v>119</v>
      </c>
      <c r="H100" s="7" t="s">
        <v>24</v>
      </c>
      <c r="I100" s="7" t="s">
        <v>126</v>
      </c>
      <c r="J100" s="8">
        <v>20.273359315196821</v>
      </c>
      <c r="K100" s="8">
        <v>19.604537930825387</v>
      </c>
      <c r="L100" s="8">
        <v>0.77033108926311211</v>
      </c>
      <c r="M100" s="8">
        <v>170.97135650872895</v>
      </c>
      <c r="N100" s="8">
        <v>36.42700418145143</v>
      </c>
      <c r="O100" s="8">
        <v>69.30161379476101</v>
      </c>
      <c r="P100" s="8">
        <v>1.1734463858239876</v>
      </c>
      <c r="Q100" t="s">
        <v>26</v>
      </c>
    </row>
    <row r="101" spans="1:17" hidden="1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21</v>
      </c>
      <c r="F101" s="7" t="s">
        <v>120</v>
      </c>
      <c r="G101" s="7" t="s">
        <v>121</v>
      </c>
      <c r="H101" s="7" t="s">
        <v>24</v>
      </c>
      <c r="I101" s="7" t="s">
        <v>126</v>
      </c>
      <c r="J101" s="8">
        <v>8.9938256291502192</v>
      </c>
      <c r="K101" s="8">
        <v>8.6724508399817584</v>
      </c>
      <c r="L101" s="8">
        <v>0.28800905457536563</v>
      </c>
      <c r="M101" s="8">
        <v>75.393121640470184</v>
      </c>
      <c r="N101" s="8">
        <v>7.0224370346472869</v>
      </c>
      <c r="O101" s="8">
        <v>32.875305902533761</v>
      </c>
      <c r="P101" s="8">
        <v>0.54952822783704092</v>
      </c>
      <c r="Q101" t="s">
        <v>26</v>
      </c>
    </row>
    <row r="102" spans="1:17" hidden="1" x14ac:dyDescent="0.25">
      <c r="A102" s="7" t="s">
        <v>17</v>
      </c>
      <c r="B102" s="7" t="s">
        <v>18</v>
      </c>
      <c r="C102" s="7" t="s">
        <v>19</v>
      </c>
      <c r="D102" s="7"/>
      <c r="E102" s="7"/>
      <c r="F102" s="7" t="s">
        <v>122</v>
      </c>
      <c r="G102" s="7" t="s">
        <v>123</v>
      </c>
      <c r="H102" s="7" t="s">
        <v>24</v>
      </c>
      <c r="I102" s="7" t="s">
        <v>126</v>
      </c>
      <c r="J102" s="8">
        <v>1.4328402896939167</v>
      </c>
      <c r="K102" s="8">
        <v>1.3805778137331626</v>
      </c>
      <c r="L102" s="8">
        <v>4.3982389246686564E-2</v>
      </c>
      <c r="M102" s="8">
        <v>11.964623607061126</v>
      </c>
      <c r="N102" s="8">
        <v>0.73649770207383125</v>
      </c>
      <c r="O102" s="8">
        <v>5.3272490995820778</v>
      </c>
      <c r="P102" s="8">
        <v>8.8188048660767959E-2</v>
      </c>
      <c r="Q102" t="s">
        <v>26</v>
      </c>
    </row>
    <row r="103" spans="1:17" hidden="1" x14ac:dyDescent="0.25">
      <c r="A103" s="7" t="s">
        <v>17</v>
      </c>
      <c r="B103" s="7" t="s">
        <v>18</v>
      </c>
      <c r="C103" s="7" t="s">
        <v>19</v>
      </c>
      <c r="D103" s="7"/>
      <c r="E103" s="7"/>
      <c r="F103" s="7" t="s">
        <v>124</v>
      </c>
      <c r="G103" s="7" t="s">
        <v>125</v>
      </c>
      <c r="H103" s="7" t="s">
        <v>24</v>
      </c>
      <c r="I103" s="7" t="s">
        <v>126</v>
      </c>
      <c r="J103" s="8">
        <v>1.740177037089526</v>
      </c>
      <c r="K103" s="8">
        <v>1.6768218412458937</v>
      </c>
      <c r="L103" s="8">
        <v>5.3168783520242589E-2</v>
      </c>
      <c r="M103" s="8">
        <v>14.56587371363948</v>
      </c>
      <c r="N103" s="8">
        <v>0.92393503596414572</v>
      </c>
      <c r="O103" s="8">
        <v>6.4623138171681607</v>
      </c>
      <c r="P103" s="8">
        <v>0.10770383326128811</v>
      </c>
      <c r="Q103" t="s">
        <v>26</v>
      </c>
    </row>
    <row r="104" spans="1:17" hidden="1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21</v>
      </c>
      <c r="F104" s="7" t="s">
        <v>22</v>
      </c>
      <c r="G104" s="7" t="s">
        <v>23</v>
      </c>
      <c r="H104" s="7" t="s">
        <v>127</v>
      </c>
      <c r="I104" s="7" t="s">
        <v>128</v>
      </c>
      <c r="J104" s="8"/>
      <c r="K104" s="8"/>
      <c r="L104" s="8"/>
      <c r="M104" s="8"/>
      <c r="N104" s="8"/>
      <c r="O104" s="8">
        <v>0.1215797869899277</v>
      </c>
      <c r="P104" s="8"/>
      <c r="Q104" t="s">
        <v>26</v>
      </c>
    </row>
    <row r="105" spans="1:17" hidden="1" x14ac:dyDescent="0.25">
      <c r="A105" s="7" t="s">
        <v>17</v>
      </c>
      <c r="B105" s="7" t="s">
        <v>18</v>
      </c>
      <c r="C105" s="7" t="s">
        <v>19</v>
      </c>
      <c r="D105" s="7"/>
      <c r="E105" s="7"/>
      <c r="F105" s="7" t="s">
        <v>27</v>
      </c>
      <c r="G105" s="7" t="s">
        <v>28</v>
      </c>
      <c r="H105" s="7" t="s">
        <v>127</v>
      </c>
      <c r="I105" s="7" t="s">
        <v>128</v>
      </c>
      <c r="J105" s="8"/>
      <c r="K105" s="8"/>
      <c r="L105" s="8"/>
      <c r="M105" s="8"/>
      <c r="N105" s="8"/>
      <c r="O105" s="8">
        <v>2.3295805162322929</v>
      </c>
      <c r="P105" s="8"/>
      <c r="Q105" t="s">
        <v>26</v>
      </c>
    </row>
    <row r="106" spans="1:17" hidden="1" x14ac:dyDescent="0.25">
      <c r="A106" s="7" t="s">
        <v>17</v>
      </c>
      <c r="B106" s="7" t="s">
        <v>18</v>
      </c>
      <c r="C106" s="7" t="s">
        <v>19</v>
      </c>
      <c r="D106" s="7"/>
      <c r="E106" s="7"/>
      <c r="F106" s="7" t="s">
        <v>29</v>
      </c>
      <c r="G106" s="7" t="s">
        <v>30</v>
      </c>
      <c r="H106" s="7" t="s">
        <v>127</v>
      </c>
      <c r="I106" s="7" t="s">
        <v>128</v>
      </c>
      <c r="J106" s="8"/>
      <c r="K106" s="8"/>
      <c r="L106" s="8"/>
      <c r="M106" s="8"/>
      <c r="N106" s="8"/>
      <c r="O106" s="8">
        <v>0.70711922088394752</v>
      </c>
      <c r="P106" s="8"/>
      <c r="Q106" t="s">
        <v>26</v>
      </c>
    </row>
    <row r="107" spans="1:17" hidden="1" x14ac:dyDescent="0.25">
      <c r="A107" s="7" t="s">
        <v>17</v>
      </c>
      <c r="B107" s="7" t="s">
        <v>18</v>
      </c>
      <c r="C107" s="7" t="s">
        <v>19</v>
      </c>
      <c r="D107" s="7"/>
      <c r="E107" s="7"/>
      <c r="F107" s="7" t="s">
        <v>31</v>
      </c>
      <c r="G107" s="7" t="s">
        <v>32</v>
      </c>
      <c r="H107" s="7" t="s">
        <v>127</v>
      </c>
      <c r="I107" s="7" t="s">
        <v>128</v>
      </c>
      <c r="J107" s="8"/>
      <c r="K107" s="8"/>
      <c r="L107" s="8"/>
      <c r="M107" s="8"/>
      <c r="N107" s="8"/>
      <c r="O107" s="8">
        <v>0.94049651315196958</v>
      </c>
      <c r="P107" s="8"/>
      <c r="Q107" t="s">
        <v>26</v>
      </c>
    </row>
    <row r="108" spans="1:17" hidden="1" x14ac:dyDescent="0.25">
      <c r="A108" s="7" t="s">
        <v>17</v>
      </c>
      <c r="B108" s="7" t="s">
        <v>18</v>
      </c>
      <c r="C108" s="7" t="s">
        <v>19</v>
      </c>
      <c r="D108" s="7"/>
      <c r="E108" s="7"/>
      <c r="F108" s="7" t="s">
        <v>33</v>
      </c>
      <c r="G108" s="7" t="s">
        <v>34</v>
      </c>
      <c r="H108" s="7" t="s">
        <v>127</v>
      </c>
      <c r="I108" s="7" t="s">
        <v>128</v>
      </c>
      <c r="J108" s="8"/>
      <c r="K108" s="8"/>
      <c r="L108" s="8"/>
      <c r="M108" s="8"/>
      <c r="N108" s="8"/>
      <c r="O108" s="8">
        <v>2.8008070009794612</v>
      </c>
      <c r="P108" s="8"/>
      <c r="Q108" t="s">
        <v>26</v>
      </c>
    </row>
    <row r="109" spans="1:17" hidden="1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21</v>
      </c>
      <c r="F109" s="7" t="s">
        <v>35</v>
      </c>
      <c r="G109" s="7" t="s">
        <v>36</v>
      </c>
      <c r="H109" s="7" t="s">
        <v>127</v>
      </c>
      <c r="I109" s="7" t="s">
        <v>128</v>
      </c>
      <c r="J109" s="8"/>
      <c r="K109" s="8"/>
      <c r="L109" s="8"/>
      <c r="M109" s="8"/>
      <c r="N109" s="8"/>
      <c r="O109" s="8">
        <v>1.7772030173413882</v>
      </c>
      <c r="P109" s="8"/>
      <c r="Q109" t="s">
        <v>26</v>
      </c>
    </row>
    <row r="110" spans="1:17" hidden="1" x14ac:dyDescent="0.25">
      <c r="A110" s="7" t="s">
        <v>17</v>
      </c>
      <c r="B110" s="7" t="s">
        <v>18</v>
      </c>
      <c r="C110" s="7" t="s">
        <v>19</v>
      </c>
      <c r="D110" s="7"/>
      <c r="E110" s="7"/>
      <c r="F110" s="7" t="s">
        <v>37</v>
      </c>
      <c r="G110" s="7" t="s">
        <v>38</v>
      </c>
      <c r="H110" s="7" t="s">
        <v>127</v>
      </c>
      <c r="I110" s="7" t="s">
        <v>128</v>
      </c>
      <c r="J110" s="8"/>
      <c r="K110" s="8"/>
      <c r="L110" s="8"/>
      <c r="M110" s="8"/>
      <c r="N110" s="8"/>
      <c r="O110" s="8">
        <v>5.268457436230201</v>
      </c>
      <c r="P110" s="8"/>
      <c r="Q110" t="s">
        <v>26</v>
      </c>
    </row>
    <row r="111" spans="1:17" hidden="1" x14ac:dyDescent="0.25">
      <c r="A111" s="7" t="s">
        <v>17</v>
      </c>
      <c r="B111" s="7" t="s">
        <v>18</v>
      </c>
      <c r="C111" s="7" t="s">
        <v>19</v>
      </c>
      <c r="D111" s="7"/>
      <c r="E111" s="7"/>
      <c r="F111" s="7" t="s">
        <v>39</v>
      </c>
      <c r="G111" s="7" t="s">
        <v>40</v>
      </c>
      <c r="H111" s="7" t="s">
        <v>127</v>
      </c>
      <c r="I111" s="7" t="s">
        <v>128</v>
      </c>
      <c r="J111" s="8"/>
      <c r="K111" s="8"/>
      <c r="L111" s="8"/>
      <c r="M111" s="8"/>
      <c r="N111" s="8"/>
      <c r="O111" s="8">
        <v>0.21660766647630803</v>
      </c>
      <c r="P111" s="8"/>
      <c r="Q111" t="s">
        <v>26</v>
      </c>
    </row>
    <row r="112" spans="1:17" hidden="1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21</v>
      </c>
      <c r="F112" s="7" t="s">
        <v>41</v>
      </c>
      <c r="G112" s="7" t="s">
        <v>42</v>
      </c>
      <c r="H112" s="7" t="s">
        <v>127</v>
      </c>
      <c r="I112" s="7" t="s">
        <v>128</v>
      </c>
      <c r="J112" s="8"/>
      <c r="K112" s="8"/>
      <c r="L112" s="8"/>
      <c r="M112" s="8"/>
      <c r="N112" s="8"/>
      <c r="O112" s="8">
        <v>4.0638393168587337</v>
      </c>
      <c r="P112" s="8"/>
      <c r="Q112" t="s">
        <v>26</v>
      </c>
    </row>
    <row r="113" spans="1:17" hidden="1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21</v>
      </c>
      <c r="F113" s="7" t="s">
        <v>43</v>
      </c>
      <c r="G113" s="7" t="s">
        <v>44</v>
      </c>
      <c r="H113" s="7" t="s">
        <v>127</v>
      </c>
      <c r="I113" s="7" t="s">
        <v>128</v>
      </c>
      <c r="J113" s="8"/>
      <c r="K113" s="8"/>
      <c r="L113" s="8"/>
      <c r="M113" s="8"/>
      <c r="N113" s="8"/>
      <c r="O113" s="8">
        <v>0.25783299654760533</v>
      </c>
      <c r="P113" s="8"/>
      <c r="Q113" t="s">
        <v>26</v>
      </c>
    </row>
    <row r="114" spans="1:17" hidden="1" x14ac:dyDescent="0.25">
      <c r="A114" s="7" t="s">
        <v>17</v>
      </c>
      <c r="B114" s="7" t="s">
        <v>18</v>
      </c>
      <c r="C114" s="7" t="s">
        <v>19</v>
      </c>
      <c r="D114" s="7"/>
      <c r="E114" s="7"/>
      <c r="F114" s="7" t="s">
        <v>45</v>
      </c>
      <c r="G114" s="7" t="s">
        <v>46</v>
      </c>
      <c r="H114" s="7" t="s">
        <v>127</v>
      </c>
      <c r="I114" s="7" t="s">
        <v>128</v>
      </c>
      <c r="J114" s="8"/>
      <c r="K114" s="8"/>
      <c r="L114" s="8"/>
      <c r="M114" s="8"/>
      <c r="N114" s="8"/>
      <c r="O114" s="8">
        <v>0.78258253694666124</v>
      </c>
      <c r="P114" s="8"/>
      <c r="Q114" t="s">
        <v>26</v>
      </c>
    </row>
    <row r="115" spans="1:17" hidden="1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21</v>
      </c>
      <c r="F115" s="7" t="s">
        <v>47</v>
      </c>
      <c r="G115" s="7" t="s">
        <v>48</v>
      </c>
      <c r="H115" s="7" t="s">
        <v>127</v>
      </c>
      <c r="I115" s="7" t="s">
        <v>128</v>
      </c>
      <c r="J115" s="8"/>
      <c r="K115" s="8"/>
      <c r="L115" s="8"/>
      <c r="M115" s="8"/>
      <c r="N115" s="8"/>
      <c r="O115" s="8">
        <v>0.2753013567473076</v>
      </c>
      <c r="P115" s="8"/>
      <c r="Q115" t="s">
        <v>26</v>
      </c>
    </row>
    <row r="116" spans="1:17" hidden="1" x14ac:dyDescent="0.25">
      <c r="A116" s="7" t="s">
        <v>17</v>
      </c>
      <c r="B116" s="7" t="s">
        <v>18</v>
      </c>
      <c r="C116" s="7" t="s">
        <v>19</v>
      </c>
      <c r="D116" s="7"/>
      <c r="E116" s="7"/>
      <c r="F116" s="7" t="s">
        <v>49</v>
      </c>
      <c r="G116" s="7" t="s">
        <v>50</v>
      </c>
      <c r="H116" s="7" t="s">
        <v>127</v>
      </c>
      <c r="I116" s="7" t="s">
        <v>128</v>
      </c>
      <c r="J116" s="8"/>
      <c r="K116" s="8"/>
      <c r="L116" s="8"/>
      <c r="M116" s="8"/>
      <c r="N116" s="8"/>
      <c r="O116" s="8">
        <v>4.3908470197971594</v>
      </c>
      <c r="P116" s="8"/>
      <c r="Q116" t="s">
        <v>26</v>
      </c>
    </row>
    <row r="117" spans="1:17" hidden="1" x14ac:dyDescent="0.25">
      <c r="A117" s="7" t="s">
        <v>17</v>
      </c>
      <c r="B117" s="7" t="s">
        <v>18</v>
      </c>
      <c r="C117" s="7" t="s">
        <v>19</v>
      </c>
      <c r="D117" s="7"/>
      <c r="E117" s="7"/>
      <c r="F117" s="7" t="s">
        <v>51</v>
      </c>
      <c r="G117" s="7" t="s">
        <v>52</v>
      </c>
      <c r="H117" s="7" t="s">
        <v>127</v>
      </c>
      <c r="I117" s="7" t="s">
        <v>128</v>
      </c>
      <c r="J117" s="8"/>
      <c r="K117" s="8"/>
      <c r="L117" s="8"/>
      <c r="M117" s="8"/>
      <c r="N117" s="8"/>
      <c r="O117" s="8">
        <v>10.768056214622861</v>
      </c>
      <c r="P117" s="8"/>
      <c r="Q117" t="s">
        <v>26</v>
      </c>
    </row>
    <row r="118" spans="1:17" hidden="1" x14ac:dyDescent="0.25">
      <c r="A118" s="7" t="s">
        <v>17</v>
      </c>
      <c r="B118" s="7" t="s">
        <v>18</v>
      </c>
      <c r="C118" s="7" t="s">
        <v>19</v>
      </c>
      <c r="D118" s="7"/>
      <c r="E118" s="7"/>
      <c r="F118" s="7" t="s">
        <v>53</v>
      </c>
      <c r="G118" s="7" t="s">
        <v>54</v>
      </c>
      <c r="H118" s="7" t="s">
        <v>127</v>
      </c>
      <c r="I118" s="7" t="s">
        <v>128</v>
      </c>
      <c r="J118" s="8"/>
      <c r="K118" s="8"/>
      <c r="L118" s="8"/>
      <c r="M118" s="8"/>
      <c r="N118" s="8"/>
      <c r="O118" s="8">
        <v>0.83987875840168458</v>
      </c>
      <c r="P118" s="8"/>
      <c r="Q118" t="s">
        <v>26</v>
      </c>
    </row>
    <row r="119" spans="1:17" hidden="1" x14ac:dyDescent="0.25">
      <c r="A119" s="7" t="s">
        <v>17</v>
      </c>
      <c r="B119" s="7" t="s">
        <v>18</v>
      </c>
      <c r="C119" s="7" t="s">
        <v>19</v>
      </c>
      <c r="D119" s="7"/>
      <c r="E119" s="7"/>
      <c r="F119" s="7" t="s">
        <v>55</v>
      </c>
      <c r="G119" s="7" t="s">
        <v>56</v>
      </c>
      <c r="H119" s="7" t="s">
        <v>127</v>
      </c>
      <c r="I119" s="7" t="s">
        <v>128</v>
      </c>
      <c r="J119" s="8"/>
      <c r="K119" s="8"/>
      <c r="L119" s="8"/>
      <c r="M119" s="8"/>
      <c r="N119" s="8"/>
      <c r="O119" s="8">
        <v>1.2255661769229509</v>
      </c>
      <c r="P119" s="8"/>
      <c r="Q119" t="s">
        <v>26</v>
      </c>
    </row>
    <row r="120" spans="1:17" hidden="1" x14ac:dyDescent="0.25">
      <c r="A120" s="7" t="s">
        <v>17</v>
      </c>
      <c r="B120" s="7" t="s">
        <v>18</v>
      </c>
      <c r="C120" s="7" t="s">
        <v>19</v>
      </c>
      <c r="D120" s="7"/>
      <c r="E120" s="7"/>
      <c r="F120" s="7" t="s">
        <v>57</v>
      </c>
      <c r="G120" s="7" t="s">
        <v>58</v>
      </c>
      <c r="H120" s="7" t="s">
        <v>127</v>
      </c>
      <c r="I120" s="7" t="s">
        <v>128</v>
      </c>
      <c r="J120" s="8"/>
      <c r="K120" s="8"/>
      <c r="L120" s="8"/>
      <c r="M120" s="8"/>
      <c r="N120" s="8"/>
      <c r="O120" s="8">
        <v>14.24090596920527</v>
      </c>
      <c r="P120" s="8"/>
      <c r="Q120" t="s">
        <v>26</v>
      </c>
    </row>
    <row r="121" spans="1:17" hidden="1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21</v>
      </c>
      <c r="F121" s="7" t="s">
        <v>59</v>
      </c>
      <c r="G121" s="7" t="s">
        <v>60</v>
      </c>
      <c r="H121" s="7" t="s">
        <v>127</v>
      </c>
      <c r="I121" s="7" t="s">
        <v>128</v>
      </c>
      <c r="J121" s="8"/>
      <c r="K121" s="8"/>
      <c r="L121" s="8"/>
      <c r="M121" s="8"/>
      <c r="N121" s="8"/>
      <c r="O121" s="8">
        <v>2.789305832623977</v>
      </c>
      <c r="P121" s="8"/>
      <c r="Q121" t="s">
        <v>26</v>
      </c>
    </row>
    <row r="122" spans="1:17" hidden="1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21</v>
      </c>
      <c r="F122" s="7" t="s">
        <v>61</v>
      </c>
      <c r="G122" s="7" t="s">
        <v>62</v>
      </c>
      <c r="H122" s="7" t="s">
        <v>127</v>
      </c>
      <c r="I122" s="7" t="s">
        <v>128</v>
      </c>
      <c r="J122" s="8"/>
      <c r="K122" s="8"/>
      <c r="L122" s="8"/>
      <c r="M122" s="8"/>
      <c r="N122" s="8"/>
      <c r="O122" s="8">
        <v>0</v>
      </c>
      <c r="P122" s="8"/>
      <c r="Q122" t="s">
        <v>26</v>
      </c>
    </row>
    <row r="123" spans="1:17" hidden="1" x14ac:dyDescent="0.25">
      <c r="A123" s="7" t="s">
        <v>17</v>
      </c>
      <c r="B123" s="7" t="s">
        <v>18</v>
      </c>
      <c r="C123" s="7" t="s">
        <v>19</v>
      </c>
      <c r="D123" s="7"/>
      <c r="E123" s="7"/>
      <c r="F123" s="7" t="s">
        <v>63</v>
      </c>
      <c r="G123" s="7" t="s">
        <v>64</v>
      </c>
      <c r="H123" s="7" t="s">
        <v>127</v>
      </c>
      <c r="I123" s="7" t="s">
        <v>128</v>
      </c>
      <c r="J123" s="8"/>
      <c r="K123" s="8"/>
      <c r="L123" s="8"/>
      <c r="M123" s="8"/>
      <c r="N123" s="8"/>
      <c r="O123" s="8">
        <v>1.1588230662719283</v>
      </c>
      <c r="P123" s="8"/>
      <c r="Q123" t="s">
        <v>26</v>
      </c>
    </row>
    <row r="124" spans="1:17" hidden="1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21</v>
      </c>
      <c r="F124" s="7" t="s">
        <v>65</v>
      </c>
      <c r="G124" s="7" t="s">
        <v>66</v>
      </c>
      <c r="H124" s="7" t="s">
        <v>127</v>
      </c>
      <c r="I124" s="7" t="s">
        <v>128</v>
      </c>
      <c r="J124" s="8"/>
      <c r="K124" s="8"/>
      <c r="L124" s="8"/>
      <c r="M124" s="8"/>
      <c r="N124" s="8"/>
      <c r="O124" s="8">
        <v>1.0835973199079305</v>
      </c>
      <c r="P124" s="8"/>
      <c r="Q124" t="s">
        <v>26</v>
      </c>
    </row>
    <row r="125" spans="1:17" hidden="1" x14ac:dyDescent="0.25">
      <c r="A125" s="7" t="s">
        <v>17</v>
      </c>
      <c r="B125" s="7" t="s">
        <v>18</v>
      </c>
      <c r="C125" s="7" t="s">
        <v>19</v>
      </c>
      <c r="D125" s="7"/>
      <c r="E125" s="7"/>
      <c r="F125" s="7" t="s">
        <v>67</v>
      </c>
      <c r="G125" s="7" t="s">
        <v>68</v>
      </c>
      <c r="H125" s="7" t="s">
        <v>127</v>
      </c>
      <c r="I125" s="7" t="s">
        <v>128</v>
      </c>
      <c r="J125" s="8"/>
      <c r="K125" s="8"/>
      <c r="L125" s="8"/>
      <c r="M125" s="8"/>
      <c r="N125" s="8"/>
      <c r="O125" s="8">
        <v>3.8374493686705922</v>
      </c>
      <c r="P125" s="8"/>
      <c r="Q125" t="s">
        <v>26</v>
      </c>
    </row>
    <row r="126" spans="1:17" hidden="1" x14ac:dyDescent="0.25">
      <c r="A126" s="7" t="s">
        <v>17</v>
      </c>
      <c r="B126" s="7" t="s">
        <v>18</v>
      </c>
      <c r="C126" s="7" t="s">
        <v>19</v>
      </c>
      <c r="D126" s="7"/>
      <c r="E126" s="7"/>
      <c r="F126" s="7" t="s">
        <v>69</v>
      </c>
      <c r="G126" s="7" t="s">
        <v>70</v>
      </c>
      <c r="H126" s="7" t="s">
        <v>127</v>
      </c>
      <c r="I126" s="7" t="s">
        <v>128</v>
      </c>
      <c r="J126" s="8"/>
      <c r="K126" s="8"/>
      <c r="L126" s="8"/>
      <c r="M126" s="8"/>
      <c r="N126" s="8"/>
      <c r="O126" s="8">
        <v>0.5026136343539932</v>
      </c>
      <c r="P126" s="8"/>
      <c r="Q126" t="s">
        <v>26</v>
      </c>
    </row>
    <row r="127" spans="1:17" hidden="1" x14ac:dyDescent="0.25">
      <c r="A127" s="7" t="s">
        <v>17</v>
      </c>
      <c r="B127" s="7" t="s">
        <v>18</v>
      </c>
      <c r="C127" s="7" t="s">
        <v>19</v>
      </c>
      <c r="D127" s="7"/>
      <c r="E127" s="7"/>
      <c r="F127" s="7" t="s">
        <v>71</v>
      </c>
      <c r="G127" s="7" t="s">
        <v>72</v>
      </c>
      <c r="H127" s="7" t="s">
        <v>127</v>
      </c>
      <c r="I127" s="7" t="s">
        <v>128</v>
      </c>
      <c r="J127" s="8"/>
      <c r="K127" s="8"/>
      <c r="L127" s="8"/>
      <c r="M127" s="8"/>
      <c r="N127" s="8"/>
      <c r="O127" s="8">
        <v>2.4385830838784353</v>
      </c>
      <c r="P127" s="8"/>
      <c r="Q127" t="s">
        <v>26</v>
      </c>
    </row>
    <row r="128" spans="1:17" hidden="1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21</v>
      </c>
      <c r="F128" s="7" t="s">
        <v>73</v>
      </c>
      <c r="G128" s="7" t="s">
        <v>74</v>
      </c>
      <c r="H128" s="7" t="s">
        <v>127</v>
      </c>
      <c r="I128" s="7" t="s">
        <v>128</v>
      </c>
      <c r="J128" s="8"/>
      <c r="K128" s="8"/>
      <c r="L128" s="8"/>
      <c r="M128" s="8"/>
      <c r="N128" s="8"/>
      <c r="O128" s="8">
        <v>0.40666342544906858</v>
      </c>
      <c r="P128" s="8"/>
      <c r="Q128" t="s">
        <v>26</v>
      </c>
    </row>
    <row r="129" spans="1:17" hidden="1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21</v>
      </c>
      <c r="F129" s="7" t="s">
        <v>75</v>
      </c>
      <c r="G129" s="7" t="s">
        <v>76</v>
      </c>
      <c r="H129" s="7" t="s">
        <v>127</v>
      </c>
      <c r="I129" s="7" t="s">
        <v>128</v>
      </c>
      <c r="J129" s="8"/>
      <c r="K129" s="8"/>
      <c r="L129" s="8"/>
      <c r="M129" s="8"/>
      <c r="N129" s="8"/>
      <c r="O129" s="8">
        <v>0.29207098253902181</v>
      </c>
      <c r="P129" s="8"/>
      <c r="Q129" t="s">
        <v>26</v>
      </c>
    </row>
    <row r="130" spans="1:17" hidden="1" x14ac:dyDescent="0.25">
      <c r="A130" s="7" t="s">
        <v>17</v>
      </c>
      <c r="B130" s="7" t="s">
        <v>18</v>
      </c>
      <c r="C130" s="7" t="s">
        <v>19</v>
      </c>
      <c r="D130" s="7"/>
      <c r="E130" s="7"/>
      <c r="F130" s="7" t="s">
        <v>77</v>
      </c>
      <c r="G130" s="7" t="s">
        <v>78</v>
      </c>
      <c r="H130" s="7" t="s">
        <v>127</v>
      </c>
      <c r="I130" s="7" t="s">
        <v>128</v>
      </c>
      <c r="J130" s="8"/>
      <c r="K130" s="8"/>
      <c r="L130" s="8"/>
      <c r="M130" s="8"/>
      <c r="N130" s="8"/>
      <c r="O130" s="8">
        <v>0.71131162733187592</v>
      </c>
      <c r="P130" s="8"/>
      <c r="Q130" t="s">
        <v>26</v>
      </c>
    </row>
    <row r="131" spans="1:17" hidden="1" x14ac:dyDescent="0.25">
      <c r="A131" s="7" t="s">
        <v>17</v>
      </c>
      <c r="B131" s="7" t="s">
        <v>18</v>
      </c>
      <c r="C131" s="7" t="s">
        <v>19</v>
      </c>
      <c r="D131" s="7"/>
      <c r="E131" s="7"/>
      <c r="F131" s="7" t="s">
        <v>79</v>
      </c>
      <c r="G131" s="7" t="s">
        <v>80</v>
      </c>
      <c r="H131" s="7" t="s">
        <v>127</v>
      </c>
      <c r="I131" s="7" t="s">
        <v>128</v>
      </c>
      <c r="J131" s="8"/>
      <c r="K131" s="8"/>
      <c r="L131" s="8"/>
      <c r="M131" s="8"/>
      <c r="N131" s="8"/>
      <c r="O131" s="8">
        <v>0.12577219343785626</v>
      </c>
      <c r="P131" s="8"/>
      <c r="Q131" t="s">
        <v>26</v>
      </c>
    </row>
    <row r="132" spans="1:17" hidden="1" x14ac:dyDescent="0.25">
      <c r="A132" s="7" t="s">
        <v>17</v>
      </c>
      <c r="B132" s="7" t="s">
        <v>18</v>
      </c>
      <c r="C132" s="7" t="s">
        <v>19</v>
      </c>
      <c r="D132" s="7"/>
      <c r="E132" s="7"/>
      <c r="F132" s="7" t="s">
        <v>81</v>
      </c>
      <c r="G132" s="7" t="s">
        <v>82</v>
      </c>
      <c r="H132" s="7" t="s">
        <v>127</v>
      </c>
      <c r="I132" s="7" t="s">
        <v>128</v>
      </c>
      <c r="J132" s="8"/>
      <c r="K132" s="8"/>
      <c r="L132" s="8"/>
      <c r="M132" s="8"/>
      <c r="N132" s="8"/>
      <c r="O132" s="8">
        <v>0.92791929380818394</v>
      </c>
      <c r="P132" s="8"/>
      <c r="Q132" t="s">
        <v>26</v>
      </c>
    </row>
    <row r="133" spans="1:17" hidden="1" x14ac:dyDescent="0.25">
      <c r="A133" s="7" t="s">
        <v>17</v>
      </c>
      <c r="B133" s="7" t="s">
        <v>18</v>
      </c>
      <c r="C133" s="7" t="s">
        <v>19</v>
      </c>
      <c r="D133" s="7"/>
      <c r="E133" s="7"/>
      <c r="F133" s="7" t="s">
        <v>83</v>
      </c>
      <c r="G133" s="7" t="s">
        <v>84</v>
      </c>
      <c r="H133" s="7" t="s">
        <v>127</v>
      </c>
      <c r="I133" s="7" t="s">
        <v>128</v>
      </c>
      <c r="J133" s="8"/>
      <c r="K133" s="8"/>
      <c r="L133" s="8"/>
      <c r="M133" s="8"/>
      <c r="N133" s="8"/>
      <c r="O133" s="8">
        <v>0.84267369603363695</v>
      </c>
      <c r="P133" s="8"/>
      <c r="Q133" t="s">
        <v>26</v>
      </c>
    </row>
    <row r="134" spans="1:17" hidden="1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21</v>
      </c>
      <c r="F134" s="7" t="s">
        <v>85</v>
      </c>
      <c r="G134" s="7" t="s">
        <v>86</v>
      </c>
      <c r="H134" s="7" t="s">
        <v>127</v>
      </c>
      <c r="I134" s="7" t="s">
        <v>128</v>
      </c>
      <c r="J134" s="8"/>
      <c r="K134" s="8"/>
      <c r="L134" s="8"/>
      <c r="M134" s="8"/>
      <c r="N134" s="8"/>
      <c r="O134" s="8">
        <v>0.93770157552001732</v>
      </c>
      <c r="P134" s="8"/>
      <c r="Q134" t="s">
        <v>26</v>
      </c>
    </row>
    <row r="135" spans="1:17" hidden="1" x14ac:dyDescent="0.25">
      <c r="A135" s="7" t="s">
        <v>17</v>
      </c>
      <c r="B135" s="7" t="s">
        <v>18</v>
      </c>
      <c r="C135" s="7" t="s">
        <v>19</v>
      </c>
      <c r="D135" s="7"/>
      <c r="E135" s="7"/>
      <c r="F135" s="7" t="s">
        <v>87</v>
      </c>
      <c r="G135" s="7" t="s">
        <v>88</v>
      </c>
      <c r="H135" s="7" t="s">
        <v>127</v>
      </c>
      <c r="I135" s="7" t="s">
        <v>128</v>
      </c>
      <c r="J135" s="8"/>
      <c r="K135" s="8"/>
      <c r="L135" s="8"/>
      <c r="M135" s="8"/>
      <c r="N135" s="8"/>
      <c r="O135" s="8">
        <v>2.1870386970027225</v>
      </c>
      <c r="P135" s="8"/>
      <c r="Q135" t="s">
        <v>26</v>
      </c>
    </row>
    <row r="136" spans="1:17" hidden="1" x14ac:dyDescent="0.25">
      <c r="A136" s="7" t="s">
        <v>17</v>
      </c>
      <c r="B136" s="7" t="s">
        <v>18</v>
      </c>
      <c r="C136" s="7" t="s">
        <v>19</v>
      </c>
      <c r="D136" s="7"/>
      <c r="E136" s="7"/>
      <c r="F136" s="7" t="s">
        <v>89</v>
      </c>
      <c r="G136" s="7" t="s">
        <v>90</v>
      </c>
      <c r="H136" s="7" t="s">
        <v>127</v>
      </c>
      <c r="I136" s="7" t="s">
        <v>128</v>
      </c>
      <c r="J136" s="8"/>
      <c r="K136" s="8"/>
      <c r="L136" s="8"/>
      <c r="M136" s="8"/>
      <c r="N136" s="8"/>
      <c r="O136" s="8">
        <v>6.712042723133596</v>
      </c>
      <c r="P136" s="8"/>
      <c r="Q136" t="s">
        <v>26</v>
      </c>
    </row>
    <row r="137" spans="1:17" hidden="1" x14ac:dyDescent="0.25">
      <c r="A137" s="7" t="s">
        <v>17</v>
      </c>
      <c r="B137" s="7" t="s">
        <v>18</v>
      </c>
      <c r="C137" s="7" t="s">
        <v>19</v>
      </c>
      <c r="D137" s="7"/>
      <c r="E137" s="7"/>
      <c r="F137" s="7" t="s">
        <v>91</v>
      </c>
      <c r="G137" s="7" t="s">
        <v>92</v>
      </c>
      <c r="H137" s="7" t="s">
        <v>127</v>
      </c>
      <c r="I137" s="7" t="s">
        <v>128</v>
      </c>
      <c r="J137" s="8"/>
      <c r="K137" s="8"/>
      <c r="L137" s="8"/>
      <c r="M137" s="8"/>
      <c r="N137" s="8"/>
      <c r="O137" s="8">
        <v>0.5188522219956363</v>
      </c>
      <c r="P137" s="8"/>
      <c r="Q137" t="s">
        <v>26</v>
      </c>
    </row>
    <row r="138" spans="1:17" hidden="1" x14ac:dyDescent="0.25">
      <c r="A138" s="7" t="s">
        <v>17</v>
      </c>
      <c r="B138" s="7" t="s">
        <v>18</v>
      </c>
      <c r="C138" s="7" t="s">
        <v>19</v>
      </c>
      <c r="D138" s="7"/>
      <c r="E138" s="7"/>
      <c r="F138" s="7" t="s">
        <v>93</v>
      </c>
      <c r="G138" s="7" t="s">
        <v>94</v>
      </c>
      <c r="H138" s="7" t="s">
        <v>127</v>
      </c>
      <c r="I138" s="7" t="s">
        <v>128</v>
      </c>
      <c r="J138" s="8"/>
      <c r="K138" s="8"/>
      <c r="L138" s="8"/>
      <c r="M138" s="8"/>
      <c r="N138" s="8"/>
      <c r="O138" s="8">
        <v>0.41644570716090185</v>
      </c>
      <c r="P138" s="8"/>
      <c r="Q138" t="s">
        <v>26</v>
      </c>
    </row>
    <row r="139" spans="1:17" hidden="1" x14ac:dyDescent="0.25">
      <c r="A139" s="7" t="s">
        <v>17</v>
      </c>
      <c r="B139" s="7" t="s">
        <v>18</v>
      </c>
      <c r="C139" s="7" t="s">
        <v>19</v>
      </c>
      <c r="D139" s="7"/>
      <c r="E139" s="7"/>
      <c r="F139" s="7" t="s">
        <v>95</v>
      </c>
      <c r="G139" s="7" t="s">
        <v>96</v>
      </c>
      <c r="H139" s="7" t="s">
        <v>127</v>
      </c>
      <c r="I139" s="7" t="s">
        <v>128</v>
      </c>
      <c r="J139" s="8"/>
      <c r="K139" s="8"/>
      <c r="L139" s="8"/>
      <c r="M139" s="8"/>
      <c r="N139" s="8"/>
      <c r="O139" s="8">
        <v>1.6406283899560361</v>
      </c>
      <c r="P139" s="8"/>
      <c r="Q139" t="s">
        <v>26</v>
      </c>
    </row>
    <row r="140" spans="1:17" hidden="1" x14ac:dyDescent="0.25">
      <c r="A140" s="7" t="s">
        <v>17</v>
      </c>
      <c r="B140" s="7" t="s">
        <v>18</v>
      </c>
      <c r="C140" s="7" t="s">
        <v>19</v>
      </c>
      <c r="D140" s="7"/>
      <c r="E140" s="7"/>
      <c r="F140" s="7" t="s">
        <v>97</v>
      </c>
      <c r="G140" s="7" t="s">
        <v>98</v>
      </c>
      <c r="H140" s="7" t="s">
        <v>127</v>
      </c>
      <c r="I140" s="7" t="s">
        <v>128</v>
      </c>
      <c r="J140" s="8"/>
      <c r="K140" s="8"/>
      <c r="L140" s="8"/>
      <c r="M140" s="8"/>
      <c r="N140" s="8"/>
      <c r="O140" s="8">
        <v>3.4599231680346265</v>
      </c>
      <c r="P140" s="8"/>
      <c r="Q140" t="s">
        <v>26</v>
      </c>
    </row>
    <row r="141" spans="1:17" hidden="1" x14ac:dyDescent="0.25">
      <c r="A141" s="7" t="s">
        <v>17</v>
      </c>
      <c r="B141" s="7" t="s">
        <v>18</v>
      </c>
      <c r="C141" s="7" t="s">
        <v>19</v>
      </c>
      <c r="D141" s="7"/>
      <c r="E141" s="7"/>
      <c r="F141" s="7" t="s">
        <v>99</v>
      </c>
      <c r="G141" s="7" t="s">
        <v>100</v>
      </c>
      <c r="H141" s="7" t="s">
        <v>127</v>
      </c>
      <c r="I141" s="7" t="s">
        <v>128</v>
      </c>
      <c r="J141" s="8"/>
      <c r="K141" s="8"/>
      <c r="L141" s="8"/>
      <c r="M141" s="8"/>
      <c r="N141" s="8"/>
      <c r="O141" s="8">
        <v>4.1518798522652327</v>
      </c>
      <c r="P141" s="8"/>
      <c r="Q141" t="s">
        <v>26</v>
      </c>
    </row>
    <row r="142" spans="1:17" hidden="1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21</v>
      </c>
      <c r="F142" s="7" t="s">
        <v>101</v>
      </c>
      <c r="G142" s="7" t="s">
        <v>21</v>
      </c>
      <c r="H142" s="7" t="s">
        <v>127</v>
      </c>
      <c r="I142" s="7" t="s">
        <v>128</v>
      </c>
      <c r="J142" s="8"/>
      <c r="K142" s="8"/>
      <c r="L142" s="8"/>
      <c r="M142" s="8"/>
      <c r="N142" s="8"/>
      <c r="O142" s="8">
        <v>9.0835473038451742E-2</v>
      </c>
      <c r="P142" s="8"/>
      <c r="Q142" t="s">
        <v>26</v>
      </c>
    </row>
    <row r="143" spans="1:17" hidden="1" x14ac:dyDescent="0.25">
      <c r="A143" s="7" t="s">
        <v>17</v>
      </c>
      <c r="B143" s="7" t="s">
        <v>18</v>
      </c>
      <c r="C143" s="7" t="s">
        <v>19</v>
      </c>
      <c r="D143" s="7"/>
      <c r="E143" s="7"/>
      <c r="F143" s="7" t="s">
        <v>102</v>
      </c>
      <c r="G143" s="7" t="s">
        <v>103</v>
      </c>
      <c r="H143" s="7" t="s">
        <v>127</v>
      </c>
      <c r="I143" s="7" t="s">
        <v>128</v>
      </c>
      <c r="J143" s="8"/>
      <c r="K143" s="8"/>
      <c r="L143" s="8"/>
      <c r="M143" s="8"/>
      <c r="N143" s="8"/>
      <c r="O143" s="8">
        <v>0.93909904433599356</v>
      </c>
      <c r="P143" s="8"/>
      <c r="Q143" t="s">
        <v>26</v>
      </c>
    </row>
    <row r="144" spans="1:17" hidden="1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21</v>
      </c>
      <c r="F144" s="7" t="s">
        <v>104</v>
      </c>
      <c r="G144" s="7" t="s">
        <v>105</v>
      </c>
      <c r="H144" s="7" t="s">
        <v>127</v>
      </c>
      <c r="I144" s="7" t="s">
        <v>128</v>
      </c>
      <c r="J144" s="8"/>
      <c r="K144" s="8"/>
      <c r="L144" s="8"/>
      <c r="M144" s="8"/>
      <c r="N144" s="8"/>
      <c r="O144" s="8">
        <v>1.3117620534923617</v>
      </c>
      <c r="P144" s="8"/>
      <c r="Q144" t="s">
        <v>26</v>
      </c>
    </row>
    <row r="145" spans="1:17" hidden="1" x14ac:dyDescent="0.25">
      <c r="A145" s="7" t="s">
        <v>17</v>
      </c>
      <c r="B145" s="7" t="s">
        <v>18</v>
      </c>
      <c r="C145" s="7" t="s">
        <v>19</v>
      </c>
      <c r="D145" s="7"/>
      <c r="E145" s="7"/>
      <c r="F145" s="7" t="s">
        <v>106</v>
      </c>
      <c r="G145" s="7" t="s">
        <v>107</v>
      </c>
      <c r="H145" s="7" t="s">
        <v>127</v>
      </c>
      <c r="I145" s="7" t="s">
        <v>128</v>
      </c>
      <c r="J145" s="8"/>
      <c r="K145" s="8"/>
      <c r="L145" s="8"/>
      <c r="M145" s="8"/>
      <c r="N145" s="8"/>
      <c r="O145" s="8">
        <v>2.4553107856056702</v>
      </c>
      <c r="P145" s="8"/>
      <c r="Q145" t="s">
        <v>26</v>
      </c>
    </row>
    <row r="146" spans="1:17" hidden="1" x14ac:dyDescent="0.25">
      <c r="A146" s="7" t="s">
        <v>17</v>
      </c>
      <c r="B146" s="7" t="s">
        <v>18</v>
      </c>
      <c r="C146" s="7" t="s">
        <v>19</v>
      </c>
      <c r="D146" s="7"/>
      <c r="E146" s="7"/>
      <c r="F146" s="7" t="s">
        <v>108</v>
      </c>
      <c r="G146" s="7" t="s">
        <v>109</v>
      </c>
      <c r="H146" s="7" t="s">
        <v>127</v>
      </c>
      <c r="I146" s="7" t="s">
        <v>128</v>
      </c>
      <c r="J146" s="8"/>
      <c r="K146" s="8"/>
      <c r="L146" s="8"/>
      <c r="M146" s="8"/>
      <c r="N146" s="8"/>
      <c r="O146" s="8">
        <v>1.213002932267325</v>
      </c>
      <c r="P146" s="8"/>
      <c r="Q146" t="s">
        <v>26</v>
      </c>
    </row>
    <row r="147" spans="1:17" hidden="1" x14ac:dyDescent="0.25">
      <c r="A147" s="7" t="s">
        <v>17</v>
      </c>
      <c r="B147" s="7" t="s">
        <v>18</v>
      </c>
      <c r="C147" s="7" t="s">
        <v>19</v>
      </c>
      <c r="D147" s="7"/>
      <c r="E147" s="7"/>
      <c r="F147" s="7" t="s">
        <v>110</v>
      </c>
      <c r="G147" s="7" t="s">
        <v>111</v>
      </c>
      <c r="H147" s="7" t="s">
        <v>127</v>
      </c>
      <c r="I147" s="7" t="s">
        <v>128</v>
      </c>
      <c r="J147" s="8"/>
      <c r="K147" s="8"/>
      <c r="L147" s="8"/>
      <c r="M147" s="8"/>
      <c r="N147" s="8"/>
      <c r="O147" s="8">
        <v>1.5310668347835035</v>
      </c>
      <c r="P147" s="8"/>
      <c r="Q147" t="s">
        <v>26</v>
      </c>
    </row>
    <row r="148" spans="1:17" hidden="1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21</v>
      </c>
      <c r="F148" s="7" t="s">
        <v>112</v>
      </c>
      <c r="G148" s="7" t="s">
        <v>113</v>
      </c>
      <c r="H148" s="7" t="s">
        <v>127</v>
      </c>
      <c r="I148" s="7" t="s">
        <v>128</v>
      </c>
      <c r="J148" s="8"/>
      <c r="K148" s="8"/>
      <c r="L148" s="8"/>
      <c r="M148" s="8"/>
      <c r="N148" s="8"/>
      <c r="O148" s="8">
        <v>2.4972767741494351</v>
      </c>
      <c r="P148" s="8"/>
      <c r="Q148" t="s">
        <v>26</v>
      </c>
    </row>
    <row r="149" spans="1:17" hidden="1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21</v>
      </c>
      <c r="F149" s="7" t="s">
        <v>114</v>
      </c>
      <c r="G149" s="7" t="s">
        <v>115</v>
      </c>
      <c r="H149" s="7" t="s">
        <v>127</v>
      </c>
      <c r="I149" s="7" t="s">
        <v>128</v>
      </c>
      <c r="J149" s="8"/>
      <c r="K149" s="8"/>
      <c r="L149" s="8"/>
      <c r="M149" s="8"/>
      <c r="N149" s="8"/>
      <c r="O149" s="8">
        <v>9.7822817118332645E-3</v>
      </c>
      <c r="P149" s="8"/>
      <c r="Q149" t="s">
        <v>26</v>
      </c>
    </row>
    <row r="150" spans="1:17" hidden="1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21</v>
      </c>
      <c r="F150" s="7" t="s">
        <v>116</v>
      </c>
      <c r="G150" s="7" t="s">
        <v>117</v>
      </c>
      <c r="H150" s="7" t="s">
        <v>127</v>
      </c>
      <c r="I150" s="7" t="s">
        <v>128</v>
      </c>
      <c r="J150" s="8"/>
      <c r="K150" s="8"/>
      <c r="L150" s="8"/>
      <c r="M150" s="8"/>
      <c r="N150" s="8"/>
      <c r="O150" s="8">
        <v>9.7822817118332656E-2</v>
      </c>
      <c r="P150" s="8"/>
      <c r="Q150" t="s">
        <v>26</v>
      </c>
    </row>
    <row r="151" spans="1:17" hidden="1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21</v>
      </c>
      <c r="F151" s="7" t="s">
        <v>118</v>
      </c>
      <c r="G151" s="7" t="s">
        <v>119</v>
      </c>
      <c r="H151" s="7" t="s">
        <v>127</v>
      </c>
      <c r="I151" s="7" t="s">
        <v>128</v>
      </c>
      <c r="J151" s="8"/>
      <c r="K151" s="8"/>
      <c r="L151" s="8"/>
      <c r="M151" s="8"/>
      <c r="N151" s="8"/>
      <c r="O151" s="8">
        <v>0.43265634542622561</v>
      </c>
      <c r="P151" s="8"/>
      <c r="Q151" t="s">
        <v>26</v>
      </c>
    </row>
    <row r="152" spans="1:17" hidden="1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21</v>
      </c>
      <c r="F152" s="7" t="s">
        <v>120</v>
      </c>
      <c r="G152" s="7" t="s">
        <v>121</v>
      </c>
      <c r="H152" s="7" t="s">
        <v>127</v>
      </c>
      <c r="I152" s="7" t="s">
        <v>128</v>
      </c>
      <c r="J152" s="8"/>
      <c r="K152" s="8"/>
      <c r="L152" s="8"/>
      <c r="M152" s="8"/>
      <c r="N152" s="8"/>
      <c r="O152" s="8">
        <v>1.7454385511542498</v>
      </c>
      <c r="P152" s="8"/>
      <c r="Q152" t="s">
        <v>26</v>
      </c>
    </row>
    <row r="153" spans="1:17" hidden="1" x14ac:dyDescent="0.25">
      <c r="A153" s="7" t="s">
        <v>17</v>
      </c>
      <c r="B153" s="7" t="s">
        <v>18</v>
      </c>
      <c r="C153" s="7" t="s">
        <v>19</v>
      </c>
      <c r="D153" s="7"/>
      <c r="E153" s="7"/>
      <c r="F153" s="7" t="s">
        <v>122</v>
      </c>
      <c r="G153" s="7" t="s">
        <v>123</v>
      </c>
      <c r="H153" s="7" t="s">
        <v>127</v>
      </c>
      <c r="I153" s="7" t="s">
        <v>128</v>
      </c>
      <c r="J153" s="8"/>
      <c r="K153" s="8"/>
      <c r="L153" s="8"/>
      <c r="M153" s="8"/>
      <c r="N153" s="8"/>
      <c r="O153" s="8">
        <v>1.8055297102412253</v>
      </c>
      <c r="P153" s="8"/>
      <c r="Q153" t="s">
        <v>26</v>
      </c>
    </row>
    <row r="154" spans="1:17" hidden="1" x14ac:dyDescent="0.25">
      <c r="A154" s="7" t="s">
        <v>17</v>
      </c>
      <c r="B154" s="7" t="s">
        <v>18</v>
      </c>
      <c r="C154" s="7" t="s">
        <v>19</v>
      </c>
      <c r="D154" s="7"/>
      <c r="E154" s="7"/>
      <c r="F154" s="7" t="s">
        <v>124</v>
      </c>
      <c r="G154" s="7" t="s">
        <v>125</v>
      </c>
      <c r="H154" s="7" t="s">
        <v>127</v>
      </c>
      <c r="I154" s="7" t="s">
        <v>128</v>
      </c>
      <c r="J154" s="8"/>
      <c r="K154" s="8"/>
      <c r="L154" s="8"/>
      <c r="M154" s="8"/>
      <c r="N154" s="8"/>
      <c r="O154" s="8">
        <v>0.93770157552001721</v>
      </c>
      <c r="P154" s="8"/>
      <c r="Q154" t="s">
        <v>26</v>
      </c>
    </row>
    <row r="155" spans="1:17" hidden="1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21</v>
      </c>
      <c r="F155" s="7" t="s">
        <v>22</v>
      </c>
      <c r="G155" s="7" t="s">
        <v>23</v>
      </c>
      <c r="H155" s="7" t="s">
        <v>127</v>
      </c>
      <c r="I155" s="7" t="s">
        <v>129</v>
      </c>
      <c r="J155" s="8"/>
      <c r="K155" s="8"/>
      <c r="L155" s="8"/>
      <c r="M155" s="8"/>
      <c r="N155" s="8"/>
      <c r="O155" s="8">
        <v>0</v>
      </c>
      <c r="P155" s="8"/>
      <c r="Q155" t="s">
        <v>26</v>
      </c>
    </row>
    <row r="156" spans="1:17" hidden="1" x14ac:dyDescent="0.25">
      <c r="A156" s="7" t="s">
        <v>17</v>
      </c>
      <c r="B156" s="7" t="s">
        <v>18</v>
      </c>
      <c r="C156" s="7" t="s">
        <v>19</v>
      </c>
      <c r="D156" s="7"/>
      <c r="E156" s="7"/>
      <c r="F156" s="7" t="s">
        <v>27</v>
      </c>
      <c r="G156" s="7" t="s">
        <v>28</v>
      </c>
      <c r="H156" s="7" t="s">
        <v>127</v>
      </c>
      <c r="I156" s="7" t="s">
        <v>129</v>
      </c>
      <c r="J156" s="8"/>
      <c r="K156" s="8"/>
      <c r="L156" s="8"/>
      <c r="M156" s="8"/>
      <c r="N156" s="8"/>
      <c r="O156" s="8">
        <v>0</v>
      </c>
      <c r="P156" s="8"/>
      <c r="Q156" t="s">
        <v>26</v>
      </c>
    </row>
    <row r="157" spans="1:17" hidden="1" x14ac:dyDescent="0.25">
      <c r="A157" s="7" t="s">
        <v>17</v>
      </c>
      <c r="B157" s="7" t="s">
        <v>18</v>
      </c>
      <c r="C157" s="7" t="s">
        <v>19</v>
      </c>
      <c r="D157" s="7"/>
      <c r="E157" s="7"/>
      <c r="F157" s="7" t="s">
        <v>29</v>
      </c>
      <c r="G157" s="7" t="s">
        <v>30</v>
      </c>
      <c r="H157" s="7" t="s">
        <v>127</v>
      </c>
      <c r="I157" s="7" t="s">
        <v>129</v>
      </c>
      <c r="J157" s="8"/>
      <c r="K157" s="8"/>
      <c r="L157" s="8"/>
      <c r="M157" s="8"/>
      <c r="N157" s="8"/>
      <c r="O157" s="8">
        <v>0</v>
      </c>
      <c r="P157" s="8"/>
      <c r="Q157" t="s">
        <v>26</v>
      </c>
    </row>
    <row r="158" spans="1:17" hidden="1" x14ac:dyDescent="0.25">
      <c r="A158" s="7" t="s">
        <v>17</v>
      </c>
      <c r="B158" s="7" t="s">
        <v>18</v>
      </c>
      <c r="C158" s="7" t="s">
        <v>19</v>
      </c>
      <c r="D158" s="7"/>
      <c r="E158" s="7"/>
      <c r="F158" s="7" t="s">
        <v>31</v>
      </c>
      <c r="G158" s="7" t="s">
        <v>32</v>
      </c>
      <c r="H158" s="7" t="s">
        <v>127</v>
      </c>
      <c r="I158" s="7" t="s">
        <v>129</v>
      </c>
      <c r="J158" s="8"/>
      <c r="K158" s="8"/>
      <c r="L158" s="8"/>
      <c r="M158" s="8"/>
      <c r="N158" s="8"/>
      <c r="O158" s="8">
        <v>7.775947952686664E-2</v>
      </c>
      <c r="P158" s="8"/>
      <c r="Q158" t="s">
        <v>26</v>
      </c>
    </row>
    <row r="159" spans="1:17" hidden="1" x14ac:dyDescent="0.25">
      <c r="A159" s="7" t="s">
        <v>17</v>
      </c>
      <c r="B159" s="7" t="s">
        <v>18</v>
      </c>
      <c r="C159" s="7" t="s">
        <v>19</v>
      </c>
      <c r="D159" s="7"/>
      <c r="E159" s="7"/>
      <c r="F159" s="7" t="s">
        <v>33</v>
      </c>
      <c r="G159" s="7" t="s">
        <v>34</v>
      </c>
      <c r="H159" s="7" t="s">
        <v>127</v>
      </c>
      <c r="I159" s="7" t="s">
        <v>129</v>
      </c>
      <c r="J159" s="8"/>
      <c r="K159" s="8"/>
      <c r="L159" s="8"/>
      <c r="M159" s="8"/>
      <c r="N159" s="8"/>
      <c r="O159" s="8">
        <v>2.5919826508955548E-2</v>
      </c>
      <c r="P159" s="8"/>
      <c r="Q159" t="s">
        <v>26</v>
      </c>
    </row>
    <row r="160" spans="1:17" hidden="1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21</v>
      </c>
      <c r="F160" s="7" t="s">
        <v>35</v>
      </c>
      <c r="G160" s="7" t="s">
        <v>36</v>
      </c>
      <c r="H160" s="7" t="s">
        <v>127</v>
      </c>
      <c r="I160" s="7" t="s">
        <v>129</v>
      </c>
      <c r="J160" s="8"/>
      <c r="K160" s="8"/>
      <c r="L160" s="8"/>
      <c r="M160" s="8"/>
      <c r="N160" s="8"/>
      <c r="O160" s="8">
        <v>1.2506316290571045</v>
      </c>
      <c r="P160" s="8"/>
      <c r="Q160" t="s">
        <v>26</v>
      </c>
    </row>
    <row r="161" spans="1:17" hidden="1" x14ac:dyDescent="0.25">
      <c r="A161" s="7" t="s">
        <v>17</v>
      </c>
      <c r="B161" s="7" t="s">
        <v>18</v>
      </c>
      <c r="C161" s="7" t="s">
        <v>19</v>
      </c>
      <c r="D161" s="7"/>
      <c r="E161" s="7"/>
      <c r="F161" s="7" t="s">
        <v>37</v>
      </c>
      <c r="G161" s="7" t="s">
        <v>38</v>
      </c>
      <c r="H161" s="7" t="s">
        <v>127</v>
      </c>
      <c r="I161" s="7" t="s">
        <v>129</v>
      </c>
      <c r="J161" s="8"/>
      <c r="K161" s="8"/>
      <c r="L161" s="8"/>
      <c r="M161" s="8"/>
      <c r="N161" s="8"/>
      <c r="O161" s="8">
        <v>2.5919826508955548E-2</v>
      </c>
      <c r="P161" s="8"/>
      <c r="Q161" t="s">
        <v>26</v>
      </c>
    </row>
    <row r="162" spans="1:17" hidden="1" x14ac:dyDescent="0.25">
      <c r="A162" s="7" t="s">
        <v>17</v>
      </c>
      <c r="B162" s="7" t="s">
        <v>18</v>
      </c>
      <c r="C162" s="7" t="s">
        <v>19</v>
      </c>
      <c r="D162" s="7"/>
      <c r="E162" s="7"/>
      <c r="F162" s="7" t="s">
        <v>39</v>
      </c>
      <c r="G162" s="7" t="s">
        <v>40</v>
      </c>
      <c r="H162" s="7" t="s">
        <v>127</v>
      </c>
      <c r="I162" s="7" t="s">
        <v>129</v>
      </c>
      <c r="J162" s="8"/>
      <c r="K162" s="8"/>
      <c r="L162" s="8"/>
      <c r="M162" s="8"/>
      <c r="N162" s="8"/>
      <c r="O162" s="8">
        <v>0</v>
      </c>
      <c r="P162" s="8"/>
      <c r="Q162" t="s">
        <v>26</v>
      </c>
    </row>
    <row r="163" spans="1:17" hidden="1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21</v>
      </c>
      <c r="F163" s="7" t="s">
        <v>41</v>
      </c>
      <c r="G163" s="7" t="s">
        <v>42</v>
      </c>
      <c r="H163" s="7" t="s">
        <v>127</v>
      </c>
      <c r="I163" s="7" t="s">
        <v>129</v>
      </c>
      <c r="J163" s="8"/>
      <c r="K163" s="8"/>
      <c r="L163" s="8"/>
      <c r="M163" s="8"/>
      <c r="N163" s="8"/>
      <c r="O163" s="8">
        <v>0.3110379181074665</v>
      </c>
      <c r="P163" s="8"/>
      <c r="Q163" t="s">
        <v>26</v>
      </c>
    </row>
    <row r="164" spans="1:17" hidden="1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21</v>
      </c>
      <c r="F164" s="7" t="s">
        <v>43</v>
      </c>
      <c r="G164" s="7" t="s">
        <v>44</v>
      </c>
      <c r="H164" s="7" t="s">
        <v>127</v>
      </c>
      <c r="I164" s="7" t="s">
        <v>129</v>
      </c>
      <c r="J164" s="8"/>
      <c r="K164" s="8"/>
      <c r="L164" s="8"/>
      <c r="M164" s="8"/>
      <c r="N164" s="8"/>
      <c r="O164" s="8">
        <v>2.5919826508955548E-2</v>
      </c>
      <c r="P164" s="8"/>
      <c r="Q164" t="s">
        <v>26</v>
      </c>
    </row>
    <row r="165" spans="1:17" hidden="1" x14ac:dyDescent="0.25">
      <c r="A165" s="7" t="s">
        <v>17</v>
      </c>
      <c r="B165" s="7" t="s">
        <v>18</v>
      </c>
      <c r="C165" s="7" t="s">
        <v>19</v>
      </c>
      <c r="D165" s="7"/>
      <c r="E165" s="7"/>
      <c r="F165" s="7" t="s">
        <v>45</v>
      </c>
      <c r="G165" s="7" t="s">
        <v>46</v>
      </c>
      <c r="H165" s="7" t="s">
        <v>127</v>
      </c>
      <c r="I165" s="7" t="s">
        <v>129</v>
      </c>
      <c r="J165" s="8"/>
      <c r="K165" s="8"/>
      <c r="L165" s="8"/>
      <c r="M165" s="8"/>
      <c r="N165" s="8"/>
      <c r="O165" s="8">
        <v>2.5919826508955548E-2</v>
      </c>
      <c r="P165" s="8"/>
      <c r="Q165" t="s">
        <v>26</v>
      </c>
    </row>
    <row r="166" spans="1:17" hidden="1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21</v>
      </c>
      <c r="F166" s="7" t="s">
        <v>47</v>
      </c>
      <c r="G166" s="7" t="s">
        <v>48</v>
      </c>
      <c r="H166" s="7" t="s">
        <v>127</v>
      </c>
      <c r="I166" s="7" t="s">
        <v>129</v>
      </c>
      <c r="J166" s="8"/>
      <c r="K166" s="8"/>
      <c r="L166" s="8"/>
      <c r="M166" s="8"/>
      <c r="N166" s="8"/>
      <c r="O166" s="8">
        <v>2.5919826508955548E-2</v>
      </c>
      <c r="P166" s="8"/>
      <c r="Q166" t="s">
        <v>26</v>
      </c>
    </row>
    <row r="167" spans="1:17" hidden="1" x14ac:dyDescent="0.25">
      <c r="A167" s="7" t="s">
        <v>17</v>
      </c>
      <c r="B167" s="7" t="s">
        <v>18</v>
      </c>
      <c r="C167" s="7" t="s">
        <v>19</v>
      </c>
      <c r="D167" s="7"/>
      <c r="E167" s="7"/>
      <c r="F167" s="7" t="s">
        <v>49</v>
      </c>
      <c r="G167" s="7" t="s">
        <v>50</v>
      </c>
      <c r="H167" s="7" t="s">
        <v>127</v>
      </c>
      <c r="I167" s="7" t="s">
        <v>129</v>
      </c>
      <c r="J167" s="8"/>
      <c r="K167" s="8"/>
      <c r="L167" s="8"/>
      <c r="M167" s="8"/>
      <c r="N167" s="8"/>
      <c r="O167" s="8">
        <v>2.5919826508955548E-2</v>
      </c>
      <c r="P167" s="8"/>
      <c r="Q167" t="s">
        <v>26</v>
      </c>
    </row>
    <row r="168" spans="1:17" hidden="1" x14ac:dyDescent="0.25">
      <c r="A168" s="7" t="s">
        <v>17</v>
      </c>
      <c r="B168" s="7" t="s">
        <v>18</v>
      </c>
      <c r="C168" s="7" t="s">
        <v>19</v>
      </c>
      <c r="D168" s="7"/>
      <c r="E168" s="7"/>
      <c r="F168" s="7" t="s">
        <v>51</v>
      </c>
      <c r="G168" s="7" t="s">
        <v>52</v>
      </c>
      <c r="H168" s="7" t="s">
        <v>127</v>
      </c>
      <c r="I168" s="7" t="s">
        <v>129</v>
      </c>
      <c r="J168" s="8"/>
      <c r="K168" s="8"/>
      <c r="L168" s="8"/>
      <c r="M168" s="8"/>
      <c r="N168" s="8"/>
      <c r="O168" s="8">
        <v>7.775947952686664E-2</v>
      </c>
      <c r="P168" s="8"/>
      <c r="Q168" t="s">
        <v>26</v>
      </c>
    </row>
    <row r="169" spans="1:17" hidden="1" x14ac:dyDescent="0.25">
      <c r="A169" s="7" t="s">
        <v>17</v>
      </c>
      <c r="B169" s="7" t="s">
        <v>18</v>
      </c>
      <c r="C169" s="7" t="s">
        <v>19</v>
      </c>
      <c r="D169" s="7"/>
      <c r="E169" s="7"/>
      <c r="F169" s="7" t="s">
        <v>53</v>
      </c>
      <c r="G169" s="7" t="s">
        <v>54</v>
      </c>
      <c r="H169" s="7" t="s">
        <v>127</v>
      </c>
      <c r="I169" s="7" t="s">
        <v>129</v>
      </c>
      <c r="J169" s="8"/>
      <c r="K169" s="8"/>
      <c r="L169" s="8"/>
      <c r="M169" s="8"/>
      <c r="N169" s="8"/>
      <c r="O169" s="8">
        <v>0</v>
      </c>
      <c r="P169" s="8"/>
      <c r="Q169" t="s">
        <v>26</v>
      </c>
    </row>
    <row r="170" spans="1:17" hidden="1" x14ac:dyDescent="0.25">
      <c r="A170" s="7" t="s">
        <v>17</v>
      </c>
      <c r="B170" s="7" t="s">
        <v>18</v>
      </c>
      <c r="C170" s="7" t="s">
        <v>19</v>
      </c>
      <c r="D170" s="7"/>
      <c r="E170" s="7"/>
      <c r="F170" s="7" t="s">
        <v>55</v>
      </c>
      <c r="G170" s="7" t="s">
        <v>56</v>
      </c>
      <c r="H170" s="7" t="s">
        <v>127</v>
      </c>
      <c r="I170" s="7" t="s">
        <v>129</v>
      </c>
      <c r="J170" s="8"/>
      <c r="K170" s="8"/>
      <c r="L170" s="8"/>
      <c r="M170" s="8"/>
      <c r="N170" s="8"/>
      <c r="O170" s="8">
        <v>0</v>
      </c>
      <c r="P170" s="8"/>
      <c r="Q170" t="s">
        <v>26</v>
      </c>
    </row>
    <row r="171" spans="1:17" hidden="1" x14ac:dyDescent="0.25">
      <c r="A171" s="7" t="s">
        <v>17</v>
      </c>
      <c r="B171" s="7" t="s">
        <v>18</v>
      </c>
      <c r="C171" s="7" t="s">
        <v>19</v>
      </c>
      <c r="D171" s="7"/>
      <c r="E171" s="7"/>
      <c r="F171" s="7" t="s">
        <v>57</v>
      </c>
      <c r="G171" s="7" t="s">
        <v>58</v>
      </c>
      <c r="H171" s="7" t="s">
        <v>127</v>
      </c>
      <c r="I171" s="7" t="s">
        <v>129</v>
      </c>
      <c r="J171" s="8"/>
      <c r="K171" s="8"/>
      <c r="L171" s="8"/>
      <c r="M171" s="8"/>
      <c r="N171" s="8"/>
      <c r="O171" s="8">
        <v>2.5919826508955548E-2</v>
      </c>
      <c r="P171" s="8"/>
      <c r="Q171" t="s">
        <v>26</v>
      </c>
    </row>
    <row r="172" spans="1:17" hidden="1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21</v>
      </c>
      <c r="F172" s="7" t="s">
        <v>59</v>
      </c>
      <c r="G172" s="7" t="s">
        <v>60</v>
      </c>
      <c r="H172" s="7" t="s">
        <v>127</v>
      </c>
      <c r="I172" s="7" t="s">
        <v>129</v>
      </c>
      <c r="J172" s="8"/>
      <c r="K172" s="8"/>
      <c r="L172" s="8"/>
      <c r="M172" s="8"/>
      <c r="N172" s="8"/>
      <c r="O172" s="8">
        <v>0.20735861207164438</v>
      </c>
      <c r="P172" s="8"/>
      <c r="Q172" t="s">
        <v>26</v>
      </c>
    </row>
    <row r="173" spans="1:17" hidden="1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21</v>
      </c>
      <c r="F173" s="7" t="s">
        <v>61</v>
      </c>
      <c r="G173" s="7" t="s">
        <v>62</v>
      </c>
      <c r="H173" s="7" t="s">
        <v>127</v>
      </c>
      <c r="I173" s="7" t="s">
        <v>129</v>
      </c>
      <c r="J173" s="8"/>
      <c r="K173" s="8"/>
      <c r="L173" s="8"/>
      <c r="M173" s="8"/>
      <c r="N173" s="8"/>
      <c r="O173" s="8">
        <v>1.7431083327272601</v>
      </c>
      <c r="P173" s="8"/>
      <c r="Q173" t="s">
        <v>26</v>
      </c>
    </row>
    <row r="174" spans="1:17" hidden="1" x14ac:dyDescent="0.25">
      <c r="A174" s="7" t="s">
        <v>17</v>
      </c>
      <c r="B174" s="7" t="s">
        <v>18</v>
      </c>
      <c r="C174" s="7" t="s">
        <v>19</v>
      </c>
      <c r="D174" s="7"/>
      <c r="E174" s="7"/>
      <c r="F174" s="7" t="s">
        <v>63</v>
      </c>
      <c r="G174" s="7" t="s">
        <v>64</v>
      </c>
      <c r="H174" s="7" t="s">
        <v>127</v>
      </c>
      <c r="I174" s="7" t="s">
        <v>129</v>
      </c>
      <c r="J174" s="8"/>
      <c r="K174" s="8"/>
      <c r="L174" s="8"/>
      <c r="M174" s="8"/>
      <c r="N174" s="8"/>
      <c r="O174" s="8">
        <v>2.5919826508955548E-2</v>
      </c>
      <c r="P174" s="8"/>
      <c r="Q174" t="s">
        <v>26</v>
      </c>
    </row>
    <row r="175" spans="1:17" hidden="1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21</v>
      </c>
      <c r="F175" s="7" t="s">
        <v>65</v>
      </c>
      <c r="G175" s="7" t="s">
        <v>66</v>
      </c>
      <c r="H175" s="7" t="s">
        <v>127</v>
      </c>
      <c r="I175" s="7" t="s">
        <v>129</v>
      </c>
      <c r="J175" s="8"/>
      <c r="K175" s="8"/>
      <c r="L175" s="8"/>
      <c r="M175" s="8"/>
      <c r="N175" s="8"/>
      <c r="O175" s="8">
        <v>0.80351462177762167</v>
      </c>
      <c r="P175" s="8"/>
      <c r="Q175" t="s">
        <v>26</v>
      </c>
    </row>
    <row r="176" spans="1:17" hidden="1" x14ac:dyDescent="0.25">
      <c r="A176" s="7" t="s">
        <v>17</v>
      </c>
      <c r="B176" s="7" t="s">
        <v>18</v>
      </c>
      <c r="C176" s="7" t="s">
        <v>19</v>
      </c>
      <c r="D176" s="7"/>
      <c r="E176" s="7"/>
      <c r="F176" s="7" t="s">
        <v>67</v>
      </c>
      <c r="G176" s="7" t="s">
        <v>68</v>
      </c>
      <c r="H176" s="7" t="s">
        <v>127</v>
      </c>
      <c r="I176" s="7" t="s">
        <v>129</v>
      </c>
      <c r="J176" s="8"/>
      <c r="K176" s="8"/>
      <c r="L176" s="8"/>
      <c r="M176" s="8"/>
      <c r="N176" s="8"/>
      <c r="O176" s="8">
        <v>2.5919826508955548E-2</v>
      </c>
      <c r="P176" s="8"/>
      <c r="Q176" t="s">
        <v>26</v>
      </c>
    </row>
    <row r="177" spans="1:17" hidden="1" x14ac:dyDescent="0.25">
      <c r="A177" s="7" t="s">
        <v>17</v>
      </c>
      <c r="B177" s="7" t="s">
        <v>18</v>
      </c>
      <c r="C177" s="7" t="s">
        <v>19</v>
      </c>
      <c r="D177" s="7"/>
      <c r="E177" s="7"/>
      <c r="F177" s="7" t="s">
        <v>69</v>
      </c>
      <c r="G177" s="7" t="s">
        <v>70</v>
      </c>
      <c r="H177" s="7" t="s">
        <v>127</v>
      </c>
      <c r="I177" s="7" t="s">
        <v>129</v>
      </c>
      <c r="J177" s="8"/>
      <c r="K177" s="8"/>
      <c r="L177" s="8"/>
      <c r="M177" s="8"/>
      <c r="N177" s="8"/>
      <c r="O177" s="8">
        <v>0</v>
      </c>
      <c r="P177" s="8"/>
      <c r="Q177" t="s">
        <v>26</v>
      </c>
    </row>
    <row r="178" spans="1:17" hidden="1" x14ac:dyDescent="0.25">
      <c r="A178" s="7" t="s">
        <v>17</v>
      </c>
      <c r="B178" s="7" t="s">
        <v>18</v>
      </c>
      <c r="C178" s="7" t="s">
        <v>19</v>
      </c>
      <c r="D178" s="7"/>
      <c r="E178" s="7"/>
      <c r="F178" s="7" t="s">
        <v>71</v>
      </c>
      <c r="G178" s="7" t="s">
        <v>72</v>
      </c>
      <c r="H178" s="7" t="s">
        <v>127</v>
      </c>
      <c r="I178" s="7" t="s">
        <v>129</v>
      </c>
      <c r="J178" s="8"/>
      <c r="K178" s="8"/>
      <c r="L178" s="8"/>
      <c r="M178" s="8"/>
      <c r="N178" s="8"/>
      <c r="O178" s="8">
        <v>0</v>
      </c>
      <c r="P178" s="8"/>
      <c r="Q178" t="s">
        <v>26</v>
      </c>
    </row>
    <row r="179" spans="1:17" hidden="1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21</v>
      </c>
      <c r="F179" s="7" t="s">
        <v>73</v>
      </c>
      <c r="G179" s="7" t="s">
        <v>74</v>
      </c>
      <c r="H179" s="7" t="s">
        <v>127</v>
      </c>
      <c r="I179" s="7" t="s">
        <v>129</v>
      </c>
      <c r="J179" s="8"/>
      <c r="K179" s="8"/>
      <c r="L179" s="8"/>
      <c r="M179" s="8"/>
      <c r="N179" s="8"/>
      <c r="O179" s="8">
        <v>0.13607908917201664</v>
      </c>
      <c r="P179" s="8"/>
      <c r="Q179" t="s">
        <v>26</v>
      </c>
    </row>
    <row r="180" spans="1:17" hidden="1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21</v>
      </c>
      <c r="F180" s="7" t="s">
        <v>75</v>
      </c>
      <c r="G180" s="7" t="s">
        <v>76</v>
      </c>
      <c r="H180" s="7" t="s">
        <v>127</v>
      </c>
      <c r="I180" s="7" t="s">
        <v>129</v>
      </c>
      <c r="J180" s="8"/>
      <c r="K180" s="8"/>
      <c r="L180" s="8"/>
      <c r="M180" s="8"/>
      <c r="N180" s="8"/>
      <c r="O180" s="8">
        <v>3.0131798316660805</v>
      </c>
      <c r="P180" s="8"/>
      <c r="Q180" t="s">
        <v>26</v>
      </c>
    </row>
    <row r="181" spans="1:17" hidden="1" x14ac:dyDescent="0.25">
      <c r="A181" s="7" t="s">
        <v>17</v>
      </c>
      <c r="B181" s="7" t="s">
        <v>18</v>
      </c>
      <c r="C181" s="7" t="s">
        <v>19</v>
      </c>
      <c r="D181" s="7"/>
      <c r="E181" s="7"/>
      <c r="F181" s="7" t="s">
        <v>77</v>
      </c>
      <c r="G181" s="7" t="s">
        <v>78</v>
      </c>
      <c r="H181" s="7" t="s">
        <v>127</v>
      </c>
      <c r="I181" s="7" t="s">
        <v>129</v>
      </c>
      <c r="J181" s="8"/>
      <c r="K181" s="8"/>
      <c r="L181" s="8"/>
      <c r="M181" s="8"/>
      <c r="N181" s="8"/>
      <c r="O181" s="8">
        <v>0</v>
      </c>
      <c r="P181" s="8"/>
      <c r="Q181" t="s">
        <v>26</v>
      </c>
    </row>
    <row r="182" spans="1:17" hidden="1" x14ac:dyDescent="0.25">
      <c r="A182" s="7" t="s">
        <v>17</v>
      </c>
      <c r="B182" s="7" t="s">
        <v>18</v>
      </c>
      <c r="C182" s="7" t="s">
        <v>19</v>
      </c>
      <c r="D182" s="7"/>
      <c r="E182" s="7"/>
      <c r="F182" s="7" t="s">
        <v>79</v>
      </c>
      <c r="G182" s="7" t="s">
        <v>80</v>
      </c>
      <c r="H182" s="7" t="s">
        <v>127</v>
      </c>
      <c r="I182" s="7" t="s">
        <v>129</v>
      </c>
      <c r="J182" s="8"/>
      <c r="K182" s="8"/>
      <c r="L182" s="8"/>
      <c r="M182" s="8"/>
      <c r="N182" s="8"/>
      <c r="O182" s="8">
        <v>0</v>
      </c>
      <c r="P182" s="8"/>
      <c r="Q182" t="s">
        <v>26</v>
      </c>
    </row>
    <row r="183" spans="1:17" hidden="1" x14ac:dyDescent="0.25">
      <c r="A183" s="7" t="s">
        <v>17</v>
      </c>
      <c r="B183" s="7" t="s">
        <v>18</v>
      </c>
      <c r="C183" s="7" t="s">
        <v>19</v>
      </c>
      <c r="D183" s="7"/>
      <c r="E183" s="7"/>
      <c r="F183" s="7" t="s">
        <v>81</v>
      </c>
      <c r="G183" s="7" t="s">
        <v>82</v>
      </c>
      <c r="H183" s="7" t="s">
        <v>127</v>
      </c>
      <c r="I183" s="7" t="s">
        <v>129</v>
      </c>
      <c r="J183" s="8"/>
      <c r="K183" s="8"/>
      <c r="L183" s="8"/>
      <c r="M183" s="8"/>
      <c r="N183" s="8"/>
      <c r="O183" s="8">
        <v>0</v>
      </c>
      <c r="P183" s="8"/>
      <c r="Q183" t="s">
        <v>26</v>
      </c>
    </row>
    <row r="184" spans="1:17" hidden="1" x14ac:dyDescent="0.25">
      <c r="A184" s="7" t="s">
        <v>17</v>
      </c>
      <c r="B184" s="7" t="s">
        <v>18</v>
      </c>
      <c r="C184" s="7" t="s">
        <v>19</v>
      </c>
      <c r="D184" s="7"/>
      <c r="E184" s="7"/>
      <c r="F184" s="7" t="s">
        <v>83</v>
      </c>
      <c r="G184" s="7" t="s">
        <v>84</v>
      </c>
      <c r="H184" s="7" t="s">
        <v>127</v>
      </c>
      <c r="I184" s="7" t="s">
        <v>129</v>
      </c>
      <c r="J184" s="8"/>
      <c r="K184" s="8"/>
      <c r="L184" s="8"/>
      <c r="M184" s="8"/>
      <c r="N184" s="8"/>
      <c r="O184" s="8">
        <v>0</v>
      </c>
      <c r="P184" s="8"/>
      <c r="Q184" t="s">
        <v>26</v>
      </c>
    </row>
    <row r="185" spans="1:17" hidden="1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21</v>
      </c>
      <c r="F185" s="7" t="s">
        <v>85</v>
      </c>
      <c r="G185" s="7" t="s">
        <v>86</v>
      </c>
      <c r="H185" s="7" t="s">
        <v>127</v>
      </c>
      <c r="I185" s="7" t="s">
        <v>129</v>
      </c>
      <c r="J185" s="8"/>
      <c r="K185" s="8"/>
      <c r="L185" s="8"/>
      <c r="M185" s="8"/>
      <c r="N185" s="8"/>
      <c r="O185" s="8">
        <v>0.23327843858059993</v>
      </c>
      <c r="P185" s="8"/>
      <c r="Q185" t="s">
        <v>26</v>
      </c>
    </row>
    <row r="186" spans="1:17" hidden="1" x14ac:dyDescent="0.25">
      <c r="A186" s="7" t="s">
        <v>17</v>
      </c>
      <c r="B186" s="7" t="s">
        <v>18</v>
      </c>
      <c r="C186" s="7" t="s">
        <v>19</v>
      </c>
      <c r="D186" s="7"/>
      <c r="E186" s="7"/>
      <c r="F186" s="7" t="s">
        <v>87</v>
      </c>
      <c r="G186" s="7" t="s">
        <v>88</v>
      </c>
      <c r="H186" s="7" t="s">
        <v>127</v>
      </c>
      <c r="I186" s="7" t="s">
        <v>129</v>
      </c>
      <c r="J186" s="8"/>
      <c r="K186" s="8"/>
      <c r="L186" s="8"/>
      <c r="M186" s="8"/>
      <c r="N186" s="8"/>
      <c r="O186" s="8">
        <v>0</v>
      </c>
      <c r="P186" s="8"/>
      <c r="Q186" t="s">
        <v>26</v>
      </c>
    </row>
    <row r="187" spans="1:17" hidden="1" x14ac:dyDescent="0.25">
      <c r="A187" s="7" t="s">
        <v>17</v>
      </c>
      <c r="B187" s="7" t="s">
        <v>18</v>
      </c>
      <c r="C187" s="7" t="s">
        <v>19</v>
      </c>
      <c r="D187" s="7"/>
      <c r="E187" s="7"/>
      <c r="F187" s="7" t="s">
        <v>89</v>
      </c>
      <c r="G187" s="7" t="s">
        <v>90</v>
      </c>
      <c r="H187" s="7" t="s">
        <v>127</v>
      </c>
      <c r="I187" s="7" t="s">
        <v>129</v>
      </c>
      <c r="J187" s="8"/>
      <c r="K187" s="8"/>
      <c r="L187" s="8"/>
      <c r="M187" s="8"/>
      <c r="N187" s="8"/>
      <c r="O187" s="8">
        <v>0.23327843858059993</v>
      </c>
      <c r="P187" s="8"/>
      <c r="Q187" t="s">
        <v>26</v>
      </c>
    </row>
    <row r="188" spans="1:17" hidden="1" x14ac:dyDescent="0.25">
      <c r="A188" s="7" t="s">
        <v>17</v>
      </c>
      <c r="B188" s="7" t="s">
        <v>18</v>
      </c>
      <c r="C188" s="7" t="s">
        <v>19</v>
      </c>
      <c r="D188" s="7"/>
      <c r="E188" s="7"/>
      <c r="F188" s="7" t="s">
        <v>91</v>
      </c>
      <c r="G188" s="7" t="s">
        <v>92</v>
      </c>
      <c r="H188" s="7" t="s">
        <v>127</v>
      </c>
      <c r="I188" s="7" t="s">
        <v>129</v>
      </c>
      <c r="J188" s="8"/>
      <c r="K188" s="8"/>
      <c r="L188" s="8"/>
      <c r="M188" s="8"/>
      <c r="N188" s="8"/>
      <c r="O188" s="8">
        <v>0</v>
      </c>
      <c r="P188" s="8"/>
      <c r="Q188" t="s">
        <v>26</v>
      </c>
    </row>
    <row r="189" spans="1:17" hidden="1" x14ac:dyDescent="0.25">
      <c r="A189" s="7" t="s">
        <v>17</v>
      </c>
      <c r="B189" s="7" t="s">
        <v>18</v>
      </c>
      <c r="C189" s="7" t="s">
        <v>19</v>
      </c>
      <c r="D189" s="7"/>
      <c r="E189" s="7"/>
      <c r="F189" s="7" t="s">
        <v>93</v>
      </c>
      <c r="G189" s="7" t="s">
        <v>94</v>
      </c>
      <c r="H189" s="7" t="s">
        <v>127</v>
      </c>
      <c r="I189" s="7" t="s">
        <v>129</v>
      </c>
      <c r="J189" s="8"/>
      <c r="K189" s="8"/>
      <c r="L189" s="8"/>
      <c r="M189" s="8"/>
      <c r="N189" s="8"/>
      <c r="O189" s="8">
        <v>0</v>
      </c>
      <c r="P189" s="8"/>
      <c r="Q189" t="s">
        <v>26</v>
      </c>
    </row>
    <row r="190" spans="1:17" hidden="1" x14ac:dyDescent="0.25">
      <c r="A190" s="7" t="s">
        <v>17</v>
      </c>
      <c r="B190" s="7" t="s">
        <v>18</v>
      </c>
      <c r="C190" s="7" t="s">
        <v>19</v>
      </c>
      <c r="D190" s="7"/>
      <c r="E190" s="7"/>
      <c r="F190" s="7" t="s">
        <v>95</v>
      </c>
      <c r="G190" s="7" t="s">
        <v>96</v>
      </c>
      <c r="H190" s="7" t="s">
        <v>127</v>
      </c>
      <c r="I190" s="7" t="s">
        <v>129</v>
      </c>
      <c r="J190" s="8"/>
      <c r="K190" s="8"/>
      <c r="L190" s="8"/>
      <c r="M190" s="8"/>
      <c r="N190" s="8"/>
      <c r="O190" s="8">
        <v>0</v>
      </c>
      <c r="P190" s="8"/>
      <c r="Q190" t="s">
        <v>26</v>
      </c>
    </row>
    <row r="191" spans="1:17" hidden="1" x14ac:dyDescent="0.25">
      <c r="A191" s="7" t="s">
        <v>17</v>
      </c>
      <c r="B191" s="7" t="s">
        <v>18</v>
      </c>
      <c r="C191" s="7" t="s">
        <v>19</v>
      </c>
      <c r="D191" s="7"/>
      <c r="E191" s="7"/>
      <c r="F191" s="7" t="s">
        <v>97</v>
      </c>
      <c r="G191" s="7" t="s">
        <v>98</v>
      </c>
      <c r="H191" s="7" t="s">
        <v>127</v>
      </c>
      <c r="I191" s="7" t="s">
        <v>129</v>
      </c>
      <c r="J191" s="8"/>
      <c r="K191" s="8"/>
      <c r="L191" s="8"/>
      <c r="M191" s="8"/>
      <c r="N191" s="8"/>
      <c r="O191" s="8">
        <v>0</v>
      </c>
      <c r="P191" s="8"/>
      <c r="Q191" t="s">
        <v>26</v>
      </c>
    </row>
    <row r="192" spans="1:17" hidden="1" x14ac:dyDescent="0.25">
      <c r="A192" s="7" t="s">
        <v>17</v>
      </c>
      <c r="B192" s="7" t="s">
        <v>18</v>
      </c>
      <c r="C192" s="7" t="s">
        <v>19</v>
      </c>
      <c r="D192" s="7"/>
      <c r="E192" s="7"/>
      <c r="F192" s="7" t="s">
        <v>99</v>
      </c>
      <c r="G192" s="7" t="s">
        <v>100</v>
      </c>
      <c r="H192" s="7" t="s">
        <v>127</v>
      </c>
      <c r="I192" s="7" t="s">
        <v>129</v>
      </c>
      <c r="J192" s="8"/>
      <c r="K192" s="8"/>
      <c r="L192" s="8"/>
      <c r="M192" s="8"/>
      <c r="N192" s="8"/>
      <c r="O192" s="8">
        <v>0.18143878556268883</v>
      </c>
      <c r="P192" s="8"/>
      <c r="Q192" t="s">
        <v>26</v>
      </c>
    </row>
    <row r="193" spans="1:17" hidden="1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21</v>
      </c>
      <c r="F193" s="7" t="s">
        <v>101</v>
      </c>
      <c r="G193" s="7" t="s">
        <v>21</v>
      </c>
      <c r="H193" s="7" t="s">
        <v>127</v>
      </c>
      <c r="I193" s="7" t="s">
        <v>129</v>
      </c>
      <c r="J193" s="8"/>
      <c r="K193" s="8"/>
      <c r="L193" s="8"/>
      <c r="M193" s="8"/>
      <c r="N193" s="8"/>
      <c r="O193" s="8">
        <v>9.4283368926325775</v>
      </c>
      <c r="P193" s="8"/>
      <c r="Q193" t="s">
        <v>26</v>
      </c>
    </row>
    <row r="194" spans="1:17" hidden="1" x14ac:dyDescent="0.25">
      <c r="A194" s="7" t="s">
        <v>17</v>
      </c>
      <c r="B194" s="7" t="s">
        <v>18</v>
      </c>
      <c r="C194" s="7" t="s">
        <v>19</v>
      </c>
      <c r="D194" s="7"/>
      <c r="E194" s="7"/>
      <c r="F194" s="7" t="s">
        <v>102</v>
      </c>
      <c r="G194" s="7" t="s">
        <v>103</v>
      </c>
      <c r="H194" s="7" t="s">
        <v>127</v>
      </c>
      <c r="I194" s="7" t="s">
        <v>129</v>
      </c>
      <c r="J194" s="8"/>
      <c r="K194" s="8"/>
      <c r="L194" s="8"/>
      <c r="M194" s="8"/>
      <c r="N194" s="8"/>
      <c r="O194" s="8">
        <v>0</v>
      </c>
      <c r="P194" s="8"/>
      <c r="Q194" t="s">
        <v>26</v>
      </c>
    </row>
    <row r="195" spans="1:17" hidden="1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21</v>
      </c>
      <c r="F195" s="7" t="s">
        <v>104</v>
      </c>
      <c r="G195" s="7" t="s">
        <v>105</v>
      </c>
      <c r="H195" s="7" t="s">
        <v>127</v>
      </c>
      <c r="I195" s="7" t="s">
        <v>129</v>
      </c>
      <c r="J195" s="8"/>
      <c r="K195" s="8"/>
      <c r="L195" s="8"/>
      <c r="M195" s="8"/>
      <c r="N195" s="8"/>
      <c r="O195" s="8">
        <v>0</v>
      </c>
      <c r="P195" s="8"/>
      <c r="Q195" t="s">
        <v>26</v>
      </c>
    </row>
    <row r="196" spans="1:17" hidden="1" x14ac:dyDescent="0.25">
      <c r="A196" s="7" t="s">
        <v>17</v>
      </c>
      <c r="B196" s="7" t="s">
        <v>18</v>
      </c>
      <c r="C196" s="7" t="s">
        <v>19</v>
      </c>
      <c r="D196" s="7"/>
      <c r="E196" s="7"/>
      <c r="F196" s="7" t="s">
        <v>106</v>
      </c>
      <c r="G196" s="7" t="s">
        <v>107</v>
      </c>
      <c r="H196" s="7" t="s">
        <v>127</v>
      </c>
      <c r="I196" s="7" t="s">
        <v>129</v>
      </c>
      <c r="J196" s="8"/>
      <c r="K196" s="8"/>
      <c r="L196" s="8"/>
      <c r="M196" s="8"/>
      <c r="N196" s="8"/>
      <c r="O196" s="8">
        <v>0</v>
      </c>
      <c r="P196" s="8"/>
      <c r="Q196" t="s">
        <v>26</v>
      </c>
    </row>
    <row r="197" spans="1:17" hidden="1" x14ac:dyDescent="0.25">
      <c r="A197" s="7" t="s">
        <v>17</v>
      </c>
      <c r="B197" s="7" t="s">
        <v>18</v>
      </c>
      <c r="C197" s="7" t="s">
        <v>19</v>
      </c>
      <c r="D197" s="7"/>
      <c r="E197" s="7"/>
      <c r="F197" s="7" t="s">
        <v>108</v>
      </c>
      <c r="G197" s="7" t="s">
        <v>109</v>
      </c>
      <c r="H197" s="7" t="s">
        <v>127</v>
      </c>
      <c r="I197" s="7" t="s">
        <v>129</v>
      </c>
      <c r="J197" s="8"/>
      <c r="K197" s="8"/>
      <c r="L197" s="8"/>
      <c r="M197" s="8"/>
      <c r="N197" s="8"/>
      <c r="O197" s="8">
        <v>0</v>
      </c>
      <c r="P197" s="8"/>
      <c r="Q197" t="s">
        <v>26</v>
      </c>
    </row>
    <row r="198" spans="1:17" hidden="1" x14ac:dyDescent="0.25">
      <c r="A198" s="7" t="s">
        <v>17</v>
      </c>
      <c r="B198" s="7" t="s">
        <v>18</v>
      </c>
      <c r="C198" s="7" t="s">
        <v>19</v>
      </c>
      <c r="D198" s="7"/>
      <c r="E198" s="7"/>
      <c r="F198" s="7" t="s">
        <v>110</v>
      </c>
      <c r="G198" s="7" t="s">
        <v>111</v>
      </c>
      <c r="H198" s="7" t="s">
        <v>127</v>
      </c>
      <c r="I198" s="7" t="s">
        <v>129</v>
      </c>
      <c r="J198" s="8"/>
      <c r="K198" s="8"/>
      <c r="L198" s="8"/>
      <c r="M198" s="8"/>
      <c r="N198" s="8"/>
      <c r="O198" s="8">
        <v>2.5919826508955548E-2</v>
      </c>
      <c r="P198" s="8"/>
      <c r="Q198" t="s">
        <v>26</v>
      </c>
    </row>
    <row r="199" spans="1:17" hidden="1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21</v>
      </c>
      <c r="F199" s="7" t="s">
        <v>112</v>
      </c>
      <c r="G199" s="7" t="s">
        <v>113</v>
      </c>
      <c r="H199" s="7" t="s">
        <v>127</v>
      </c>
      <c r="I199" s="7" t="s">
        <v>129</v>
      </c>
      <c r="J199" s="8"/>
      <c r="K199" s="8"/>
      <c r="L199" s="8"/>
      <c r="M199" s="8"/>
      <c r="N199" s="8"/>
      <c r="O199" s="8">
        <v>5.1839653017911096E-2</v>
      </c>
      <c r="P199" s="8"/>
      <c r="Q199" t="s">
        <v>26</v>
      </c>
    </row>
    <row r="200" spans="1:17" hidden="1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21</v>
      </c>
      <c r="F200" s="7" t="s">
        <v>114</v>
      </c>
      <c r="G200" s="7" t="s">
        <v>115</v>
      </c>
      <c r="H200" s="7" t="s">
        <v>127</v>
      </c>
      <c r="I200" s="7" t="s">
        <v>129</v>
      </c>
      <c r="J200" s="8"/>
      <c r="K200" s="8"/>
      <c r="L200" s="8"/>
      <c r="M200" s="8"/>
      <c r="N200" s="8"/>
      <c r="O200" s="8">
        <v>3.4408569690638466</v>
      </c>
      <c r="P200" s="8"/>
      <c r="Q200" t="s">
        <v>26</v>
      </c>
    </row>
    <row r="201" spans="1:17" hidden="1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21</v>
      </c>
      <c r="F201" s="7" t="s">
        <v>116</v>
      </c>
      <c r="G201" s="7" t="s">
        <v>117</v>
      </c>
      <c r="H201" s="7" t="s">
        <v>127</v>
      </c>
      <c r="I201" s="7" t="s">
        <v>129</v>
      </c>
      <c r="J201" s="8"/>
      <c r="K201" s="8"/>
      <c r="L201" s="8"/>
      <c r="M201" s="8"/>
      <c r="N201" s="8"/>
      <c r="O201" s="8">
        <v>0</v>
      </c>
      <c r="P201" s="8"/>
      <c r="Q201" t="s">
        <v>26</v>
      </c>
    </row>
    <row r="202" spans="1:17" hidden="1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21</v>
      </c>
      <c r="F202" s="7" t="s">
        <v>118</v>
      </c>
      <c r="G202" s="7" t="s">
        <v>119</v>
      </c>
      <c r="H202" s="7" t="s">
        <v>127</v>
      </c>
      <c r="I202" s="7" t="s">
        <v>129</v>
      </c>
      <c r="J202" s="8"/>
      <c r="K202" s="8"/>
      <c r="L202" s="8"/>
      <c r="M202" s="8"/>
      <c r="N202" s="8"/>
      <c r="O202" s="8">
        <v>0.80999457840486055</v>
      </c>
      <c r="P202" s="8"/>
      <c r="Q202" t="s">
        <v>26</v>
      </c>
    </row>
    <row r="203" spans="1:17" hidden="1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21</v>
      </c>
      <c r="F203" s="7" t="s">
        <v>120</v>
      </c>
      <c r="G203" s="7" t="s">
        <v>121</v>
      </c>
      <c r="H203" s="7" t="s">
        <v>127</v>
      </c>
      <c r="I203" s="7" t="s">
        <v>129</v>
      </c>
      <c r="J203" s="8"/>
      <c r="K203" s="8"/>
      <c r="L203" s="8"/>
      <c r="M203" s="8"/>
      <c r="N203" s="8"/>
      <c r="O203" s="8">
        <v>7.775947952686664E-2</v>
      </c>
      <c r="P203" s="8"/>
      <c r="Q203" t="s">
        <v>26</v>
      </c>
    </row>
    <row r="204" spans="1:17" hidden="1" x14ac:dyDescent="0.25">
      <c r="A204" s="7" t="s">
        <v>17</v>
      </c>
      <c r="B204" s="7" t="s">
        <v>18</v>
      </c>
      <c r="C204" s="7" t="s">
        <v>19</v>
      </c>
      <c r="D204" s="7"/>
      <c r="E204" s="7"/>
      <c r="F204" s="7" t="s">
        <v>122</v>
      </c>
      <c r="G204" s="7" t="s">
        <v>123</v>
      </c>
      <c r="H204" s="7" t="s">
        <v>127</v>
      </c>
      <c r="I204" s="7" t="s">
        <v>129</v>
      </c>
      <c r="J204" s="8"/>
      <c r="K204" s="8"/>
      <c r="L204" s="8"/>
      <c r="M204" s="8"/>
      <c r="N204" s="8"/>
      <c r="O204" s="8">
        <v>0</v>
      </c>
      <c r="P204" s="8"/>
      <c r="Q204" t="s">
        <v>26</v>
      </c>
    </row>
    <row r="205" spans="1:17" hidden="1" x14ac:dyDescent="0.25">
      <c r="A205" s="7" t="s">
        <v>17</v>
      </c>
      <c r="B205" s="7" t="s">
        <v>18</v>
      </c>
      <c r="C205" s="7" t="s">
        <v>19</v>
      </c>
      <c r="D205" s="7"/>
      <c r="E205" s="7"/>
      <c r="F205" s="7" t="s">
        <v>124</v>
      </c>
      <c r="G205" s="7" t="s">
        <v>125</v>
      </c>
      <c r="H205" s="7" t="s">
        <v>127</v>
      </c>
      <c r="I205" s="7" t="s">
        <v>129</v>
      </c>
      <c r="J205" s="8"/>
      <c r="K205" s="8"/>
      <c r="L205" s="8"/>
      <c r="M205" s="8"/>
      <c r="N205" s="8"/>
      <c r="O205" s="8">
        <v>0</v>
      </c>
      <c r="P205" s="8"/>
      <c r="Q205" t="s">
        <v>26</v>
      </c>
    </row>
    <row r="206" spans="1:17" hidden="1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21</v>
      </c>
      <c r="F206" s="7" t="s">
        <v>22</v>
      </c>
      <c r="G206" s="7" t="s">
        <v>23</v>
      </c>
      <c r="H206" s="7" t="s">
        <v>127</v>
      </c>
      <c r="I206" s="7" t="s">
        <v>130</v>
      </c>
      <c r="J206" s="8"/>
      <c r="K206" s="8"/>
      <c r="L206" s="8"/>
      <c r="M206" s="8"/>
      <c r="N206" s="8"/>
      <c r="O206" s="8">
        <v>5.3807774324988289</v>
      </c>
      <c r="P206" s="8"/>
      <c r="Q206" t="s">
        <v>26</v>
      </c>
    </row>
    <row r="207" spans="1:17" hidden="1" x14ac:dyDescent="0.25">
      <c r="A207" s="7" t="s">
        <v>17</v>
      </c>
      <c r="B207" s="7" t="s">
        <v>18</v>
      </c>
      <c r="C207" s="7" t="s">
        <v>19</v>
      </c>
      <c r="D207" s="7"/>
      <c r="E207" s="7"/>
      <c r="F207" s="7" t="s">
        <v>27</v>
      </c>
      <c r="G207" s="7" t="s">
        <v>28</v>
      </c>
      <c r="H207" s="7" t="s">
        <v>127</v>
      </c>
      <c r="I207" s="7" t="s">
        <v>130</v>
      </c>
      <c r="J207" s="8"/>
      <c r="K207" s="8"/>
      <c r="L207" s="8"/>
      <c r="M207" s="8"/>
      <c r="N207" s="8"/>
      <c r="O207" s="8">
        <v>2.1523109729995316</v>
      </c>
      <c r="P207" s="8"/>
      <c r="Q207" t="s">
        <v>26</v>
      </c>
    </row>
    <row r="208" spans="1:17" hidden="1" x14ac:dyDescent="0.25">
      <c r="A208" s="7" t="s">
        <v>17</v>
      </c>
      <c r="B208" s="7" t="s">
        <v>18</v>
      </c>
      <c r="C208" s="7" t="s">
        <v>19</v>
      </c>
      <c r="D208" s="7"/>
      <c r="E208" s="7"/>
      <c r="F208" s="7" t="s">
        <v>29</v>
      </c>
      <c r="G208" s="7" t="s">
        <v>30</v>
      </c>
      <c r="H208" s="7" t="s">
        <v>127</v>
      </c>
      <c r="I208" s="7" t="s">
        <v>130</v>
      </c>
      <c r="J208" s="8"/>
      <c r="K208" s="8"/>
      <c r="L208" s="8"/>
      <c r="M208" s="8"/>
      <c r="N208" s="8"/>
      <c r="O208" s="8">
        <v>6.1494599228558045E-2</v>
      </c>
      <c r="P208" s="8"/>
      <c r="Q208" t="s">
        <v>26</v>
      </c>
    </row>
    <row r="209" spans="1:17" hidden="1" x14ac:dyDescent="0.25">
      <c r="A209" s="7" t="s">
        <v>17</v>
      </c>
      <c r="B209" s="7" t="s">
        <v>18</v>
      </c>
      <c r="C209" s="7" t="s">
        <v>19</v>
      </c>
      <c r="D209" s="7"/>
      <c r="E209" s="7"/>
      <c r="F209" s="7" t="s">
        <v>31</v>
      </c>
      <c r="G209" s="7" t="s">
        <v>32</v>
      </c>
      <c r="H209" s="7" t="s">
        <v>127</v>
      </c>
      <c r="I209" s="7" t="s">
        <v>130</v>
      </c>
      <c r="J209" s="8"/>
      <c r="K209" s="8"/>
      <c r="L209" s="8"/>
      <c r="M209" s="8"/>
      <c r="N209" s="8"/>
      <c r="O209" s="8">
        <v>19.678271753138574</v>
      </c>
      <c r="P209" s="8"/>
      <c r="Q209" t="s">
        <v>26</v>
      </c>
    </row>
    <row r="210" spans="1:17" hidden="1" x14ac:dyDescent="0.25">
      <c r="A210" s="7" t="s">
        <v>17</v>
      </c>
      <c r="B210" s="7" t="s">
        <v>18</v>
      </c>
      <c r="C210" s="7" t="s">
        <v>19</v>
      </c>
      <c r="D210" s="7"/>
      <c r="E210" s="7"/>
      <c r="F210" s="7" t="s">
        <v>33</v>
      </c>
      <c r="G210" s="7" t="s">
        <v>34</v>
      </c>
      <c r="H210" s="7" t="s">
        <v>127</v>
      </c>
      <c r="I210" s="7" t="s">
        <v>130</v>
      </c>
      <c r="J210" s="8"/>
      <c r="K210" s="8"/>
      <c r="L210" s="8"/>
      <c r="M210" s="8"/>
      <c r="N210" s="8"/>
      <c r="O210" s="8">
        <v>44.891057436847383</v>
      </c>
      <c r="P210" s="8"/>
      <c r="Q210" t="s">
        <v>26</v>
      </c>
    </row>
    <row r="211" spans="1:17" hidden="1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21</v>
      </c>
      <c r="F211" s="7" t="s">
        <v>35</v>
      </c>
      <c r="G211" s="7" t="s">
        <v>36</v>
      </c>
      <c r="H211" s="7" t="s">
        <v>127</v>
      </c>
      <c r="I211" s="7" t="s">
        <v>130</v>
      </c>
      <c r="J211" s="8"/>
      <c r="K211" s="8"/>
      <c r="L211" s="8"/>
      <c r="M211" s="8"/>
      <c r="N211" s="8"/>
      <c r="O211" s="8">
        <v>2865.1256199573622</v>
      </c>
      <c r="P211" s="8"/>
      <c r="Q211" t="s">
        <v>26</v>
      </c>
    </row>
    <row r="212" spans="1:17" hidden="1" x14ac:dyDescent="0.25">
      <c r="A212" s="7" t="s">
        <v>17</v>
      </c>
      <c r="B212" s="7" t="s">
        <v>18</v>
      </c>
      <c r="C212" s="7" t="s">
        <v>19</v>
      </c>
      <c r="D212" s="7"/>
      <c r="E212" s="7"/>
      <c r="F212" s="7" t="s">
        <v>37</v>
      </c>
      <c r="G212" s="7" t="s">
        <v>38</v>
      </c>
      <c r="H212" s="7" t="s">
        <v>127</v>
      </c>
      <c r="I212" s="7" t="s">
        <v>130</v>
      </c>
      <c r="J212" s="8"/>
      <c r="K212" s="8"/>
      <c r="L212" s="8"/>
      <c r="M212" s="8"/>
      <c r="N212" s="8"/>
      <c r="O212" s="8">
        <v>2.6135204672137173</v>
      </c>
      <c r="P212" s="8"/>
      <c r="Q212" t="s">
        <v>26</v>
      </c>
    </row>
    <row r="213" spans="1:17" hidden="1" x14ac:dyDescent="0.25">
      <c r="A213" s="7" t="s">
        <v>17</v>
      </c>
      <c r="B213" s="7" t="s">
        <v>18</v>
      </c>
      <c r="C213" s="7" t="s">
        <v>19</v>
      </c>
      <c r="D213" s="7"/>
      <c r="E213" s="7"/>
      <c r="F213" s="7" t="s">
        <v>39</v>
      </c>
      <c r="G213" s="7" t="s">
        <v>40</v>
      </c>
      <c r="H213" s="7" t="s">
        <v>127</v>
      </c>
      <c r="I213" s="7" t="s">
        <v>130</v>
      </c>
      <c r="J213" s="8"/>
      <c r="K213" s="8"/>
      <c r="L213" s="8"/>
      <c r="M213" s="8"/>
      <c r="N213" s="8"/>
      <c r="O213" s="8">
        <v>2.7057623660565544</v>
      </c>
      <c r="P213" s="8"/>
      <c r="Q213" t="s">
        <v>26</v>
      </c>
    </row>
    <row r="214" spans="1:17" hidden="1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21</v>
      </c>
      <c r="F214" s="7" t="s">
        <v>41</v>
      </c>
      <c r="G214" s="7" t="s">
        <v>42</v>
      </c>
      <c r="H214" s="7" t="s">
        <v>127</v>
      </c>
      <c r="I214" s="7" t="s">
        <v>130</v>
      </c>
      <c r="J214" s="8"/>
      <c r="K214" s="8"/>
      <c r="L214" s="8"/>
      <c r="M214" s="8"/>
      <c r="N214" s="8"/>
      <c r="O214" s="8">
        <v>223.62511009465135</v>
      </c>
      <c r="P214" s="8"/>
      <c r="Q214" t="s">
        <v>26</v>
      </c>
    </row>
    <row r="215" spans="1:17" hidden="1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21</v>
      </c>
      <c r="F215" s="7" t="s">
        <v>43</v>
      </c>
      <c r="G215" s="7" t="s">
        <v>44</v>
      </c>
      <c r="H215" s="7" t="s">
        <v>127</v>
      </c>
      <c r="I215" s="7" t="s">
        <v>130</v>
      </c>
      <c r="J215" s="8"/>
      <c r="K215" s="8"/>
      <c r="L215" s="8"/>
      <c r="M215" s="8"/>
      <c r="N215" s="8"/>
      <c r="O215" s="8">
        <v>135.34961290205629</v>
      </c>
      <c r="P215" s="8"/>
      <c r="Q215" t="s">
        <v>26</v>
      </c>
    </row>
    <row r="216" spans="1:17" hidden="1" x14ac:dyDescent="0.25">
      <c r="A216" s="7" t="s">
        <v>17</v>
      </c>
      <c r="B216" s="7" t="s">
        <v>18</v>
      </c>
      <c r="C216" s="7" t="s">
        <v>19</v>
      </c>
      <c r="D216" s="7"/>
      <c r="E216" s="7"/>
      <c r="F216" s="7" t="s">
        <v>45</v>
      </c>
      <c r="G216" s="7" t="s">
        <v>46</v>
      </c>
      <c r="H216" s="7" t="s">
        <v>127</v>
      </c>
      <c r="I216" s="7" t="s">
        <v>130</v>
      </c>
      <c r="J216" s="8"/>
      <c r="K216" s="8"/>
      <c r="L216" s="8"/>
      <c r="M216" s="8"/>
      <c r="N216" s="8"/>
      <c r="O216" s="8">
        <v>1.6603541791710674</v>
      </c>
      <c r="P216" s="8"/>
      <c r="Q216" t="s">
        <v>26</v>
      </c>
    </row>
    <row r="217" spans="1:17" hidden="1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21</v>
      </c>
      <c r="F217" s="7" t="s">
        <v>47</v>
      </c>
      <c r="G217" s="7" t="s">
        <v>48</v>
      </c>
      <c r="H217" s="7" t="s">
        <v>127</v>
      </c>
      <c r="I217" s="7" t="s">
        <v>130</v>
      </c>
      <c r="J217" s="8"/>
      <c r="K217" s="8"/>
      <c r="L217" s="8"/>
      <c r="M217" s="8"/>
      <c r="N217" s="8"/>
      <c r="O217" s="8">
        <v>96.085311294621945</v>
      </c>
      <c r="P217" s="8"/>
      <c r="Q217" t="s">
        <v>26</v>
      </c>
    </row>
    <row r="218" spans="1:17" hidden="1" x14ac:dyDescent="0.25">
      <c r="A218" s="7" t="s">
        <v>17</v>
      </c>
      <c r="B218" s="7" t="s">
        <v>18</v>
      </c>
      <c r="C218" s="7" t="s">
        <v>19</v>
      </c>
      <c r="D218" s="7"/>
      <c r="E218" s="7"/>
      <c r="F218" s="7" t="s">
        <v>49</v>
      </c>
      <c r="G218" s="7" t="s">
        <v>50</v>
      </c>
      <c r="H218" s="7" t="s">
        <v>127</v>
      </c>
      <c r="I218" s="7" t="s">
        <v>130</v>
      </c>
      <c r="J218" s="8"/>
      <c r="K218" s="8"/>
      <c r="L218" s="8"/>
      <c r="M218" s="8"/>
      <c r="N218" s="8"/>
      <c r="O218" s="8">
        <v>7.102626210898455</v>
      </c>
      <c r="P218" s="8"/>
      <c r="Q218" t="s">
        <v>26</v>
      </c>
    </row>
    <row r="219" spans="1:17" hidden="1" x14ac:dyDescent="0.25">
      <c r="A219" s="7" t="s">
        <v>17</v>
      </c>
      <c r="B219" s="7" t="s">
        <v>18</v>
      </c>
      <c r="C219" s="7" t="s">
        <v>19</v>
      </c>
      <c r="D219" s="7"/>
      <c r="E219" s="7"/>
      <c r="F219" s="7" t="s">
        <v>51</v>
      </c>
      <c r="G219" s="7" t="s">
        <v>52</v>
      </c>
      <c r="H219" s="7" t="s">
        <v>127</v>
      </c>
      <c r="I219" s="7" t="s">
        <v>130</v>
      </c>
      <c r="J219" s="8"/>
      <c r="K219" s="8"/>
      <c r="L219" s="8"/>
      <c r="M219" s="8"/>
      <c r="N219" s="8"/>
      <c r="O219" s="8">
        <v>25.120543784865962</v>
      </c>
      <c r="P219" s="8"/>
      <c r="Q219" t="s">
        <v>26</v>
      </c>
    </row>
    <row r="220" spans="1:17" hidden="1" x14ac:dyDescent="0.25">
      <c r="A220" s="7" t="s">
        <v>17</v>
      </c>
      <c r="B220" s="7" t="s">
        <v>18</v>
      </c>
      <c r="C220" s="7" t="s">
        <v>19</v>
      </c>
      <c r="D220" s="7"/>
      <c r="E220" s="7"/>
      <c r="F220" s="7" t="s">
        <v>53</v>
      </c>
      <c r="G220" s="7" t="s">
        <v>54</v>
      </c>
      <c r="H220" s="7" t="s">
        <v>127</v>
      </c>
      <c r="I220" s="7" t="s">
        <v>130</v>
      </c>
      <c r="J220" s="8"/>
      <c r="K220" s="8"/>
      <c r="L220" s="8"/>
      <c r="M220" s="8"/>
      <c r="N220" s="8"/>
      <c r="O220" s="8">
        <v>3.0747299614279022E-2</v>
      </c>
      <c r="P220" s="8"/>
      <c r="Q220" t="s">
        <v>26</v>
      </c>
    </row>
    <row r="221" spans="1:17" hidden="1" x14ac:dyDescent="0.25">
      <c r="A221" s="7" t="s">
        <v>17</v>
      </c>
      <c r="B221" s="7" t="s">
        <v>18</v>
      </c>
      <c r="C221" s="7" t="s">
        <v>19</v>
      </c>
      <c r="D221" s="7"/>
      <c r="E221" s="7"/>
      <c r="F221" s="7" t="s">
        <v>55</v>
      </c>
      <c r="G221" s="7" t="s">
        <v>56</v>
      </c>
      <c r="H221" s="7" t="s">
        <v>127</v>
      </c>
      <c r="I221" s="7" t="s">
        <v>130</v>
      </c>
      <c r="J221" s="8"/>
      <c r="K221" s="8"/>
      <c r="L221" s="8"/>
      <c r="M221" s="8"/>
      <c r="N221" s="8"/>
      <c r="O221" s="8">
        <v>11.130522460369008</v>
      </c>
      <c r="P221" s="8"/>
      <c r="Q221" t="s">
        <v>26</v>
      </c>
    </row>
    <row r="222" spans="1:17" hidden="1" x14ac:dyDescent="0.25">
      <c r="A222" s="7" t="s">
        <v>17</v>
      </c>
      <c r="B222" s="7" t="s">
        <v>18</v>
      </c>
      <c r="C222" s="7" t="s">
        <v>19</v>
      </c>
      <c r="D222" s="7"/>
      <c r="E222" s="7"/>
      <c r="F222" s="7" t="s">
        <v>57</v>
      </c>
      <c r="G222" s="7" t="s">
        <v>58</v>
      </c>
      <c r="H222" s="7" t="s">
        <v>127</v>
      </c>
      <c r="I222" s="7" t="s">
        <v>130</v>
      </c>
      <c r="J222" s="8"/>
      <c r="K222" s="8"/>
      <c r="L222" s="8"/>
      <c r="M222" s="8"/>
      <c r="N222" s="8"/>
      <c r="O222" s="8">
        <v>2.183058272613811</v>
      </c>
      <c r="P222" s="8"/>
      <c r="Q222" t="s">
        <v>26</v>
      </c>
    </row>
    <row r="223" spans="1:17" hidden="1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21</v>
      </c>
      <c r="F223" s="7" t="s">
        <v>59</v>
      </c>
      <c r="G223" s="7" t="s">
        <v>60</v>
      </c>
      <c r="H223" s="7" t="s">
        <v>127</v>
      </c>
      <c r="I223" s="7" t="s">
        <v>130</v>
      </c>
      <c r="J223" s="8"/>
      <c r="K223" s="8"/>
      <c r="L223" s="8"/>
      <c r="M223" s="8"/>
      <c r="N223" s="8"/>
      <c r="O223" s="8">
        <v>498.65970514437726</v>
      </c>
      <c r="P223" s="8"/>
      <c r="Q223" t="s">
        <v>26</v>
      </c>
    </row>
    <row r="224" spans="1:17" hidden="1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21</v>
      </c>
      <c r="F224" s="7" t="s">
        <v>61</v>
      </c>
      <c r="G224" s="7" t="s">
        <v>62</v>
      </c>
      <c r="H224" s="7" t="s">
        <v>127</v>
      </c>
      <c r="I224" s="7" t="s">
        <v>130</v>
      </c>
      <c r="J224" s="8"/>
      <c r="K224" s="8"/>
      <c r="L224" s="8"/>
      <c r="M224" s="8"/>
      <c r="N224" s="8"/>
      <c r="O224" s="8">
        <v>242.38096285936155</v>
      </c>
      <c r="P224" s="8"/>
      <c r="Q224" t="s">
        <v>26</v>
      </c>
    </row>
    <row r="225" spans="1:17" hidden="1" x14ac:dyDescent="0.25">
      <c r="A225" s="7" t="s">
        <v>17</v>
      </c>
      <c r="B225" s="7" t="s">
        <v>18</v>
      </c>
      <c r="C225" s="7" t="s">
        <v>19</v>
      </c>
      <c r="D225" s="7"/>
      <c r="E225" s="7"/>
      <c r="F225" s="7" t="s">
        <v>63</v>
      </c>
      <c r="G225" s="7" t="s">
        <v>64</v>
      </c>
      <c r="H225" s="7" t="s">
        <v>127</v>
      </c>
      <c r="I225" s="7" t="s">
        <v>130</v>
      </c>
      <c r="J225" s="8"/>
      <c r="K225" s="8"/>
      <c r="L225" s="8"/>
      <c r="M225" s="8"/>
      <c r="N225" s="8"/>
      <c r="O225" s="8">
        <v>2.0293217745424159</v>
      </c>
      <c r="P225" s="8"/>
      <c r="Q225" t="s">
        <v>26</v>
      </c>
    </row>
    <row r="226" spans="1:17" hidden="1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21</v>
      </c>
      <c r="F226" s="7" t="s">
        <v>65</v>
      </c>
      <c r="G226" s="7" t="s">
        <v>66</v>
      </c>
      <c r="H226" s="7" t="s">
        <v>127</v>
      </c>
      <c r="I226" s="7" t="s">
        <v>130</v>
      </c>
      <c r="J226" s="8"/>
      <c r="K226" s="8"/>
      <c r="L226" s="8"/>
      <c r="M226" s="8"/>
      <c r="N226" s="8"/>
      <c r="O226" s="8">
        <v>889.76535623800646</v>
      </c>
      <c r="P226" s="8"/>
      <c r="Q226" t="s">
        <v>26</v>
      </c>
    </row>
    <row r="227" spans="1:17" hidden="1" x14ac:dyDescent="0.25">
      <c r="A227" s="7" t="s">
        <v>17</v>
      </c>
      <c r="B227" s="7" t="s">
        <v>18</v>
      </c>
      <c r="C227" s="7" t="s">
        <v>19</v>
      </c>
      <c r="D227" s="7"/>
      <c r="E227" s="7"/>
      <c r="F227" s="7" t="s">
        <v>67</v>
      </c>
      <c r="G227" s="7" t="s">
        <v>68</v>
      </c>
      <c r="H227" s="7" t="s">
        <v>127</v>
      </c>
      <c r="I227" s="7" t="s">
        <v>130</v>
      </c>
      <c r="J227" s="8"/>
      <c r="K227" s="8"/>
      <c r="L227" s="8"/>
      <c r="M227" s="8"/>
      <c r="N227" s="8"/>
      <c r="O227" s="8">
        <v>10.515576468083426</v>
      </c>
      <c r="P227" s="8"/>
      <c r="Q227" t="s">
        <v>26</v>
      </c>
    </row>
    <row r="228" spans="1:17" hidden="1" x14ac:dyDescent="0.25">
      <c r="A228" s="7" t="s">
        <v>17</v>
      </c>
      <c r="B228" s="7" t="s">
        <v>18</v>
      </c>
      <c r="C228" s="7" t="s">
        <v>19</v>
      </c>
      <c r="D228" s="7"/>
      <c r="E228" s="7"/>
      <c r="F228" s="7" t="s">
        <v>69</v>
      </c>
      <c r="G228" s="7" t="s">
        <v>70</v>
      </c>
      <c r="H228" s="7" t="s">
        <v>127</v>
      </c>
      <c r="I228" s="7" t="s">
        <v>130</v>
      </c>
      <c r="J228" s="8"/>
      <c r="K228" s="8"/>
      <c r="L228" s="8"/>
      <c r="M228" s="8"/>
      <c r="N228" s="8"/>
      <c r="O228" s="8">
        <v>0.18448379768567416</v>
      </c>
      <c r="P228" s="8"/>
      <c r="Q228" t="s">
        <v>26</v>
      </c>
    </row>
    <row r="229" spans="1:17" hidden="1" x14ac:dyDescent="0.25">
      <c r="A229" s="7" t="s">
        <v>17</v>
      </c>
      <c r="B229" s="7" t="s">
        <v>18</v>
      </c>
      <c r="C229" s="7" t="s">
        <v>19</v>
      </c>
      <c r="D229" s="7"/>
      <c r="E229" s="7"/>
      <c r="F229" s="7" t="s">
        <v>71</v>
      </c>
      <c r="G229" s="7" t="s">
        <v>72</v>
      </c>
      <c r="H229" s="7" t="s">
        <v>127</v>
      </c>
      <c r="I229" s="7" t="s">
        <v>130</v>
      </c>
      <c r="J229" s="8"/>
      <c r="K229" s="8"/>
      <c r="L229" s="8"/>
      <c r="M229" s="8"/>
      <c r="N229" s="8"/>
      <c r="O229" s="8">
        <v>1.9370798756995786</v>
      </c>
      <c r="P229" s="8"/>
      <c r="Q229" t="s">
        <v>26</v>
      </c>
    </row>
    <row r="230" spans="1:17" hidden="1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21</v>
      </c>
      <c r="F230" s="7" t="s">
        <v>73</v>
      </c>
      <c r="G230" s="7" t="s">
        <v>74</v>
      </c>
      <c r="H230" s="7" t="s">
        <v>127</v>
      </c>
      <c r="I230" s="7" t="s">
        <v>130</v>
      </c>
      <c r="J230" s="8"/>
      <c r="K230" s="8"/>
      <c r="L230" s="8"/>
      <c r="M230" s="8"/>
      <c r="N230" s="8"/>
      <c r="O230" s="8">
        <v>432.18404337830594</v>
      </c>
      <c r="P230" s="8"/>
      <c r="Q230" t="s">
        <v>26</v>
      </c>
    </row>
    <row r="231" spans="1:17" hidden="1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21</v>
      </c>
      <c r="F231" s="7" t="s">
        <v>75</v>
      </c>
      <c r="G231" s="7" t="s">
        <v>76</v>
      </c>
      <c r="H231" s="7" t="s">
        <v>127</v>
      </c>
      <c r="I231" s="7" t="s">
        <v>130</v>
      </c>
      <c r="J231" s="8"/>
      <c r="K231" s="8"/>
      <c r="L231" s="8"/>
      <c r="M231" s="8"/>
      <c r="N231" s="8"/>
      <c r="O231" s="8">
        <v>1566.1444531529164</v>
      </c>
      <c r="P231" s="8"/>
      <c r="Q231" t="s">
        <v>26</v>
      </c>
    </row>
    <row r="232" spans="1:17" hidden="1" x14ac:dyDescent="0.25">
      <c r="A232" s="7" t="s">
        <v>17</v>
      </c>
      <c r="B232" s="7" t="s">
        <v>18</v>
      </c>
      <c r="C232" s="7" t="s">
        <v>19</v>
      </c>
      <c r="D232" s="7"/>
      <c r="E232" s="7"/>
      <c r="F232" s="7" t="s">
        <v>77</v>
      </c>
      <c r="G232" s="7" t="s">
        <v>78</v>
      </c>
      <c r="H232" s="7" t="s">
        <v>127</v>
      </c>
      <c r="I232" s="7" t="s">
        <v>130</v>
      </c>
      <c r="J232" s="8"/>
      <c r="K232" s="8"/>
      <c r="L232" s="8"/>
      <c r="M232" s="8"/>
      <c r="N232" s="8"/>
      <c r="O232" s="8">
        <v>0.61494599228558045</v>
      </c>
      <c r="P232" s="8"/>
      <c r="Q232" t="s">
        <v>26</v>
      </c>
    </row>
    <row r="233" spans="1:17" hidden="1" x14ac:dyDescent="0.25">
      <c r="A233" s="7" t="s">
        <v>17</v>
      </c>
      <c r="B233" s="7" t="s">
        <v>18</v>
      </c>
      <c r="C233" s="7" t="s">
        <v>19</v>
      </c>
      <c r="D233" s="7"/>
      <c r="E233" s="7"/>
      <c r="F233" s="7" t="s">
        <v>79</v>
      </c>
      <c r="G233" s="7" t="s">
        <v>80</v>
      </c>
      <c r="H233" s="7" t="s">
        <v>127</v>
      </c>
      <c r="I233" s="7" t="s">
        <v>130</v>
      </c>
      <c r="J233" s="8"/>
      <c r="K233" s="8"/>
      <c r="L233" s="8"/>
      <c r="M233" s="8"/>
      <c r="N233" s="8"/>
      <c r="O233" s="8">
        <v>0.98391358765692871</v>
      </c>
      <c r="P233" s="8"/>
      <c r="Q233" t="s">
        <v>26</v>
      </c>
    </row>
    <row r="234" spans="1:17" hidden="1" x14ac:dyDescent="0.25">
      <c r="A234" s="7" t="s">
        <v>17</v>
      </c>
      <c r="B234" s="7" t="s">
        <v>18</v>
      </c>
      <c r="C234" s="7" t="s">
        <v>19</v>
      </c>
      <c r="D234" s="7"/>
      <c r="E234" s="7"/>
      <c r="F234" s="7" t="s">
        <v>81</v>
      </c>
      <c r="G234" s="7" t="s">
        <v>82</v>
      </c>
      <c r="H234" s="7" t="s">
        <v>127</v>
      </c>
      <c r="I234" s="7" t="s">
        <v>130</v>
      </c>
      <c r="J234" s="8"/>
      <c r="K234" s="8"/>
      <c r="L234" s="8"/>
      <c r="M234" s="8"/>
      <c r="N234" s="8"/>
      <c r="O234" s="8">
        <v>3.1669718602707393</v>
      </c>
      <c r="P234" s="8"/>
      <c r="Q234" t="s">
        <v>26</v>
      </c>
    </row>
    <row r="235" spans="1:17" hidden="1" x14ac:dyDescent="0.25">
      <c r="A235" s="7" t="s">
        <v>17</v>
      </c>
      <c r="B235" s="7" t="s">
        <v>18</v>
      </c>
      <c r="C235" s="7" t="s">
        <v>19</v>
      </c>
      <c r="D235" s="7"/>
      <c r="E235" s="7"/>
      <c r="F235" s="7" t="s">
        <v>83</v>
      </c>
      <c r="G235" s="7" t="s">
        <v>84</v>
      </c>
      <c r="H235" s="7" t="s">
        <v>127</v>
      </c>
      <c r="I235" s="7" t="s">
        <v>130</v>
      </c>
      <c r="J235" s="8"/>
      <c r="K235" s="8"/>
      <c r="L235" s="8"/>
      <c r="M235" s="8"/>
      <c r="N235" s="8"/>
      <c r="O235" s="8">
        <v>1.6296068795567882</v>
      </c>
      <c r="P235" s="8"/>
      <c r="Q235" t="s">
        <v>26</v>
      </c>
    </row>
    <row r="236" spans="1:17" hidden="1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21</v>
      </c>
      <c r="F236" s="7" t="s">
        <v>85</v>
      </c>
      <c r="G236" s="7" t="s">
        <v>86</v>
      </c>
      <c r="H236" s="7" t="s">
        <v>127</v>
      </c>
      <c r="I236" s="7" t="s">
        <v>130</v>
      </c>
      <c r="J236" s="8"/>
      <c r="K236" s="8"/>
      <c r="L236" s="8"/>
      <c r="M236" s="8"/>
      <c r="N236" s="8"/>
      <c r="O236" s="8">
        <v>173.41476982453369</v>
      </c>
      <c r="P236" s="8"/>
      <c r="Q236" t="s">
        <v>26</v>
      </c>
    </row>
    <row r="237" spans="1:17" hidden="1" x14ac:dyDescent="0.25">
      <c r="A237" s="7" t="s">
        <v>17</v>
      </c>
      <c r="B237" s="7" t="s">
        <v>18</v>
      </c>
      <c r="C237" s="7" t="s">
        <v>19</v>
      </c>
      <c r="D237" s="7"/>
      <c r="E237" s="7"/>
      <c r="F237" s="7" t="s">
        <v>87</v>
      </c>
      <c r="G237" s="7" t="s">
        <v>88</v>
      </c>
      <c r="H237" s="7" t="s">
        <v>127</v>
      </c>
      <c r="I237" s="7" t="s">
        <v>130</v>
      </c>
      <c r="J237" s="8"/>
      <c r="K237" s="8"/>
      <c r="L237" s="8"/>
      <c r="M237" s="8"/>
      <c r="N237" s="8"/>
      <c r="O237" s="8">
        <v>2.5827731675994379</v>
      </c>
      <c r="P237" s="8"/>
      <c r="Q237" t="s">
        <v>26</v>
      </c>
    </row>
    <row r="238" spans="1:17" hidden="1" x14ac:dyDescent="0.25">
      <c r="A238" s="7" t="s">
        <v>17</v>
      </c>
      <c r="B238" s="7" t="s">
        <v>18</v>
      </c>
      <c r="C238" s="7" t="s">
        <v>19</v>
      </c>
      <c r="D238" s="7"/>
      <c r="E238" s="7"/>
      <c r="F238" s="7" t="s">
        <v>89</v>
      </c>
      <c r="G238" s="7" t="s">
        <v>90</v>
      </c>
      <c r="H238" s="7" t="s">
        <v>127</v>
      </c>
      <c r="I238" s="7" t="s">
        <v>130</v>
      </c>
      <c r="J238" s="8"/>
      <c r="K238" s="8"/>
      <c r="L238" s="8"/>
      <c r="M238" s="8"/>
      <c r="N238" s="8"/>
      <c r="O238" s="8">
        <v>187.40479114903067</v>
      </c>
      <c r="P238" s="8"/>
      <c r="Q238" t="s">
        <v>26</v>
      </c>
    </row>
    <row r="239" spans="1:17" hidden="1" x14ac:dyDescent="0.25">
      <c r="A239" s="7" t="s">
        <v>17</v>
      </c>
      <c r="B239" s="7" t="s">
        <v>18</v>
      </c>
      <c r="C239" s="7" t="s">
        <v>19</v>
      </c>
      <c r="D239" s="7"/>
      <c r="E239" s="7"/>
      <c r="F239" s="7" t="s">
        <v>91</v>
      </c>
      <c r="G239" s="7" t="s">
        <v>92</v>
      </c>
      <c r="H239" s="7" t="s">
        <v>127</v>
      </c>
      <c r="I239" s="7" t="s">
        <v>130</v>
      </c>
      <c r="J239" s="8"/>
      <c r="K239" s="8"/>
      <c r="L239" s="8"/>
      <c r="M239" s="8"/>
      <c r="N239" s="8"/>
      <c r="O239" s="8">
        <v>2.5827731675994379</v>
      </c>
      <c r="P239" s="8"/>
      <c r="Q239" t="s">
        <v>26</v>
      </c>
    </row>
    <row r="240" spans="1:17" hidden="1" x14ac:dyDescent="0.25">
      <c r="A240" s="7" t="s">
        <v>17</v>
      </c>
      <c r="B240" s="7" t="s">
        <v>18</v>
      </c>
      <c r="C240" s="7" t="s">
        <v>19</v>
      </c>
      <c r="D240" s="7"/>
      <c r="E240" s="7"/>
      <c r="F240" s="7" t="s">
        <v>93</v>
      </c>
      <c r="G240" s="7" t="s">
        <v>94</v>
      </c>
      <c r="H240" s="7" t="s">
        <v>127</v>
      </c>
      <c r="I240" s="7" t="s">
        <v>130</v>
      </c>
      <c r="J240" s="8"/>
      <c r="K240" s="8"/>
      <c r="L240" s="8"/>
      <c r="M240" s="8"/>
      <c r="N240" s="8"/>
      <c r="O240" s="8">
        <v>0.12298919845711609</v>
      </c>
      <c r="P240" s="8"/>
      <c r="Q240" t="s">
        <v>26</v>
      </c>
    </row>
    <row r="241" spans="1:17" hidden="1" x14ac:dyDescent="0.25">
      <c r="A241" s="7" t="s">
        <v>17</v>
      </c>
      <c r="B241" s="7" t="s">
        <v>18</v>
      </c>
      <c r="C241" s="7" t="s">
        <v>19</v>
      </c>
      <c r="D241" s="7"/>
      <c r="E241" s="7"/>
      <c r="F241" s="7" t="s">
        <v>95</v>
      </c>
      <c r="G241" s="7" t="s">
        <v>96</v>
      </c>
      <c r="H241" s="7" t="s">
        <v>127</v>
      </c>
      <c r="I241" s="7" t="s">
        <v>130</v>
      </c>
      <c r="J241" s="8"/>
      <c r="K241" s="8"/>
      <c r="L241" s="8"/>
      <c r="M241" s="8"/>
      <c r="N241" s="8"/>
      <c r="O241" s="8">
        <v>0.3382202957570693</v>
      </c>
      <c r="P241" s="8"/>
      <c r="Q241" t="s">
        <v>26</v>
      </c>
    </row>
    <row r="242" spans="1:17" hidden="1" x14ac:dyDescent="0.25">
      <c r="A242" s="7" t="s">
        <v>17</v>
      </c>
      <c r="B242" s="7" t="s">
        <v>18</v>
      </c>
      <c r="C242" s="7" t="s">
        <v>19</v>
      </c>
      <c r="D242" s="7"/>
      <c r="E242" s="7"/>
      <c r="F242" s="7" t="s">
        <v>97</v>
      </c>
      <c r="G242" s="7" t="s">
        <v>98</v>
      </c>
      <c r="H242" s="7" t="s">
        <v>127</v>
      </c>
      <c r="I242" s="7" t="s">
        <v>130</v>
      </c>
      <c r="J242" s="8"/>
      <c r="K242" s="8"/>
      <c r="L242" s="8"/>
      <c r="M242" s="8"/>
      <c r="N242" s="8"/>
      <c r="O242" s="8">
        <v>0.43046219459990631</v>
      </c>
      <c r="P242" s="8"/>
      <c r="Q242" t="s">
        <v>26</v>
      </c>
    </row>
    <row r="243" spans="1:17" hidden="1" x14ac:dyDescent="0.25">
      <c r="A243" s="7" t="s">
        <v>17</v>
      </c>
      <c r="B243" s="7" t="s">
        <v>18</v>
      </c>
      <c r="C243" s="7" t="s">
        <v>19</v>
      </c>
      <c r="D243" s="7"/>
      <c r="E243" s="7"/>
      <c r="F243" s="7" t="s">
        <v>99</v>
      </c>
      <c r="G243" s="7" t="s">
        <v>100</v>
      </c>
      <c r="H243" s="7" t="s">
        <v>127</v>
      </c>
      <c r="I243" s="7" t="s">
        <v>130</v>
      </c>
      <c r="J243" s="8"/>
      <c r="K243" s="8"/>
      <c r="L243" s="8"/>
      <c r="M243" s="8"/>
      <c r="N243" s="8"/>
      <c r="O243" s="8">
        <v>92.088162344765692</v>
      </c>
      <c r="P243" s="8"/>
      <c r="Q243" t="s">
        <v>26</v>
      </c>
    </row>
    <row r="244" spans="1:17" hidden="1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21</v>
      </c>
      <c r="F244" s="7" t="s">
        <v>101</v>
      </c>
      <c r="G244" s="7" t="s">
        <v>21</v>
      </c>
      <c r="H244" s="7" t="s">
        <v>127</v>
      </c>
      <c r="I244" s="7" t="s">
        <v>130</v>
      </c>
      <c r="J244" s="8"/>
      <c r="K244" s="8"/>
      <c r="L244" s="8"/>
      <c r="M244" s="8"/>
      <c r="N244" s="8"/>
      <c r="O244" s="8">
        <v>2545.4459458677034</v>
      </c>
      <c r="P244" s="8"/>
      <c r="Q244" t="s">
        <v>26</v>
      </c>
    </row>
    <row r="245" spans="1:17" hidden="1" x14ac:dyDescent="0.25">
      <c r="A245" s="7" t="s">
        <v>17</v>
      </c>
      <c r="B245" s="7" t="s">
        <v>18</v>
      </c>
      <c r="C245" s="7" t="s">
        <v>19</v>
      </c>
      <c r="D245" s="7"/>
      <c r="E245" s="7"/>
      <c r="F245" s="7" t="s">
        <v>102</v>
      </c>
      <c r="G245" s="7" t="s">
        <v>103</v>
      </c>
      <c r="H245" s="7" t="s">
        <v>127</v>
      </c>
      <c r="I245" s="7" t="s">
        <v>130</v>
      </c>
      <c r="J245" s="8"/>
      <c r="K245" s="8"/>
      <c r="L245" s="8"/>
      <c r="M245" s="8"/>
      <c r="N245" s="8"/>
      <c r="O245" s="8">
        <v>3.0747299614279022E-2</v>
      </c>
      <c r="P245" s="8"/>
      <c r="Q245" t="s">
        <v>26</v>
      </c>
    </row>
    <row r="246" spans="1:17" hidden="1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21</v>
      </c>
      <c r="F246" s="7" t="s">
        <v>104</v>
      </c>
      <c r="G246" s="7" t="s">
        <v>105</v>
      </c>
      <c r="H246" s="7" t="s">
        <v>127</v>
      </c>
      <c r="I246" s="7" t="s">
        <v>130</v>
      </c>
      <c r="J246" s="8"/>
      <c r="K246" s="8"/>
      <c r="L246" s="8"/>
      <c r="M246" s="8"/>
      <c r="N246" s="8"/>
      <c r="O246" s="8">
        <v>51.655463351988757</v>
      </c>
      <c r="P246" s="8"/>
      <c r="Q246" t="s">
        <v>26</v>
      </c>
    </row>
    <row r="247" spans="1:17" hidden="1" x14ac:dyDescent="0.25">
      <c r="A247" s="7" t="s">
        <v>17</v>
      </c>
      <c r="B247" s="7" t="s">
        <v>18</v>
      </c>
      <c r="C247" s="7" t="s">
        <v>19</v>
      </c>
      <c r="D247" s="7"/>
      <c r="E247" s="7"/>
      <c r="F247" s="7" t="s">
        <v>106</v>
      </c>
      <c r="G247" s="7" t="s">
        <v>107</v>
      </c>
      <c r="H247" s="7" t="s">
        <v>127</v>
      </c>
      <c r="I247" s="7" t="s">
        <v>130</v>
      </c>
      <c r="J247" s="8"/>
      <c r="K247" s="8"/>
      <c r="L247" s="8"/>
      <c r="M247" s="8"/>
      <c r="N247" s="8"/>
      <c r="O247" s="8">
        <v>0.95316628804264969</v>
      </c>
      <c r="P247" s="8"/>
      <c r="Q247" t="s">
        <v>26</v>
      </c>
    </row>
    <row r="248" spans="1:17" hidden="1" x14ac:dyDescent="0.25">
      <c r="A248" s="7" t="s">
        <v>17</v>
      </c>
      <c r="B248" s="7" t="s">
        <v>18</v>
      </c>
      <c r="C248" s="7" t="s">
        <v>19</v>
      </c>
      <c r="D248" s="7"/>
      <c r="E248" s="7"/>
      <c r="F248" s="7" t="s">
        <v>108</v>
      </c>
      <c r="G248" s="7" t="s">
        <v>109</v>
      </c>
      <c r="H248" s="7" t="s">
        <v>127</v>
      </c>
      <c r="I248" s="7" t="s">
        <v>130</v>
      </c>
      <c r="J248" s="8"/>
      <c r="K248" s="8"/>
      <c r="L248" s="8"/>
      <c r="M248" s="8"/>
      <c r="N248" s="8"/>
      <c r="O248" s="8">
        <v>0.55345139305702251</v>
      </c>
      <c r="P248" s="8"/>
      <c r="Q248" t="s">
        <v>26</v>
      </c>
    </row>
    <row r="249" spans="1:17" hidden="1" x14ac:dyDescent="0.25">
      <c r="A249" s="7" t="s">
        <v>17</v>
      </c>
      <c r="B249" s="7" t="s">
        <v>18</v>
      </c>
      <c r="C249" s="7" t="s">
        <v>19</v>
      </c>
      <c r="D249" s="7"/>
      <c r="E249" s="7"/>
      <c r="F249" s="7" t="s">
        <v>110</v>
      </c>
      <c r="G249" s="7" t="s">
        <v>111</v>
      </c>
      <c r="H249" s="7" t="s">
        <v>127</v>
      </c>
      <c r="I249" s="7" t="s">
        <v>130</v>
      </c>
      <c r="J249" s="8"/>
      <c r="K249" s="8"/>
      <c r="L249" s="8"/>
      <c r="M249" s="8"/>
      <c r="N249" s="8"/>
      <c r="O249" s="8">
        <v>53.869268924216854</v>
      </c>
      <c r="P249" s="8"/>
      <c r="Q249" t="s">
        <v>26</v>
      </c>
    </row>
    <row r="250" spans="1:17" hidden="1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21</v>
      </c>
      <c r="F250" s="7" t="s">
        <v>112</v>
      </c>
      <c r="G250" s="7" t="s">
        <v>113</v>
      </c>
      <c r="H250" s="7" t="s">
        <v>127</v>
      </c>
      <c r="I250" s="7" t="s">
        <v>130</v>
      </c>
      <c r="J250" s="8"/>
      <c r="K250" s="8"/>
      <c r="L250" s="8"/>
      <c r="M250" s="8"/>
      <c r="N250" s="8"/>
      <c r="O250" s="8">
        <v>59.403782854787075</v>
      </c>
      <c r="P250" s="8"/>
      <c r="Q250" t="s">
        <v>26</v>
      </c>
    </row>
    <row r="251" spans="1:17" hidden="1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21</v>
      </c>
      <c r="F251" s="7" t="s">
        <v>114</v>
      </c>
      <c r="G251" s="7" t="s">
        <v>115</v>
      </c>
      <c r="H251" s="7" t="s">
        <v>127</v>
      </c>
      <c r="I251" s="7" t="s">
        <v>130</v>
      </c>
      <c r="J251" s="8"/>
      <c r="K251" s="8"/>
      <c r="L251" s="8"/>
      <c r="M251" s="8"/>
      <c r="N251" s="8"/>
      <c r="O251" s="8">
        <v>1394.3285429083251</v>
      </c>
      <c r="P251" s="8"/>
      <c r="Q251" t="s">
        <v>26</v>
      </c>
    </row>
    <row r="252" spans="1:17" hidden="1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21</v>
      </c>
      <c r="F252" s="7" t="s">
        <v>116</v>
      </c>
      <c r="G252" s="7" t="s">
        <v>117</v>
      </c>
      <c r="H252" s="7" t="s">
        <v>127</v>
      </c>
      <c r="I252" s="7" t="s">
        <v>130</v>
      </c>
      <c r="J252" s="8"/>
      <c r="K252" s="8"/>
      <c r="L252" s="8"/>
      <c r="M252" s="8"/>
      <c r="N252" s="8"/>
      <c r="O252" s="8">
        <v>7.2871100085841292</v>
      </c>
      <c r="P252" s="8"/>
      <c r="Q252" t="s">
        <v>26</v>
      </c>
    </row>
    <row r="253" spans="1:17" hidden="1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21</v>
      </c>
      <c r="F253" s="7" t="s">
        <v>118</v>
      </c>
      <c r="G253" s="7" t="s">
        <v>119</v>
      </c>
      <c r="H253" s="7" t="s">
        <v>127</v>
      </c>
      <c r="I253" s="7" t="s">
        <v>130</v>
      </c>
      <c r="J253" s="8"/>
      <c r="K253" s="8"/>
      <c r="L253" s="8"/>
      <c r="M253" s="8"/>
      <c r="N253" s="8"/>
      <c r="O253" s="8">
        <v>1308.328345887187</v>
      </c>
      <c r="P253" s="8"/>
      <c r="Q253" t="s">
        <v>26</v>
      </c>
    </row>
    <row r="254" spans="1:17" hidden="1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21</v>
      </c>
      <c r="F254" s="7" t="s">
        <v>120</v>
      </c>
      <c r="G254" s="7" t="s">
        <v>121</v>
      </c>
      <c r="H254" s="7" t="s">
        <v>127</v>
      </c>
      <c r="I254" s="7" t="s">
        <v>130</v>
      </c>
      <c r="J254" s="8"/>
      <c r="K254" s="8"/>
      <c r="L254" s="8"/>
      <c r="M254" s="8"/>
      <c r="N254" s="8"/>
      <c r="O254" s="8">
        <v>22.998980111480712</v>
      </c>
      <c r="P254" s="8"/>
      <c r="Q254" t="s">
        <v>26</v>
      </c>
    </row>
    <row r="255" spans="1:17" hidden="1" x14ac:dyDescent="0.25">
      <c r="A255" s="7" t="s">
        <v>17</v>
      </c>
      <c r="B255" s="7" t="s">
        <v>18</v>
      </c>
      <c r="C255" s="7" t="s">
        <v>19</v>
      </c>
      <c r="D255" s="7"/>
      <c r="E255" s="7"/>
      <c r="F255" s="7" t="s">
        <v>122</v>
      </c>
      <c r="G255" s="7" t="s">
        <v>123</v>
      </c>
      <c r="H255" s="7" t="s">
        <v>127</v>
      </c>
      <c r="I255" s="7" t="s">
        <v>130</v>
      </c>
      <c r="J255" s="8"/>
      <c r="K255" s="8"/>
      <c r="L255" s="8"/>
      <c r="M255" s="8"/>
      <c r="N255" s="8"/>
      <c r="O255" s="8">
        <v>0</v>
      </c>
      <c r="P255" s="8"/>
      <c r="Q255" t="s">
        <v>26</v>
      </c>
    </row>
    <row r="256" spans="1:17" hidden="1" x14ac:dyDescent="0.25">
      <c r="A256" s="7" t="s">
        <v>17</v>
      </c>
      <c r="B256" s="7" t="s">
        <v>18</v>
      </c>
      <c r="C256" s="7" t="s">
        <v>19</v>
      </c>
      <c r="D256" s="7"/>
      <c r="E256" s="7"/>
      <c r="F256" s="7" t="s">
        <v>124</v>
      </c>
      <c r="G256" s="7" t="s">
        <v>125</v>
      </c>
      <c r="H256" s="7" t="s">
        <v>127</v>
      </c>
      <c r="I256" s="7" t="s">
        <v>130</v>
      </c>
      <c r="J256" s="8"/>
      <c r="K256" s="8"/>
      <c r="L256" s="8"/>
      <c r="M256" s="8"/>
      <c r="N256" s="8"/>
      <c r="O256" s="8">
        <v>3.5051921560278094</v>
      </c>
      <c r="P256" s="8"/>
      <c r="Q256" t="s">
        <v>26</v>
      </c>
    </row>
    <row r="257" spans="1:17" hidden="1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21</v>
      </c>
      <c r="F257" s="7" t="s">
        <v>22</v>
      </c>
      <c r="G257" s="7" t="s">
        <v>23</v>
      </c>
      <c r="H257" s="7" t="s">
        <v>127</v>
      </c>
      <c r="I257" s="7" t="s">
        <v>131</v>
      </c>
      <c r="J257" s="8"/>
      <c r="K257" s="8"/>
      <c r="L257" s="8"/>
      <c r="M257" s="8"/>
      <c r="N257" s="8"/>
      <c r="O257" s="8">
        <v>0</v>
      </c>
      <c r="P257" s="8"/>
      <c r="Q257" t="s">
        <v>26</v>
      </c>
    </row>
    <row r="258" spans="1:17" hidden="1" x14ac:dyDescent="0.25">
      <c r="A258" s="7" t="s">
        <v>17</v>
      </c>
      <c r="B258" s="7" t="s">
        <v>18</v>
      </c>
      <c r="C258" s="7" t="s">
        <v>19</v>
      </c>
      <c r="D258" s="7"/>
      <c r="E258" s="7"/>
      <c r="F258" s="7" t="s">
        <v>27</v>
      </c>
      <c r="G258" s="7" t="s">
        <v>28</v>
      </c>
      <c r="H258" s="7" t="s">
        <v>127</v>
      </c>
      <c r="I258" s="7" t="s">
        <v>131</v>
      </c>
      <c r="J258" s="8"/>
      <c r="K258" s="8"/>
      <c r="L258" s="8"/>
      <c r="M258" s="8"/>
      <c r="N258" s="8"/>
      <c r="O258" s="8">
        <v>0</v>
      </c>
      <c r="P258" s="8"/>
      <c r="Q258" t="s">
        <v>26</v>
      </c>
    </row>
    <row r="259" spans="1:17" hidden="1" x14ac:dyDescent="0.25">
      <c r="A259" s="7" t="s">
        <v>17</v>
      </c>
      <c r="B259" s="7" t="s">
        <v>18</v>
      </c>
      <c r="C259" s="7" t="s">
        <v>19</v>
      </c>
      <c r="D259" s="7"/>
      <c r="E259" s="7"/>
      <c r="F259" s="7" t="s">
        <v>29</v>
      </c>
      <c r="G259" s="7" t="s">
        <v>30</v>
      </c>
      <c r="H259" s="7" t="s">
        <v>127</v>
      </c>
      <c r="I259" s="7" t="s">
        <v>131</v>
      </c>
      <c r="J259" s="8"/>
      <c r="K259" s="8"/>
      <c r="L259" s="8"/>
      <c r="M259" s="8"/>
      <c r="N259" s="8"/>
      <c r="O259" s="8">
        <v>0</v>
      </c>
      <c r="P259" s="8"/>
      <c r="Q259" t="s">
        <v>26</v>
      </c>
    </row>
    <row r="260" spans="1:17" hidden="1" x14ac:dyDescent="0.25">
      <c r="A260" s="7" t="s">
        <v>17</v>
      </c>
      <c r="B260" s="7" t="s">
        <v>18</v>
      </c>
      <c r="C260" s="7" t="s">
        <v>19</v>
      </c>
      <c r="D260" s="7"/>
      <c r="E260" s="7"/>
      <c r="F260" s="7" t="s">
        <v>31</v>
      </c>
      <c r="G260" s="7" t="s">
        <v>32</v>
      </c>
      <c r="H260" s="7" t="s">
        <v>127</v>
      </c>
      <c r="I260" s="7" t="s">
        <v>131</v>
      </c>
      <c r="J260" s="8"/>
      <c r="K260" s="8"/>
      <c r="L260" s="8"/>
      <c r="M260" s="8"/>
      <c r="N260" s="8"/>
      <c r="O260" s="8">
        <v>19.826609183009371</v>
      </c>
      <c r="P260" s="8"/>
      <c r="Q260" t="s">
        <v>26</v>
      </c>
    </row>
    <row r="261" spans="1:17" hidden="1" x14ac:dyDescent="0.25">
      <c r="A261" s="7" t="s">
        <v>17</v>
      </c>
      <c r="B261" s="7" t="s">
        <v>18</v>
      </c>
      <c r="C261" s="7" t="s">
        <v>19</v>
      </c>
      <c r="D261" s="7"/>
      <c r="E261" s="7"/>
      <c r="F261" s="7" t="s">
        <v>33</v>
      </c>
      <c r="G261" s="7" t="s">
        <v>34</v>
      </c>
      <c r="H261" s="7" t="s">
        <v>127</v>
      </c>
      <c r="I261" s="7" t="s">
        <v>131</v>
      </c>
      <c r="J261" s="8"/>
      <c r="K261" s="8"/>
      <c r="L261" s="8"/>
      <c r="M261" s="8"/>
      <c r="N261" s="8"/>
      <c r="O261" s="8">
        <v>3.8875704280410526</v>
      </c>
      <c r="P261" s="8"/>
      <c r="Q261" t="s">
        <v>26</v>
      </c>
    </row>
    <row r="262" spans="1:17" hidden="1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21</v>
      </c>
      <c r="F262" s="7" t="s">
        <v>35</v>
      </c>
      <c r="G262" s="7" t="s">
        <v>36</v>
      </c>
      <c r="H262" s="7" t="s">
        <v>127</v>
      </c>
      <c r="I262" s="7" t="s">
        <v>131</v>
      </c>
      <c r="J262" s="8"/>
      <c r="K262" s="8"/>
      <c r="L262" s="8"/>
      <c r="M262" s="8"/>
      <c r="N262" s="8"/>
      <c r="O262" s="8">
        <v>59.479827549028094</v>
      </c>
      <c r="P262" s="8"/>
      <c r="Q262" t="s">
        <v>26</v>
      </c>
    </row>
    <row r="263" spans="1:17" hidden="1" x14ac:dyDescent="0.25">
      <c r="A263" s="7" t="s">
        <v>17</v>
      </c>
      <c r="B263" s="7" t="s">
        <v>18</v>
      </c>
      <c r="C263" s="7" t="s">
        <v>19</v>
      </c>
      <c r="D263" s="7"/>
      <c r="E263" s="7"/>
      <c r="F263" s="7" t="s">
        <v>37</v>
      </c>
      <c r="G263" s="7" t="s">
        <v>38</v>
      </c>
      <c r="H263" s="7" t="s">
        <v>127</v>
      </c>
      <c r="I263" s="7" t="s">
        <v>131</v>
      </c>
      <c r="J263" s="8"/>
      <c r="K263" s="8"/>
      <c r="L263" s="8"/>
      <c r="M263" s="8"/>
      <c r="N263" s="8"/>
      <c r="O263" s="8">
        <v>1.5550281712164211</v>
      </c>
      <c r="P263" s="8"/>
      <c r="Q263" t="s">
        <v>26</v>
      </c>
    </row>
    <row r="264" spans="1:17" hidden="1" x14ac:dyDescent="0.25">
      <c r="A264" s="7" t="s">
        <v>17</v>
      </c>
      <c r="B264" s="7" t="s">
        <v>18</v>
      </c>
      <c r="C264" s="7" t="s">
        <v>19</v>
      </c>
      <c r="D264" s="7"/>
      <c r="E264" s="7"/>
      <c r="F264" s="7" t="s">
        <v>39</v>
      </c>
      <c r="G264" s="7" t="s">
        <v>40</v>
      </c>
      <c r="H264" s="7" t="s">
        <v>127</v>
      </c>
      <c r="I264" s="7" t="s">
        <v>131</v>
      </c>
      <c r="J264" s="8"/>
      <c r="K264" s="8"/>
      <c r="L264" s="8"/>
      <c r="M264" s="8"/>
      <c r="N264" s="8"/>
      <c r="O264" s="8">
        <v>0</v>
      </c>
      <c r="P264" s="8"/>
      <c r="Q264" t="s">
        <v>26</v>
      </c>
    </row>
    <row r="265" spans="1:17" hidden="1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21</v>
      </c>
      <c r="F265" s="7" t="s">
        <v>41</v>
      </c>
      <c r="G265" s="7" t="s">
        <v>42</v>
      </c>
      <c r="H265" s="7" t="s">
        <v>127</v>
      </c>
      <c r="I265" s="7" t="s">
        <v>131</v>
      </c>
      <c r="J265" s="8"/>
      <c r="K265" s="8"/>
      <c r="L265" s="8"/>
      <c r="M265" s="8"/>
      <c r="N265" s="8"/>
      <c r="O265" s="8">
        <v>19.437852140205269</v>
      </c>
      <c r="P265" s="8"/>
      <c r="Q265" t="s">
        <v>26</v>
      </c>
    </row>
    <row r="266" spans="1:17" hidden="1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21</v>
      </c>
      <c r="F266" s="7" t="s">
        <v>43</v>
      </c>
      <c r="G266" s="7" t="s">
        <v>44</v>
      </c>
      <c r="H266" s="7" t="s">
        <v>127</v>
      </c>
      <c r="I266" s="7" t="s">
        <v>131</v>
      </c>
      <c r="J266" s="8"/>
      <c r="K266" s="8"/>
      <c r="L266" s="8"/>
      <c r="M266" s="8"/>
      <c r="N266" s="8"/>
      <c r="O266" s="8">
        <v>0</v>
      </c>
      <c r="P266" s="8"/>
      <c r="Q266" t="s">
        <v>26</v>
      </c>
    </row>
    <row r="267" spans="1:17" hidden="1" x14ac:dyDescent="0.25">
      <c r="A267" s="7" t="s">
        <v>17</v>
      </c>
      <c r="B267" s="7" t="s">
        <v>18</v>
      </c>
      <c r="C267" s="7" t="s">
        <v>19</v>
      </c>
      <c r="D267" s="7"/>
      <c r="E267" s="7"/>
      <c r="F267" s="7" t="s">
        <v>45</v>
      </c>
      <c r="G267" s="7" t="s">
        <v>46</v>
      </c>
      <c r="H267" s="7" t="s">
        <v>127</v>
      </c>
      <c r="I267" s="7" t="s">
        <v>131</v>
      </c>
      <c r="J267" s="8"/>
      <c r="K267" s="8"/>
      <c r="L267" s="8"/>
      <c r="M267" s="8"/>
      <c r="N267" s="8"/>
      <c r="O267" s="8">
        <v>0.77751408560821056</v>
      </c>
      <c r="P267" s="8"/>
      <c r="Q267" t="s">
        <v>26</v>
      </c>
    </row>
    <row r="268" spans="1:17" hidden="1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21</v>
      </c>
      <c r="F268" s="7" t="s">
        <v>47</v>
      </c>
      <c r="G268" s="7" t="s">
        <v>48</v>
      </c>
      <c r="H268" s="7" t="s">
        <v>127</v>
      </c>
      <c r="I268" s="7" t="s">
        <v>131</v>
      </c>
      <c r="J268" s="8"/>
      <c r="K268" s="8"/>
      <c r="L268" s="8"/>
      <c r="M268" s="8"/>
      <c r="N268" s="8"/>
      <c r="O268" s="8">
        <v>3.1100563424328422</v>
      </c>
      <c r="P268" s="8"/>
      <c r="Q268" t="s">
        <v>26</v>
      </c>
    </row>
    <row r="269" spans="1:17" hidden="1" x14ac:dyDescent="0.25">
      <c r="A269" s="7" t="s">
        <v>17</v>
      </c>
      <c r="B269" s="7" t="s">
        <v>18</v>
      </c>
      <c r="C269" s="7" t="s">
        <v>19</v>
      </c>
      <c r="D269" s="7"/>
      <c r="E269" s="7"/>
      <c r="F269" s="7" t="s">
        <v>49</v>
      </c>
      <c r="G269" s="7" t="s">
        <v>50</v>
      </c>
      <c r="H269" s="7" t="s">
        <v>127</v>
      </c>
      <c r="I269" s="7" t="s">
        <v>131</v>
      </c>
      <c r="J269" s="8"/>
      <c r="K269" s="8"/>
      <c r="L269" s="8"/>
      <c r="M269" s="8"/>
      <c r="N269" s="8"/>
      <c r="O269" s="8">
        <v>2.3325422568246319</v>
      </c>
      <c r="P269" s="8"/>
      <c r="Q269" t="s">
        <v>26</v>
      </c>
    </row>
    <row r="270" spans="1:17" hidden="1" x14ac:dyDescent="0.25">
      <c r="A270" s="7" t="s">
        <v>17</v>
      </c>
      <c r="B270" s="7" t="s">
        <v>18</v>
      </c>
      <c r="C270" s="7" t="s">
        <v>19</v>
      </c>
      <c r="D270" s="7"/>
      <c r="E270" s="7"/>
      <c r="F270" s="7" t="s">
        <v>51</v>
      </c>
      <c r="G270" s="7" t="s">
        <v>52</v>
      </c>
      <c r="H270" s="7" t="s">
        <v>127</v>
      </c>
      <c r="I270" s="7" t="s">
        <v>131</v>
      </c>
      <c r="J270" s="8"/>
      <c r="K270" s="8"/>
      <c r="L270" s="8"/>
      <c r="M270" s="8"/>
      <c r="N270" s="8"/>
      <c r="O270" s="8">
        <v>4.6650845136492629</v>
      </c>
      <c r="P270" s="8"/>
      <c r="Q270" t="s">
        <v>26</v>
      </c>
    </row>
    <row r="271" spans="1:17" hidden="1" x14ac:dyDescent="0.25">
      <c r="A271" s="7" t="s">
        <v>17</v>
      </c>
      <c r="B271" s="7" t="s">
        <v>18</v>
      </c>
      <c r="C271" s="7" t="s">
        <v>19</v>
      </c>
      <c r="D271" s="7"/>
      <c r="E271" s="7"/>
      <c r="F271" s="7" t="s">
        <v>53</v>
      </c>
      <c r="G271" s="7" t="s">
        <v>54</v>
      </c>
      <c r="H271" s="7" t="s">
        <v>127</v>
      </c>
      <c r="I271" s="7" t="s">
        <v>131</v>
      </c>
      <c r="J271" s="8"/>
      <c r="K271" s="8"/>
      <c r="L271" s="8"/>
      <c r="M271" s="8"/>
      <c r="N271" s="8"/>
      <c r="O271" s="8">
        <v>0</v>
      </c>
      <c r="P271" s="8"/>
      <c r="Q271" t="s">
        <v>26</v>
      </c>
    </row>
    <row r="272" spans="1:17" hidden="1" x14ac:dyDescent="0.25">
      <c r="A272" s="7" t="s">
        <v>17</v>
      </c>
      <c r="B272" s="7" t="s">
        <v>18</v>
      </c>
      <c r="C272" s="7" t="s">
        <v>19</v>
      </c>
      <c r="D272" s="7"/>
      <c r="E272" s="7"/>
      <c r="F272" s="7" t="s">
        <v>55</v>
      </c>
      <c r="G272" s="7" t="s">
        <v>56</v>
      </c>
      <c r="H272" s="7" t="s">
        <v>127</v>
      </c>
      <c r="I272" s="7" t="s">
        <v>131</v>
      </c>
      <c r="J272" s="8"/>
      <c r="K272" s="8"/>
      <c r="L272" s="8"/>
      <c r="M272" s="8"/>
      <c r="N272" s="8"/>
      <c r="O272" s="8">
        <v>0</v>
      </c>
      <c r="P272" s="8"/>
      <c r="Q272" t="s">
        <v>26</v>
      </c>
    </row>
    <row r="273" spans="1:17" hidden="1" x14ac:dyDescent="0.25">
      <c r="A273" s="7" t="s">
        <v>17</v>
      </c>
      <c r="B273" s="7" t="s">
        <v>18</v>
      </c>
      <c r="C273" s="7" t="s">
        <v>19</v>
      </c>
      <c r="D273" s="7"/>
      <c r="E273" s="7"/>
      <c r="F273" s="7" t="s">
        <v>57</v>
      </c>
      <c r="G273" s="7" t="s">
        <v>58</v>
      </c>
      <c r="H273" s="7" t="s">
        <v>127</v>
      </c>
      <c r="I273" s="7" t="s">
        <v>131</v>
      </c>
      <c r="J273" s="8"/>
      <c r="K273" s="8"/>
      <c r="L273" s="8"/>
      <c r="M273" s="8"/>
      <c r="N273" s="8"/>
      <c r="O273" s="8">
        <v>1.5550281712164211</v>
      </c>
      <c r="P273" s="8"/>
      <c r="Q273" t="s">
        <v>26</v>
      </c>
    </row>
    <row r="274" spans="1:17" hidden="1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21</v>
      </c>
      <c r="F274" s="7" t="s">
        <v>59</v>
      </c>
      <c r="G274" s="7" t="s">
        <v>60</v>
      </c>
      <c r="H274" s="7" t="s">
        <v>127</v>
      </c>
      <c r="I274" s="7" t="s">
        <v>131</v>
      </c>
      <c r="J274" s="8"/>
      <c r="K274" s="8"/>
      <c r="L274" s="8"/>
      <c r="M274" s="8"/>
      <c r="N274" s="8"/>
      <c r="O274" s="8">
        <v>4.6650845136492629</v>
      </c>
      <c r="P274" s="8"/>
      <c r="Q274" t="s">
        <v>26</v>
      </c>
    </row>
    <row r="275" spans="1:17" hidden="1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21</v>
      </c>
      <c r="F275" s="7" t="s">
        <v>61</v>
      </c>
      <c r="G275" s="7" t="s">
        <v>62</v>
      </c>
      <c r="H275" s="7" t="s">
        <v>127</v>
      </c>
      <c r="I275" s="7" t="s">
        <v>131</v>
      </c>
      <c r="J275" s="8"/>
      <c r="K275" s="8"/>
      <c r="L275" s="8"/>
      <c r="M275" s="8"/>
      <c r="N275" s="8"/>
      <c r="O275" s="8">
        <v>51.315929650141904</v>
      </c>
      <c r="P275" s="8"/>
      <c r="Q275" t="s">
        <v>26</v>
      </c>
    </row>
    <row r="276" spans="1:17" hidden="1" x14ac:dyDescent="0.25">
      <c r="A276" s="7" t="s">
        <v>17</v>
      </c>
      <c r="B276" s="7" t="s">
        <v>18</v>
      </c>
      <c r="C276" s="7" t="s">
        <v>19</v>
      </c>
      <c r="D276" s="7"/>
      <c r="E276" s="7"/>
      <c r="F276" s="7" t="s">
        <v>63</v>
      </c>
      <c r="G276" s="7" t="s">
        <v>64</v>
      </c>
      <c r="H276" s="7" t="s">
        <v>127</v>
      </c>
      <c r="I276" s="7" t="s">
        <v>131</v>
      </c>
      <c r="J276" s="8"/>
      <c r="K276" s="8"/>
      <c r="L276" s="8"/>
      <c r="M276" s="8"/>
      <c r="N276" s="8"/>
      <c r="O276" s="8">
        <v>1.5550281712164211</v>
      </c>
      <c r="P276" s="8"/>
      <c r="Q276" t="s">
        <v>26</v>
      </c>
    </row>
    <row r="277" spans="1:17" hidden="1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21</v>
      </c>
      <c r="F277" s="7" t="s">
        <v>65</v>
      </c>
      <c r="G277" s="7" t="s">
        <v>66</v>
      </c>
      <c r="H277" s="7" t="s">
        <v>127</v>
      </c>
      <c r="I277" s="7" t="s">
        <v>131</v>
      </c>
      <c r="J277" s="8"/>
      <c r="K277" s="8"/>
      <c r="L277" s="8"/>
      <c r="M277" s="8"/>
      <c r="N277" s="8"/>
      <c r="O277" s="8">
        <v>49.760901478925469</v>
      </c>
      <c r="P277" s="8"/>
      <c r="Q277" t="s">
        <v>26</v>
      </c>
    </row>
    <row r="278" spans="1:17" hidden="1" x14ac:dyDescent="0.25">
      <c r="A278" s="7" t="s">
        <v>17</v>
      </c>
      <c r="B278" s="7" t="s">
        <v>18</v>
      </c>
      <c r="C278" s="7" t="s">
        <v>19</v>
      </c>
      <c r="D278" s="7"/>
      <c r="E278" s="7"/>
      <c r="F278" s="7" t="s">
        <v>67</v>
      </c>
      <c r="G278" s="7" t="s">
        <v>68</v>
      </c>
      <c r="H278" s="7" t="s">
        <v>127</v>
      </c>
      <c r="I278" s="7" t="s">
        <v>131</v>
      </c>
      <c r="J278" s="8"/>
      <c r="K278" s="8"/>
      <c r="L278" s="8"/>
      <c r="M278" s="8"/>
      <c r="N278" s="8"/>
      <c r="O278" s="8">
        <v>4.6650845136492638</v>
      </c>
      <c r="P278" s="8"/>
      <c r="Q278" t="s">
        <v>26</v>
      </c>
    </row>
    <row r="279" spans="1:17" hidden="1" x14ac:dyDescent="0.25">
      <c r="A279" s="7" t="s">
        <v>17</v>
      </c>
      <c r="B279" s="7" t="s">
        <v>18</v>
      </c>
      <c r="C279" s="7" t="s">
        <v>19</v>
      </c>
      <c r="D279" s="7"/>
      <c r="E279" s="7"/>
      <c r="F279" s="7" t="s">
        <v>69</v>
      </c>
      <c r="G279" s="7" t="s">
        <v>70</v>
      </c>
      <c r="H279" s="7" t="s">
        <v>127</v>
      </c>
      <c r="I279" s="7" t="s">
        <v>131</v>
      </c>
      <c r="J279" s="8"/>
      <c r="K279" s="8"/>
      <c r="L279" s="8"/>
      <c r="M279" s="8"/>
      <c r="N279" s="8"/>
      <c r="O279" s="8">
        <v>0</v>
      </c>
      <c r="P279" s="8"/>
      <c r="Q279" t="s">
        <v>26</v>
      </c>
    </row>
    <row r="280" spans="1:17" hidden="1" x14ac:dyDescent="0.25">
      <c r="A280" s="7" t="s">
        <v>17</v>
      </c>
      <c r="B280" s="7" t="s">
        <v>18</v>
      </c>
      <c r="C280" s="7" t="s">
        <v>19</v>
      </c>
      <c r="D280" s="7"/>
      <c r="E280" s="7"/>
      <c r="F280" s="7" t="s">
        <v>71</v>
      </c>
      <c r="G280" s="7" t="s">
        <v>72</v>
      </c>
      <c r="H280" s="7" t="s">
        <v>127</v>
      </c>
      <c r="I280" s="7" t="s">
        <v>131</v>
      </c>
      <c r="J280" s="8"/>
      <c r="K280" s="8"/>
      <c r="L280" s="8"/>
      <c r="M280" s="8"/>
      <c r="N280" s="8"/>
      <c r="O280" s="8">
        <v>0.77751408560821056</v>
      </c>
      <c r="P280" s="8"/>
      <c r="Q280" t="s">
        <v>26</v>
      </c>
    </row>
    <row r="281" spans="1:17" hidden="1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21</v>
      </c>
      <c r="F281" s="7" t="s">
        <v>73</v>
      </c>
      <c r="G281" s="7" t="s">
        <v>74</v>
      </c>
      <c r="H281" s="7" t="s">
        <v>127</v>
      </c>
      <c r="I281" s="7" t="s">
        <v>131</v>
      </c>
      <c r="J281" s="8"/>
      <c r="K281" s="8"/>
      <c r="L281" s="8"/>
      <c r="M281" s="8"/>
      <c r="N281" s="8"/>
      <c r="O281" s="8">
        <v>2.3325422568246319</v>
      </c>
      <c r="P281" s="8"/>
      <c r="Q281" t="s">
        <v>26</v>
      </c>
    </row>
    <row r="282" spans="1:17" hidden="1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21</v>
      </c>
      <c r="F282" s="7" t="s">
        <v>75</v>
      </c>
      <c r="G282" s="7" t="s">
        <v>76</v>
      </c>
      <c r="H282" s="7" t="s">
        <v>127</v>
      </c>
      <c r="I282" s="7" t="s">
        <v>131</v>
      </c>
      <c r="J282" s="8"/>
      <c r="K282" s="8"/>
      <c r="L282" s="8"/>
      <c r="M282" s="8"/>
      <c r="N282" s="8"/>
      <c r="O282" s="8">
        <v>186.60338054597062</v>
      </c>
      <c r="P282" s="8"/>
      <c r="Q282" t="s">
        <v>26</v>
      </c>
    </row>
    <row r="283" spans="1:17" hidden="1" x14ac:dyDescent="0.25">
      <c r="A283" s="7" t="s">
        <v>17</v>
      </c>
      <c r="B283" s="7" t="s">
        <v>18</v>
      </c>
      <c r="C283" s="7" t="s">
        <v>19</v>
      </c>
      <c r="D283" s="7"/>
      <c r="E283" s="7"/>
      <c r="F283" s="7" t="s">
        <v>77</v>
      </c>
      <c r="G283" s="7" t="s">
        <v>78</v>
      </c>
      <c r="H283" s="7" t="s">
        <v>127</v>
      </c>
      <c r="I283" s="7" t="s">
        <v>131</v>
      </c>
      <c r="J283" s="8"/>
      <c r="K283" s="8"/>
      <c r="L283" s="8"/>
      <c r="M283" s="8"/>
      <c r="N283" s="8"/>
      <c r="O283" s="8">
        <v>0</v>
      </c>
      <c r="P283" s="8"/>
      <c r="Q283" t="s">
        <v>26</v>
      </c>
    </row>
    <row r="284" spans="1:17" hidden="1" x14ac:dyDescent="0.25">
      <c r="A284" s="7" t="s">
        <v>17</v>
      </c>
      <c r="B284" s="7" t="s">
        <v>18</v>
      </c>
      <c r="C284" s="7" t="s">
        <v>19</v>
      </c>
      <c r="D284" s="7"/>
      <c r="E284" s="7"/>
      <c r="F284" s="7" t="s">
        <v>79</v>
      </c>
      <c r="G284" s="7" t="s">
        <v>80</v>
      </c>
      <c r="H284" s="7" t="s">
        <v>127</v>
      </c>
      <c r="I284" s="7" t="s">
        <v>131</v>
      </c>
      <c r="J284" s="8"/>
      <c r="K284" s="8"/>
      <c r="L284" s="8"/>
      <c r="M284" s="8"/>
      <c r="N284" s="8"/>
      <c r="O284" s="8">
        <v>0</v>
      </c>
      <c r="P284" s="8"/>
      <c r="Q284" t="s">
        <v>26</v>
      </c>
    </row>
    <row r="285" spans="1:17" hidden="1" x14ac:dyDescent="0.25">
      <c r="A285" s="7" t="s">
        <v>17</v>
      </c>
      <c r="B285" s="7" t="s">
        <v>18</v>
      </c>
      <c r="C285" s="7" t="s">
        <v>19</v>
      </c>
      <c r="D285" s="7"/>
      <c r="E285" s="7"/>
      <c r="F285" s="7" t="s">
        <v>81</v>
      </c>
      <c r="G285" s="7" t="s">
        <v>82</v>
      </c>
      <c r="H285" s="7" t="s">
        <v>127</v>
      </c>
      <c r="I285" s="7" t="s">
        <v>131</v>
      </c>
      <c r="J285" s="8"/>
      <c r="K285" s="8"/>
      <c r="L285" s="8"/>
      <c r="M285" s="8"/>
      <c r="N285" s="8"/>
      <c r="O285" s="8">
        <v>3.1100563424328422</v>
      </c>
      <c r="P285" s="8"/>
      <c r="Q285" t="s">
        <v>26</v>
      </c>
    </row>
    <row r="286" spans="1:17" hidden="1" x14ac:dyDescent="0.25">
      <c r="A286" s="7" t="s">
        <v>17</v>
      </c>
      <c r="B286" s="7" t="s">
        <v>18</v>
      </c>
      <c r="C286" s="7" t="s">
        <v>19</v>
      </c>
      <c r="D286" s="7"/>
      <c r="E286" s="7"/>
      <c r="F286" s="7" t="s">
        <v>83</v>
      </c>
      <c r="G286" s="7" t="s">
        <v>84</v>
      </c>
      <c r="H286" s="7" t="s">
        <v>127</v>
      </c>
      <c r="I286" s="7" t="s">
        <v>131</v>
      </c>
      <c r="J286" s="8"/>
      <c r="K286" s="8"/>
      <c r="L286" s="8"/>
      <c r="M286" s="8"/>
      <c r="N286" s="8"/>
      <c r="O286" s="8">
        <v>0</v>
      </c>
      <c r="P286" s="8"/>
      <c r="Q286" t="s">
        <v>26</v>
      </c>
    </row>
    <row r="287" spans="1:17" hidden="1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21</v>
      </c>
      <c r="F287" s="7" t="s">
        <v>85</v>
      </c>
      <c r="G287" s="7" t="s">
        <v>86</v>
      </c>
      <c r="H287" s="7" t="s">
        <v>127</v>
      </c>
      <c r="I287" s="7" t="s">
        <v>131</v>
      </c>
      <c r="J287" s="8"/>
      <c r="K287" s="8"/>
      <c r="L287" s="8"/>
      <c r="M287" s="8"/>
      <c r="N287" s="8"/>
      <c r="O287" s="8">
        <v>17.299688404782685</v>
      </c>
      <c r="P287" s="8"/>
      <c r="Q287" t="s">
        <v>26</v>
      </c>
    </row>
    <row r="288" spans="1:17" hidden="1" x14ac:dyDescent="0.25">
      <c r="A288" s="7" t="s">
        <v>17</v>
      </c>
      <c r="B288" s="7" t="s">
        <v>18</v>
      </c>
      <c r="C288" s="7" t="s">
        <v>19</v>
      </c>
      <c r="D288" s="7"/>
      <c r="E288" s="7"/>
      <c r="F288" s="7" t="s">
        <v>87</v>
      </c>
      <c r="G288" s="7" t="s">
        <v>88</v>
      </c>
      <c r="H288" s="7" t="s">
        <v>127</v>
      </c>
      <c r="I288" s="7" t="s">
        <v>131</v>
      </c>
      <c r="J288" s="8"/>
      <c r="K288" s="8"/>
      <c r="L288" s="8"/>
      <c r="M288" s="8"/>
      <c r="N288" s="8"/>
      <c r="O288" s="8">
        <v>0.77751408560821056</v>
      </c>
      <c r="P288" s="8"/>
      <c r="Q288" t="s">
        <v>26</v>
      </c>
    </row>
    <row r="289" spans="1:17" hidden="1" x14ac:dyDescent="0.25">
      <c r="A289" s="7" t="s">
        <v>17</v>
      </c>
      <c r="B289" s="7" t="s">
        <v>18</v>
      </c>
      <c r="C289" s="7" t="s">
        <v>19</v>
      </c>
      <c r="D289" s="7"/>
      <c r="E289" s="7"/>
      <c r="F289" s="7" t="s">
        <v>89</v>
      </c>
      <c r="G289" s="7" t="s">
        <v>90</v>
      </c>
      <c r="H289" s="7" t="s">
        <v>127</v>
      </c>
      <c r="I289" s="7" t="s">
        <v>131</v>
      </c>
      <c r="J289" s="8"/>
      <c r="K289" s="8"/>
      <c r="L289" s="8"/>
      <c r="M289" s="8"/>
      <c r="N289" s="8"/>
      <c r="O289" s="8">
        <v>21.770394397029893</v>
      </c>
      <c r="P289" s="8"/>
      <c r="Q289" t="s">
        <v>26</v>
      </c>
    </row>
    <row r="290" spans="1:17" hidden="1" x14ac:dyDescent="0.25">
      <c r="A290" s="7" t="s">
        <v>17</v>
      </c>
      <c r="B290" s="7" t="s">
        <v>18</v>
      </c>
      <c r="C290" s="7" t="s">
        <v>19</v>
      </c>
      <c r="D290" s="7"/>
      <c r="E290" s="7"/>
      <c r="F290" s="7" t="s">
        <v>91</v>
      </c>
      <c r="G290" s="7" t="s">
        <v>92</v>
      </c>
      <c r="H290" s="7" t="s">
        <v>127</v>
      </c>
      <c r="I290" s="7" t="s">
        <v>131</v>
      </c>
      <c r="J290" s="8"/>
      <c r="K290" s="8"/>
      <c r="L290" s="8"/>
      <c r="M290" s="8"/>
      <c r="N290" s="8"/>
      <c r="O290" s="8">
        <v>0</v>
      </c>
      <c r="P290" s="8"/>
      <c r="Q290" t="s">
        <v>26</v>
      </c>
    </row>
    <row r="291" spans="1:17" hidden="1" x14ac:dyDescent="0.25">
      <c r="A291" s="7" t="s">
        <v>17</v>
      </c>
      <c r="B291" s="7" t="s">
        <v>18</v>
      </c>
      <c r="C291" s="7" t="s">
        <v>19</v>
      </c>
      <c r="D291" s="7"/>
      <c r="E291" s="7"/>
      <c r="F291" s="7" t="s">
        <v>93</v>
      </c>
      <c r="G291" s="7" t="s">
        <v>94</v>
      </c>
      <c r="H291" s="7" t="s">
        <v>127</v>
      </c>
      <c r="I291" s="7" t="s">
        <v>131</v>
      </c>
      <c r="J291" s="8"/>
      <c r="K291" s="8"/>
      <c r="L291" s="8"/>
      <c r="M291" s="8"/>
      <c r="N291" s="8"/>
      <c r="O291" s="8">
        <v>0</v>
      </c>
      <c r="P291" s="8"/>
      <c r="Q291" t="s">
        <v>26</v>
      </c>
    </row>
    <row r="292" spans="1:17" hidden="1" x14ac:dyDescent="0.25">
      <c r="A292" s="7" t="s">
        <v>17</v>
      </c>
      <c r="B292" s="7" t="s">
        <v>18</v>
      </c>
      <c r="C292" s="7" t="s">
        <v>19</v>
      </c>
      <c r="D292" s="7"/>
      <c r="E292" s="7"/>
      <c r="F292" s="7" t="s">
        <v>95</v>
      </c>
      <c r="G292" s="7" t="s">
        <v>96</v>
      </c>
      <c r="H292" s="7" t="s">
        <v>127</v>
      </c>
      <c r="I292" s="7" t="s">
        <v>131</v>
      </c>
      <c r="J292" s="8"/>
      <c r="K292" s="8"/>
      <c r="L292" s="8"/>
      <c r="M292" s="8"/>
      <c r="N292" s="8"/>
      <c r="O292" s="8">
        <v>0</v>
      </c>
      <c r="P292" s="8"/>
      <c r="Q292" t="s">
        <v>26</v>
      </c>
    </row>
    <row r="293" spans="1:17" hidden="1" x14ac:dyDescent="0.25">
      <c r="A293" s="7" t="s">
        <v>17</v>
      </c>
      <c r="B293" s="7" t="s">
        <v>18</v>
      </c>
      <c r="C293" s="7" t="s">
        <v>19</v>
      </c>
      <c r="D293" s="7"/>
      <c r="E293" s="7"/>
      <c r="F293" s="7" t="s">
        <v>97</v>
      </c>
      <c r="G293" s="7" t="s">
        <v>98</v>
      </c>
      <c r="H293" s="7" t="s">
        <v>127</v>
      </c>
      <c r="I293" s="7" t="s">
        <v>131</v>
      </c>
      <c r="J293" s="8"/>
      <c r="K293" s="8"/>
      <c r="L293" s="8"/>
      <c r="M293" s="8"/>
      <c r="N293" s="8"/>
      <c r="O293" s="8">
        <v>0</v>
      </c>
      <c r="P293" s="8"/>
      <c r="Q293" t="s">
        <v>26</v>
      </c>
    </row>
    <row r="294" spans="1:17" hidden="1" x14ac:dyDescent="0.25">
      <c r="A294" s="7" t="s">
        <v>17</v>
      </c>
      <c r="B294" s="7" t="s">
        <v>18</v>
      </c>
      <c r="C294" s="7" t="s">
        <v>19</v>
      </c>
      <c r="D294" s="7"/>
      <c r="E294" s="7"/>
      <c r="F294" s="7" t="s">
        <v>99</v>
      </c>
      <c r="G294" s="7" t="s">
        <v>100</v>
      </c>
      <c r="H294" s="7" t="s">
        <v>127</v>
      </c>
      <c r="I294" s="7" t="s">
        <v>131</v>
      </c>
      <c r="J294" s="8"/>
      <c r="K294" s="8"/>
      <c r="L294" s="8"/>
      <c r="M294" s="8"/>
      <c r="N294" s="8"/>
      <c r="O294" s="8">
        <v>19.437852140205262</v>
      </c>
      <c r="P294" s="8"/>
      <c r="Q294" t="s">
        <v>26</v>
      </c>
    </row>
    <row r="295" spans="1:17" hidden="1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21</v>
      </c>
      <c r="F295" s="7" t="s">
        <v>101</v>
      </c>
      <c r="G295" s="7" t="s">
        <v>21</v>
      </c>
      <c r="H295" s="7" t="s">
        <v>127</v>
      </c>
      <c r="I295" s="7" t="s">
        <v>131</v>
      </c>
      <c r="J295" s="8"/>
      <c r="K295" s="8"/>
      <c r="L295" s="8"/>
      <c r="M295" s="8"/>
      <c r="N295" s="8"/>
      <c r="O295" s="8">
        <v>487.11257463354519</v>
      </c>
      <c r="P295" s="8"/>
      <c r="Q295" t="s">
        <v>26</v>
      </c>
    </row>
    <row r="296" spans="1:17" hidden="1" x14ac:dyDescent="0.25">
      <c r="A296" s="7" t="s">
        <v>17</v>
      </c>
      <c r="B296" s="7" t="s">
        <v>18</v>
      </c>
      <c r="C296" s="7" t="s">
        <v>19</v>
      </c>
      <c r="D296" s="7"/>
      <c r="E296" s="7"/>
      <c r="F296" s="7" t="s">
        <v>102</v>
      </c>
      <c r="G296" s="7" t="s">
        <v>103</v>
      </c>
      <c r="H296" s="7" t="s">
        <v>127</v>
      </c>
      <c r="I296" s="7" t="s">
        <v>131</v>
      </c>
      <c r="J296" s="8"/>
      <c r="K296" s="8"/>
      <c r="L296" s="8"/>
      <c r="M296" s="8"/>
      <c r="N296" s="8"/>
      <c r="O296" s="8">
        <v>0</v>
      </c>
      <c r="P296" s="8"/>
      <c r="Q296" t="s">
        <v>26</v>
      </c>
    </row>
    <row r="297" spans="1:17" hidden="1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21</v>
      </c>
      <c r="F297" s="7" t="s">
        <v>104</v>
      </c>
      <c r="G297" s="7" t="s">
        <v>105</v>
      </c>
      <c r="H297" s="7" t="s">
        <v>127</v>
      </c>
      <c r="I297" s="7" t="s">
        <v>131</v>
      </c>
      <c r="J297" s="8"/>
      <c r="K297" s="8"/>
      <c r="L297" s="8"/>
      <c r="M297" s="8"/>
      <c r="N297" s="8"/>
      <c r="O297" s="8">
        <v>1.5550281712164211</v>
      </c>
      <c r="P297" s="8"/>
      <c r="Q297" t="s">
        <v>26</v>
      </c>
    </row>
    <row r="298" spans="1:17" hidden="1" x14ac:dyDescent="0.25">
      <c r="A298" s="7" t="s">
        <v>17</v>
      </c>
      <c r="B298" s="7" t="s">
        <v>18</v>
      </c>
      <c r="C298" s="7" t="s">
        <v>19</v>
      </c>
      <c r="D298" s="7"/>
      <c r="E298" s="7"/>
      <c r="F298" s="7" t="s">
        <v>106</v>
      </c>
      <c r="G298" s="7" t="s">
        <v>107</v>
      </c>
      <c r="H298" s="7" t="s">
        <v>127</v>
      </c>
      <c r="I298" s="7" t="s">
        <v>131</v>
      </c>
      <c r="J298" s="8"/>
      <c r="K298" s="8"/>
      <c r="L298" s="8"/>
      <c r="M298" s="8"/>
      <c r="N298" s="8"/>
      <c r="O298" s="8">
        <v>0</v>
      </c>
      <c r="P298" s="8"/>
      <c r="Q298" t="s">
        <v>26</v>
      </c>
    </row>
    <row r="299" spans="1:17" hidden="1" x14ac:dyDescent="0.25">
      <c r="A299" s="7" t="s">
        <v>17</v>
      </c>
      <c r="B299" s="7" t="s">
        <v>18</v>
      </c>
      <c r="C299" s="7" t="s">
        <v>19</v>
      </c>
      <c r="D299" s="7"/>
      <c r="E299" s="7"/>
      <c r="F299" s="7" t="s">
        <v>108</v>
      </c>
      <c r="G299" s="7" t="s">
        <v>109</v>
      </c>
      <c r="H299" s="7" t="s">
        <v>127</v>
      </c>
      <c r="I299" s="7" t="s">
        <v>131</v>
      </c>
      <c r="J299" s="8"/>
      <c r="K299" s="8"/>
      <c r="L299" s="8"/>
      <c r="M299" s="8"/>
      <c r="N299" s="8"/>
      <c r="O299" s="8">
        <v>0</v>
      </c>
      <c r="P299" s="8"/>
      <c r="Q299" t="s">
        <v>26</v>
      </c>
    </row>
    <row r="300" spans="1:17" hidden="1" x14ac:dyDescent="0.25">
      <c r="A300" s="7" t="s">
        <v>17</v>
      </c>
      <c r="B300" s="7" t="s">
        <v>18</v>
      </c>
      <c r="C300" s="7" t="s">
        <v>19</v>
      </c>
      <c r="D300" s="7"/>
      <c r="E300" s="7"/>
      <c r="F300" s="7" t="s">
        <v>110</v>
      </c>
      <c r="G300" s="7" t="s">
        <v>111</v>
      </c>
      <c r="H300" s="7" t="s">
        <v>127</v>
      </c>
      <c r="I300" s="7" t="s">
        <v>131</v>
      </c>
      <c r="J300" s="8"/>
      <c r="K300" s="8"/>
      <c r="L300" s="8"/>
      <c r="M300" s="8"/>
      <c r="N300" s="8"/>
      <c r="O300" s="8">
        <v>12.828982412535474</v>
      </c>
      <c r="P300" s="8"/>
      <c r="Q300" t="s">
        <v>26</v>
      </c>
    </row>
    <row r="301" spans="1:17" hidden="1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21</v>
      </c>
      <c r="F301" s="7" t="s">
        <v>112</v>
      </c>
      <c r="G301" s="7" t="s">
        <v>113</v>
      </c>
      <c r="H301" s="7" t="s">
        <v>127</v>
      </c>
      <c r="I301" s="7" t="s">
        <v>131</v>
      </c>
      <c r="J301" s="8"/>
      <c r="K301" s="8"/>
      <c r="L301" s="8"/>
      <c r="M301" s="8"/>
      <c r="N301" s="8"/>
      <c r="O301" s="8">
        <v>5.6369771206595267</v>
      </c>
      <c r="P301" s="8"/>
      <c r="Q301" t="s">
        <v>26</v>
      </c>
    </row>
    <row r="302" spans="1:17" hidden="1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21</v>
      </c>
      <c r="F302" s="7" t="s">
        <v>114</v>
      </c>
      <c r="G302" s="7" t="s">
        <v>115</v>
      </c>
      <c r="H302" s="7" t="s">
        <v>127</v>
      </c>
      <c r="I302" s="7" t="s">
        <v>131</v>
      </c>
      <c r="J302" s="8"/>
      <c r="K302" s="8"/>
      <c r="L302" s="8"/>
      <c r="M302" s="8"/>
      <c r="N302" s="8"/>
      <c r="O302" s="8">
        <v>113.32267797739682</v>
      </c>
      <c r="P302" s="8"/>
      <c r="Q302" t="s">
        <v>26</v>
      </c>
    </row>
    <row r="303" spans="1:17" hidden="1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21</v>
      </c>
      <c r="F303" s="7" t="s">
        <v>116</v>
      </c>
      <c r="G303" s="7" t="s">
        <v>117</v>
      </c>
      <c r="H303" s="7" t="s">
        <v>127</v>
      </c>
      <c r="I303" s="7" t="s">
        <v>131</v>
      </c>
      <c r="J303" s="8"/>
      <c r="K303" s="8"/>
      <c r="L303" s="8"/>
      <c r="M303" s="8"/>
      <c r="N303" s="8"/>
      <c r="O303" s="8">
        <v>0.77751408560821056</v>
      </c>
      <c r="P303" s="8"/>
      <c r="Q303" t="s">
        <v>26</v>
      </c>
    </row>
    <row r="304" spans="1:17" hidden="1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21</v>
      </c>
      <c r="F304" s="7" t="s">
        <v>118</v>
      </c>
      <c r="G304" s="7" t="s">
        <v>119</v>
      </c>
      <c r="H304" s="7" t="s">
        <v>127</v>
      </c>
      <c r="I304" s="7" t="s">
        <v>131</v>
      </c>
      <c r="J304" s="8"/>
      <c r="K304" s="8"/>
      <c r="L304" s="8"/>
      <c r="M304" s="8"/>
      <c r="N304" s="8"/>
      <c r="O304" s="8">
        <v>27.601750039091474</v>
      </c>
      <c r="P304" s="8"/>
      <c r="Q304" t="s">
        <v>26</v>
      </c>
    </row>
    <row r="305" spans="1:17" hidden="1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21</v>
      </c>
      <c r="F305" s="7" t="s">
        <v>120</v>
      </c>
      <c r="G305" s="7" t="s">
        <v>121</v>
      </c>
      <c r="H305" s="7" t="s">
        <v>127</v>
      </c>
      <c r="I305" s="7" t="s">
        <v>131</v>
      </c>
      <c r="J305" s="8"/>
      <c r="K305" s="8"/>
      <c r="L305" s="8"/>
      <c r="M305" s="8"/>
      <c r="N305" s="8"/>
      <c r="O305" s="8">
        <v>7.1920052918759474</v>
      </c>
      <c r="P305" s="8"/>
      <c r="Q305" t="s">
        <v>26</v>
      </c>
    </row>
    <row r="306" spans="1:17" hidden="1" x14ac:dyDescent="0.25">
      <c r="A306" s="7" t="s">
        <v>17</v>
      </c>
      <c r="B306" s="7" t="s">
        <v>18</v>
      </c>
      <c r="C306" s="7" t="s">
        <v>19</v>
      </c>
      <c r="D306" s="7"/>
      <c r="E306" s="7"/>
      <c r="F306" s="7" t="s">
        <v>122</v>
      </c>
      <c r="G306" s="7" t="s">
        <v>123</v>
      </c>
      <c r="H306" s="7" t="s">
        <v>127</v>
      </c>
      <c r="I306" s="7" t="s">
        <v>131</v>
      </c>
      <c r="J306" s="8"/>
      <c r="K306" s="8"/>
      <c r="L306" s="8"/>
      <c r="M306" s="8"/>
      <c r="N306" s="8"/>
      <c r="O306" s="8">
        <v>0</v>
      </c>
      <c r="P306" s="8"/>
      <c r="Q306" t="s">
        <v>26</v>
      </c>
    </row>
    <row r="307" spans="1:17" hidden="1" x14ac:dyDescent="0.25">
      <c r="A307" s="7" t="s">
        <v>17</v>
      </c>
      <c r="B307" s="7" t="s">
        <v>18</v>
      </c>
      <c r="C307" s="7" t="s">
        <v>19</v>
      </c>
      <c r="D307" s="7"/>
      <c r="E307" s="7"/>
      <c r="F307" s="7" t="s">
        <v>124</v>
      </c>
      <c r="G307" s="7" t="s">
        <v>125</v>
      </c>
      <c r="H307" s="7" t="s">
        <v>127</v>
      </c>
      <c r="I307" s="7" t="s">
        <v>131</v>
      </c>
      <c r="J307" s="8"/>
      <c r="K307" s="8"/>
      <c r="L307" s="8"/>
      <c r="M307" s="8"/>
      <c r="N307" s="8"/>
      <c r="O307" s="8">
        <v>0</v>
      </c>
      <c r="P307" s="8"/>
      <c r="Q307" t="s">
        <v>26</v>
      </c>
    </row>
    <row r="308" spans="1:17" hidden="1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21</v>
      </c>
      <c r="F308" s="7" t="s">
        <v>22</v>
      </c>
      <c r="G308" s="7" t="s">
        <v>23</v>
      </c>
      <c r="H308" s="7" t="s">
        <v>127</v>
      </c>
      <c r="I308" s="7" t="s">
        <v>132</v>
      </c>
      <c r="J308" s="8"/>
      <c r="K308" s="8"/>
      <c r="L308" s="8"/>
      <c r="M308" s="8"/>
      <c r="N308" s="8"/>
      <c r="O308" s="8">
        <v>2.2078457792419734</v>
      </c>
      <c r="P308" s="8"/>
      <c r="Q308" t="s">
        <v>26</v>
      </c>
    </row>
    <row r="309" spans="1:17" hidden="1" x14ac:dyDescent="0.25">
      <c r="A309" s="7" t="s">
        <v>17</v>
      </c>
      <c r="B309" s="7" t="s">
        <v>18</v>
      </c>
      <c r="C309" s="7" t="s">
        <v>19</v>
      </c>
      <c r="D309" s="7"/>
      <c r="E309" s="7"/>
      <c r="F309" s="7" t="s">
        <v>27</v>
      </c>
      <c r="G309" s="7" t="s">
        <v>28</v>
      </c>
      <c r="H309" s="7" t="s">
        <v>127</v>
      </c>
      <c r="I309" s="7" t="s">
        <v>132</v>
      </c>
      <c r="J309" s="8"/>
      <c r="K309" s="8"/>
      <c r="L309" s="8"/>
      <c r="M309" s="8"/>
      <c r="N309" s="8"/>
      <c r="O309" s="8">
        <v>1.6619057320112314</v>
      </c>
      <c r="P309" s="8"/>
      <c r="Q309" t="s">
        <v>26</v>
      </c>
    </row>
    <row r="310" spans="1:17" hidden="1" x14ac:dyDescent="0.25">
      <c r="A310" s="7" t="s">
        <v>17</v>
      </c>
      <c r="B310" s="7" t="s">
        <v>18</v>
      </c>
      <c r="C310" s="7" t="s">
        <v>19</v>
      </c>
      <c r="D310" s="7"/>
      <c r="E310" s="7"/>
      <c r="F310" s="7" t="s">
        <v>29</v>
      </c>
      <c r="G310" s="7" t="s">
        <v>30</v>
      </c>
      <c r="H310" s="7" t="s">
        <v>127</v>
      </c>
      <c r="I310" s="7" t="s">
        <v>132</v>
      </c>
      <c r="J310" s="8"/>
      <c r="K310" s="8"/>
      <c r="L310" s="8"/>
      <c r="M310" s="8"/>
      <c r="N310" s="8"/>
      <c r="O310" s="8">
        <v>0.62622534829408727</v>
      </c>
      <c r="P310" s="8"/>
      <c r="Q310" t="s">
        <v>26</v>
      </c>
    </row>
    <row r="311" spans="1:17" hidden="1" x14ac:dyDescent="0.25">
      <c r="A311" s="7" t="s">
        <v>17</v>
      </c>
      <c r="B311" s="7" t="s">
        <v>18</v>
      </c>
      <c r="C311" s="7" t="s">
        <v>19</v>
      </c>
      <c r="D311" s="7"/>
      <c r="E311" s="7"/>
      <c r="F311" s="7" t="s">
        <v>31</v>
      </c>
      <c r="G311" s="7" t="s">
        <v>32</v>
      </c>
      <c r="H311" s="7" t="s">
        <v>127</v>
      </c>
      <c r="I311" s="7" t="s">
        <v>132</v>
      </c>
      <c r="J311" s="8"/>
      <c r="K311" s="8"/>
      <c r="L311" s="8"/>
      <c r="M311" s="8"/>
      <c r="N311" s="8"/>
      <c r="O311" s="8">
        <v>32.049892184487121</v>
      </c>
      <c r="P311" s="8"/>
      <c r="Q311" t="s">
        <v>26</v>
      </c>
    </row>
    <row r="312" spans="1:17" hidden="1" x14ac:dyDescent="0.25">
      <c r="A312" s="7" t="s">
        <v>17</v>
      </c>
      <c r="B312" s="7" t="s">
        <v>18</v>
      </c>
      <c r="C312" s="7" t="s">
        <v>19</v>
      </c>
      <c r="D312" s="7"/>
      <c r="E312" s="7"/>
      <c r="F312" s="7" t="s">
        <v>33</v>
      </c>
      <c r="G312" s="7" t="s">
        <v>34</v>
      </c>
      <c r="H312" s="7" t="s">
        <v>127</v>
      </c>
      <c r="I312" s="7" t="s">
        <v>132</v>
      </c>
      <c r="J312" s="8"/>
      <c r="K312" s="8"/>
      <c r="L312" s="8"/>
      <c r="M312" s="8"/>
      <c r="N312" s="8"/>
      <c r="O312" s="8">
        <v>19.095858857916493</v>
      </c>
      <c r="P312" s="8"/>
      <c r="Q312" t="s">
        <v>26</v>
      </c>
    </row>
    <row r="313" spans="1:17" hidden="1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21</v>
      </c>
      <c r="F313" s="7" t="s">
        <v>35</v>
      </c>
      <c r="G313" s="7" t="s">
        <v>36</v>
      </c>
      <c r="H313" s="7" t="s">
        <v>127</v>
      </c>
      <c r="I313" s="7" t="s">
        <v>132</v>
      </c>
      <c r="J313" s="8"/>
      <c r="K313" s="8"/>
      <c r="L313" s="8"/>
      <c r="M313" s="8"/>
      <c r="N313" s="8"/>
      <c r="O313" s="8">
        <v>682.87064245932879</v>
      </c>
      <c r="P313" s="8"/>
      <c r="Q313" t="s">
        <v>26</v>
      </c>
    </row>
    <row r="314" spans="1:17" hidden="1" x14ac:dyDescent="0.25">
      <c r="A314" s="7" t="s">
        <v>17</v>
      </c>
      <c r="B314" s="7" t="s">
        <v>18</v>
      </c>
      <c r="C314" s="7" t="s">
        <v>19</v>
      </c>
      <c r="D314" s="7"/>
      <c r="E314" s="7"/>
      <c r="F314" s="7" t="s">
        <v>37</v>
      </c>
      <c r="G314" s="7" t="s">
        <v>38</v>
      </c>
      <c r="H314" s="7" t="s">
        <v>127</v>
      </c>
      <c r="I314" s="7" t="s">
        <v>132</v>
      </c>
      <c r="J314" s="8"/>
      <c r="K314" s="8"/>
      <c r="L314" s="8"/>
      <c r="M314" s="8"/>
      <c r="N314" s="8"/>
      <c r="O314" s="8">
        <v>6.4790237958119024</v>
      </c>
      <c r="P314" s="8"/>
      <c r="Q314" t="s">
        <v>26</v>
      </c>
    </row>
    <row r="315" spans="1:17" hidden="1" x14ac:dyDescent="0.25">
      <c r="A315" s="7" t="s">
        <v>17</v>
      </c>
      <c r="B315" s="7" t="s">
        <v>18</v>
      </c>
      <c r="C315" s="7" t="s">
        <v>19</v>
      </c>
      <c r="D315" s="7"/>
      <c r="E315" s="7"/>
      <c r="F315" s="7" t="s">
        <v>39</v>
      </c>
      <c r="G315" s="7" t="s">
        <v>40</v>
      </c>
      <c r="H315" s="7" t="s">
        <v>127</v>
      </c>
      <c r="I315" s="7" t="s">
        <v>132</v>
      </c>
      <c r="J315" s="8"/>
      <c r="K315" s="8"/>
      <c r="L315" s="8"/>
      <c r="M315" s="8"/>
      <c r="N315" s="8"/>
      <c r="O315" s="8">
        <v>4.4317486186966164</v>
      </c>
      <c r="P315" s="8"/>
      <c r="Q315" t="s">
        <v>26</v>
      </c>
    </row>
    <row r="316" spans="1:17" hidden="1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21</v>
      </c>
      <c r="F316" s="7" t="s">
        <v>41</v>
      </c>
      <c r="G316" s="7" t="s">
        <v>42</v>
      </c>
      <c r="H316" s="7" t="s">
        <v>127</v>
      </c>
      <c r="I316" s="7" t="s">
        <v>132</v>
      </c>
      <c r="J316" s="8"/>
      <c r="K316" s="8"/>
      <c r="L316" s="8"/>
      <c r="M316" s="8"/>
      <c r="N316" s="8"/>
      <c r="O316" s="8">
        <v>86.607768522082893</v>
      </c>
      <c r="P316" s="8"/>
      <c r="Q316" t="s">
        <v>26</v>
      </c>
    </row>
    <row r="317" spans="1:17" hidden="1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21</v>
      </c>
      <c r="F317" s="7" t="s">
        <v>43</v>
      </c>
      <c r="G317" s="7" t="s">
        <v>44</v>
      </c>
      <c r="H317" s="7" t="s">
        <v>127</v>
      </c>
      <c r="I317" s="7" t="s">
        <v>132</v>
      </c>
      <c r="J317" s="8"/>
      <c r="K317" s="8"/>
      <c r="L317" s="8"/>
      <c r="M317" s="8"/>
      <c r="N317" s="8"/>
      <c r="O317" s="8">
        <v>40.034265375236743</v>
      </c>
      <c r="P317" s="8"/>
      <c r="Q317" t="s">
        <v>26</v>
      </c>
    </row>
    <row r="318" spans="1:17" hidden="1" x14ac:dyDescent="0.25">
      <c r="A318" s="7" t="s">
        <v>17</v>
      </c>
      <c r="B318" s="7" t="s">
        <v>18</v>
      </c>
      <c r="C318" s="7" t="s">
        <v>19</v>
      </c>
      <c r="D318" s="7"/>
      <c r="E318" s="7"/>
      <c r="F318" s="7" t="s">
        <v>45</v>
      </c>
      <c r="G318" s="7" t="s">
        <v>46</v>
      </c>
      <c r="H318" s="7" t="s">
        <v>127</v>
      </c>
      <c r="I318" s="7" t="s">
        <v>132</v>
      </c>
      <c r="J318" s="8"/>
      <c r="K318" s="8"/>
      <c r="L318" s="8"/>
      <c r="M318" s="8"/>
      <c r="N318" s="8"/>
      <c r="O318" s="8">
        <v>8.1610008530889697</v>
      </c>
      <c r="P318" s="8"/>
      <c r="Q318" t="s">
        <v>26</v>
      </c>
    </row>
    <row r="319" spans="1:17" hidden="1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21</v>
      </c>
      <c r="F319" s="7" t="s">
        <v>47</v>
      </c>
      <c r="G319" s="7" t="s">
        <v>48</v>
      </c>
      <c r="H319" s="7" t="s">
        <v>127</v>
      </c>
      <c r="I319" s="7" t="s">
        <v>132</v>
      </c>
      <c r="J319" s="8"/>
      <c r="K319" s="8"/>
      <c r="L319" s="8"/>
      <c r="M319" s="8"/>
      <c r="N319" s="8"/>
      <c r="O319" s="8">
        <v>49.532016491030383</v>
      </c>
      <c r="P319" s="8"/>
      <c r="Q319" t="s">
        <v>26</v>
      </c>
    </row>
    <row r="320" spans="1:17" hidden="1" x14ac:dyDescent="0.25">
      <c r="A320" s="7" t="s">
        <v>17</v>
      </c>
      <c r="B320" s="7" t="s">
        <v>18</v>
      </c>
      <c r="C320" s="7" t="s">
        <v>19</v>
      </c>
      <c r="D320" s="7"/>
      <c r="E320" s="7"/>
      <c r="F320" s="7" t="s">
        <v>49</v>
      </c>
      <c r="G320" s="7" t="s">
        <v>50</v>
      </c>
      <c r="H320" s="7" t="s">
        <v>127</v>
      </c>
      <c r="I320" s="7" t="s">
        <v>132</v>
      </c>
      <c r="J320" s="8"/>
      <c r="K320" s="8"/>
      <c r="L320" s="8"/>
      <c r="M320" s="8"/>
      <c r="N320" s="8"/>
      <c r="O320" s="8">
        <v>10.477231788766456</v>
      </c>
      <c r="P320" s="8"/>
      <c r="Q320" t="s">
        <v>26</v>
      </c>
    </row>
    <row r="321" spans="1:17" hidden="1" x14ac:dyDescent="0.25">
      <c r="A321" s="7" t="s">
        <v>17</v>
      </c>
      <c r="B321" s="7" t="s">
        <v>18</v>
      </c>
      <c r="C321" s="7" t="s">
        <v>19</v>
      </c>
      <c r="D321" s="7"/>
      <c r="E321" s="7"/>
      <c r="F321" s="7" t="s">
        <v>51</v>
      </c>
      <c r="G321" s="7" t="s">
        <v>52</v>
      </c>
      <c r="H321" s="7" t="s">
        <v>127</v>
      </c>
      <c r="I321" s="7" t="s">
        <v>132</v>
      </c>
      <c r="J321" s="8"/>
      <c r="K321" s="8"/>
      <c r="L321" s="8"/>
      <c r="M321" s="8"/>
      <c r="N321" s="8"/>
      <c r="O321" s="8">
        <v>11.597211738600112</v>
      </c>
      <c r="P321" s="8"/>
      <c r="Q321" t="s">
        <v>26</v>
      </c>
    </row>
    <row r="322" spans="1:17" hidden="1" x14ac:dyDescent="0.25">
      <c r="A322" s="7" t="s">
        <v>17</v>
      </c>
      <c r="B322" s="7" t="s">
        <v>18</v>
      </c>
      <c r="C322" s="7" t="s">
        <v>19</v>
      </c>
      <c r="D322" s="7"/>
      <c r="E322" s="7"/>
      <c r="F322" s="7" t="s">
        <v>53</v>
      </c>
      <c r="G322" s="7" t="s">
        <v>54</v>
      </c>
      <c r="H322" s="7" t="s">
        <v>127</v>
      </c>
      <c r="I322" s="7" t="s">
        <v>132</v>
      </c>
      <c r="J322" s="8"/>
      <c r="K322" s="8"/>
      <c r="L322" s="8"/>
      <c r="M322" s="8"/>
      <c r="N322" s="8"/>
      <c r="O322" s="8">
        <v>0.89518110685629115</v>
      </c>
      <c r="P322" s="8"/>
      <c r="Q322" t="s">
        <v>26</v>
      </c>
    </row>
    <row r="323" spans="1:17" hidden="1" x14ac:dyDescent="0.25">
      <c r="A323" s="7" t="s">
        <v>17</v>
      </c>
      <c r="B323" s="7" t="s">
        <v>18</v>
      </c>
      <c r="C323" s="7" t="s">
        <v>19</v>
      </c>
      <c r="D323" s="7"/>
      <c r="E323" s="7"/>
      <c r="F323" s="7" t="s">
        <v>55</v>
      </c>
      <c r="G323" s="7" t="s">
        <v>56</v>
      </c>
      <c r="H323" s="7" t="s">
        <v>127</v>
      </c>
      <c r="I323" s="7" t="s">
        <v>132</v>
      </c>
      <c r="J323" s="8"/>
      <c r="K323" s="8"/>
      <c r="L323" s="8"/>
      <c r="M323" s="8"/>
      <c r="N323" s="8"/>
      <c r="O323" s="8">
        <v>2.1998172491356391</v>
      </c>
      <c r="P323" s="8"/>
      <c r="Q323" t="s">
        <v>26</v>
      </c>
    </row>
    <row r="324" spans="1:17" hidden="1" x14ac:dyDescent="0.25">
      <c r="A324" s="7" t="s">
        <v>17</v>
      </c>
      <c r="B324" s="7" t="s">
        <v>18</v>
      </c>
      <c r="C324" s="7" t="s">
        <v>19</v>
      </c>
      <c r="D324" s="7"/>
      <c r="E324" s="7"/>
      <c r="F324" s="7" t="s">
        <v>57</v>
      </c>
      <c r="G324" s="7" t="s">
        <v>58</v>
      </c>
      <c r="H324" s="7" t="s">
        <v>127</v>
      </c>
      <c r="I324" s="7" t="s">
        <v>132</v>
      </c>
      <c r="J324" s="8"/>
      <c r="K324" s="8"/>
      <c r="L324" s="8"/>
      <c r="M324" s="8"/>
      <c r="N324" s="8"/>
      <c r="O324" s="8">
        <v>8.3255857202688262</v>
      </c>
      <c r="P324" s="8"/>
      <c r="Q324" t="s">
        <v>26</v>
      </c>
    </row>
    <row r="325" spans="1:17" hidden="1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21</v>
      </c>
      <c r="F325" s="7" t="s">
        <v>59</v>
      </c>
      <c r="G325" s="7" t="s">
        <v>60</v>
      </c>
      <c r="H325" s="7" t="s">
        <v>127</v>
      </c>
      <c r="I325" s="7" t="s">
        <v>132</v>
      </c>
      <c r="J325" s="8"/>
      <c r="K325" s="8"/>
      <c r="L325" s="8"/>
      <c r="M325" s="8"/>
      <c r="N325" s="8"/>
      <c r="O325" s="8">
        <v>284.82414831737435</v>
      </c>
      <c r="P325" s="8"/>
      <c r="Q325" t="s">
        <v>26</v>
      </c>
    </row>
    <row r="326" spans="1:17" hidden="1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21</v>
      </c>
      <c r="F326" s="7" t="s">
        <v>61</v>
      </c>
      <c r="G326" s="7" t="s">
        <v>62</v>
      </c>
      <c r="H326" s="7" t="s">
        <v>127</v>
      </c>
      <c r="I326" s="7" t="s">
        <v>132</v>
      </c>
      <c r="J326" s="8"/>
      <c r="K326" s="8"/>
      <c r="L326" s="8"/>
      <c r="M326" s="8"/>
      <c r="N326" s="8"/>
      <c r="O326" s="8">
        <v>145.58936494826892</v>
      </c>
      <c r="P326" s="8"/>
      <c r="Q326" t="s">
        <v>26</v>
      </c>
    </row>
    <row r="327" spans="1:17" hidden="1" x14ac:dyDescent="0.25">
      <c r="A327" s="7" t="s">
        <v>17</v>
      </c>
      <c r="B327" s="7" t="s">
        <v>18</v>
      </c>
      <c r="C327" s="7" t="s">
        <v>19</v>
      </c>
      <c r="D327" s="7"/>
      <c r="E327" s="7"/>
      <c r="F327" s="7" t="s">
        <v>63</v>
      </c>
      <c r="G327" s="7" t="s">
        <v>64</v>
      </c>
      <c r="H327" s="7" t="s">
        <v>127</v>
      </c>
      <c r="I327" s="7" t="s">
        <v>132</v>
      </c>
      <c r="J327" s="8"/>
      <c r="K327" s="8"/>
      <c r="L327" s="8"/>
      <c r="M327" s="8"/>
      <c r="N327" s="8"/>
      <c r="O327" s="8">
        <v>4.5802764256638042</v>
      </c>
      <c r="P327" s="8"/>
      <c r="Q327" t="s">
        <v>26</v>
      </c>
    </row>
    <row r="328" spans="1:17" hidden="1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21</v>
      </c>
      <c r="F328" s="7" t="s">
        <v>65</v>
      </c>
      <c r="G328" s="7" t="s">
        <v>66</v>
      </c>
      <c r="H328" s="7" t="s">
        <v>127</v>
      </c>
      <c r="I328" s="7" t="s">
        <v>132</v>
      </c>
      <c r="J328" s="8"/>
      <c r="K328" s="8"/>
      <c r="L328" s="8"/>
      <c r="M328" s="8"/>
      <c r="N328" s="8"/>
      <c r="O328" s="8">
        <v>477.39245718285918</v>
      </c>
      <c r="P328" s="8"/>
      <c r="Q328" t="s">
        <v>26</v>
      </c>
    </row>
    <row r="329" spans="1:17" hidden="1" x14ac:dyDescent="0.25">
      <c r="A329" s="7" t="s">
        <v>17</v>
      </c>
      <c r="B329" s="7" t="s">
        <v>18</v>
      </c>
      <c r="C329" s="7" t="s">
        <v>19</v>
      </c>
      <c r="D329" s="7"/>
      <c r="E329" s="7"/>
      <c r="F329" s="7" t="s">
        <v>67</v>
      </c>
      <c r="G329" s="7" t="s">
        <v>68</v>
      </c>
      <c r="H329" s="7" t="s">
        <v>127</v>
      </c>
      <c r="I329" s="7" t="s">
        <v>132</v>
      </c>
      <c r="J329" s="8"/>
      <c r="K329" s="8"/>
      <c r="L329" s="8"/>
      <c r="M329" s="8"/>
      <c r="N329" s="8"/>
      <c r="O329" s="8">
        <v>7.5267469746885478</v>
      </c>
      <c r="P329" s="8"/>
      <c r="Q329" t="s">
        <v>26</v>
      </c>
    </row>
    <row r="330" spans="1:17" hidden="1" x14ac:dyDescent="0.25">
      <c r="A330" s="7" t="s">
        <v>17</v>
      </c>
      <c r="B330" s="7" t="s">
        <v>18</v>
      </c>
      <c r="C330" s="7" t="s">
        <v>19</v>
      </c>
      <c r="D330" s="7"/>
      <c r="E330" s="7"/>
      <c r="F330" s="7" t="s">
        <v>69</v>
      </c>
      <c r="G330" s="7" t="s">
        <v>70</v>
      </c>
      <c r="H330" s="7" t="s">
        <v>127</v>
      </c>
      <c r="I330" s="7" t="s">
        <v>132</v>
      </c>
      <c r="J330" s="8"/>
      <c r="K330" s="8"/>
      <c r="L330" s="8"/>
      <c r="M330" s="8"/>
      <c r="N330" s="8"/>
      <c r="O330" s="8">
        <v>1.0356803837171442</v>
      </c>
      <c r="P330" s="8"/>
      <c r="Q330" t="s">
        <v>26</v>
      </c>
    </row>
    <row r="331" spans="1:17" hidden="1" x14ac:dyDescent="0.25">
      <c r="A331" s="7" t="s">
        <v>17</v>
      </c>
      <c r="B331" s="7" t="s">
        <v>18</v>
      </c>
      <c r="C331" s="7" t="s">
        <v>19</v>
      </c>
      <c r="D331" s="7"/>
      <c r="E331" s="7"/>
      <c r="F331" s="7" t="s">
        <v>71</v>
      </c>
      <c r="G331" s="7" t="s">
        <v>72</v>
      </c>
      <c r="H331" s="7" t="s">
        <v>127</v>
      </c>
      <c r="I331" s="7" t="s">
        <v>132</v>
      </c>
      <c r="J331" s="8"/>
      <c r="K331" s="8"/>
      <c r="L331" s="8"/>
      <c r="M331" s="8"/>
      <c r="N331" s="8"/>
      <c r="O331" s="8">
        <v>2.2801025501989836</v>
      </c>
      <c r="P331" s="8"/>
      <c r="Q331" t="s">
        <v>26</v>
      </c>
    </row>
    <row r="332" spans="1:17" hidden="1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21</v>
      </c>
      <c r="F332" s="7" t="s">
        <v>73</v>
      </c>
      <c r="G332" s="7" t="s">
        <v>74</v>
      </c>
      <c r="H332" s="7" t="s">
        <v>127</v>
      </c>
      <c r="I332" s="7" t="s">
        <v>132</v>
      </c>
      <c r="J332" s="8"/>
      <c r="K332" s="8"/>
      <c r="L332" s="8"/>
      <c r="M332" s="8"/>
      <c r="N332" s="8"/>
      <c r="O332" s="8">
        <v>89.490010830256935</v>
      </c>
      <c r="P332" s="8"/>
      <c r="Q332" t="s">
        <v>26</v>
      </c>
    </row>
    <row r="333" spans="1:17" hidden="1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21</v>
      </c>
      <c r="F333" s="7" t="s">
        <v>75</v>
      </c>
      <c r="G333" s="7" t="s">
        <v>76</v>
      </c>
      <c r="H333" s="7" t="s">
        <v>127</v>
      </c>
      <c r="I333" s="7" t="s">
        <v>132</v>
      </c>
      <c r="J333" s="8"/>
      <c r="K333" s="8"/>
      <c r="L333" s="8"/>
      <c r="M333" s="8"/>
      <c r="N333" s="8"/>
      <c r="O333" s="8">
        <v>754.73802970618294</v>
      </c>
      <c r="P333" s="8"/>
      <c r="Q333" t="s">
        <v>26</v>
      </c>
    </row>
    <row r="334" spans="1:17" hidden="1" x14ac:dyDescent="0.25">
      <c r="A334" s="7" t="s">
        <v>17</v>
      </c>
      <c r="B334" s="7" t="s">
        <v>18</v>
      </c>
      <c r="C334" s="7" t="s">
        <v>19</v>
      </c>
      <c r="D334" s="7"/>
      <c r="E334" s="7"/>
      <c r="F334" s="7" t="s">
        <v>77</v>
      </c>
      <c r="G334" s="7" t="s">
        <v>78</v>
      </c>
      <c r="H334" s="7" t="s">
        <v>127</v>
      </c>
      <c r="I334" s="7" t="s">
        <v>132</v>
      </c>
      <c r="J334" s="8"/>
      <c r="K334" s="8"/>
      <c r="L334" s="8"/>
      <c r="M334" s="8"/>
      <c r="N334" s="8"/>
      <c r="O334" s="8">
        <v>1.6418344067453954</v>
      </c>
      <c r="P334" s="8"/>
      <c r="Q334" t="s">
        <v>26</v>
      </c>
    </row>
    <row r="335" spans="1:17" hidden="1" x14ac:dyDescent="0.25">
      <c r="A335" s="7" t="s">
        <v>17</v>
      </c>
      <c r="B335" s="7" t="s">
        <v>18</v>
      </c>
      <c r="C335" s="7" t="s">
        <v>19</v>
      </c>
      <c r="D335" s="7"/>
      <c r="E335" s="7"/>
      <c r="F335" s="7" t="s">
        <v>79</v>
      </c>
      <c r="G335" s="7" t="s">
        <v>80</v>
      </c>
      <c r="H335" s="7" t="s">
        <v>127</v>
      </c>
      <c r="I335" s="7" t="s">
        <v>132</v>
      </c>
      <c r="J335" s="8"/>
      <c r="K335" s="8"/>
      <c r="L335" s="8"/>
      <c r="M335" s="8"/>
      <c r="N335" s="8"/>
      <c r="O335" s="8">
        <v>1.6619057320112316</v>
      </c>
      <c r="P335" s="8"/>
      <c r="Q335" t="s">
        <v>26</v>
      </c>
    </row>
    <row r="336" spans="1:17" hidden="1" x14ac:dyDescent="0.25">
      <c r="A336" s="7" t="s">
        <v>17</v>
      </c>
      <c r="B336" s="7" t="s">
        <v>18</v>
      </c>
      <c r="C336" s="7" t="s">
        <v>19</v>
      </c>
      <c r="D336" s="7"/>
      <c r="E336" s="7"/>
      <c r="F336" s="7" t="s">
        <v>81</v>
      </c>
      <c r="G336" s="7" t="s">
        <v>82</v>
      </c>
      <c r="H336" s="7" t="s">
        <v>127</v>
      </c>
      <c r="I336" s="7" t="s">
        <v>132</v>
      </c>
      <c r="J336" s="8"/>
      <c r="K336" s="8"/>
      <c r="L336" s="8"/>
      <c r="M336" s="8"/>
      <c r="N336" s="8"/>
      <c r="O336" s="8">
        <v>6.7078369038424333</v>
      </c>
      <c r="P336" s="8"/>
      <c r="Q336" t="s">
        <v>26</v>
      </c>
    </row>
    <row r="337" spans="1:17" hidden="1" x14ac:dyDescent="0.25">
      <c r="A337" s="7" t="s">
        <v>17</v>
      </c>
      <c r="B337" s="7" t="s">
        <v>18</v>
      </c>
      <c r="C337" s="7" t="s">
        <v>19</v>
      </c>
      <c r="D337" s="7"/>
      <c r="E337" s="7"/>
      <c r="F337" s="7" t="s">
        <v>83</v>
      </c>
      <c r="G337" s="7" t="s">
        <v>84</v>
      </c>
      <c r="H337" s="7" t="s">
        <v>127</v>
      </c>
      <c r="I337" s="7" t="s">
        <v>132</v>
      </c>
      <c r="J337" s="8"/>
      <c r="K337" s="8"/>
      <c r="L337" s="8"/>
      <c r="M337" s="8"/>
      <c r="N337" s="8"/>
      <c r="O337" s="8">
        <v>2.2319313695609768</v>
      </c>
      <c r="P337" s="8"/>
      <c r="Q337" t="s">
        <v>26</v>
      </c>
    </row>
    <row r="338" spans="1:17" hidden="1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21</v>
      </c>
      <c r="F338" s="7" t="s">
        <v>85</v>
      </c>
      <c r="G338" s="7" t="s">
        <v>86</v>
      </c>
      <c r="H338" s="7" t="s">
        <v>127</v>
      </c>
      <c r="I338" s="7" t="s">
        <v>132</v>
      </c>
      <c r="J338" s="8"/>
      <c r="K338" s="8"/>
      <c r="L338" s="8"/>
      <c r="M338" s="8"/>
      <c r="N338" s="8"/>
      <c r="O338" s="8">
        <v>384.18925117842292</v>
      </c>
      <c r="P338" s="8"/>
      <c r="Q338" t="s">
        <v>26</v>
      </c>
    </row>
    <row r="339" spans="1:17" hidden="1" x14ac:dyDescent="0.25">
      <c r="A339" s="7" t="s">
        <v>17</v>
      </c>
      <c r="B339" s="7" t="s">
        <v>18</v>
      </c>
      <c r="C339" s="7" t="s">
        <v>19</v>
      </c>
      <c r="D339" s="7"/>
      <c r="E339" s="7"/>
      <c r="F339" s="7" t="s">
        <v>87</v>
      </c>
      <c r="G339" s="7" t="s">
        <v>88</v>
      </c>
      <c r="H339" s="7" t="s">
        <v>127</v>
      </c>
      <c r="I339" s="7" t="s">
        <v>132</v>
      </c>
      <c r="J339" s="8"/>
      <c r="K339" s="8"/>
      <c r="L339" s="8"/>
      <c r="M339" s="8"/>
      <c r="N339" s="8"/>
      <c r="O339" s="8">
        <v>5.7122991706569612</v>
      </c>
      <c r="P339" s="8"/>
      <c r="Q339" t="s">
        <v>26</v>
      </c>
    </row>
    <row r="340" spans="1:17" hidden="1" x14ac:dyDescent="0.25">
      <c r="A340" s="7" t="s">
        <v>17</v>
      </c>
      <c r="B340" s="7" t="s">
        <v>18</v>
      </c>
      <c r="C340" s="7" t="s">
        <v>19</v>
      </c>
      <c r="D340" s="7"/>
      <c r="E340" s="7"/>
      <c r="F340" s="7" t="s">
        <v>89</v>
      </c>
      <c r="G340" s="7" t="s">
        <v>90</v>
      </c>
      <c r="H340" s="7" t="s">
        <v>127</v>
      </c>
      <c r="I340" s="7" t="s">
        <v>132</v>
      </c>
      <c r="J340" s="8"/>
      <c r="K340" s="8"/>
      <c r="L340" s="8"/>
      <c r="M340" s="8"/>
      <c r="N340" s="8"/>
      <c r="O340" s="8">
        <v>74.757658085133258</v>
      </c>
      <c r="P340" s="8"/>
      <c r="Q340" t="s">
        <v>26</v>
      </c>
    </row>
    <row r="341" spans="1:17" hidden="1" x14ac:dyDescent="0.25">
      <c r="A341" s="7" t="s">
        <v>17</v>
      </c>
      <c r="B341" s="7" t="s">
        <v>18</v>
      </c>
      <c r="C341" s="7" t="s">
        <v>19</v>
      </c>
      <c r="D341" s="7"/>
      <c r="E341" s="7"/>
      <c r="F341" s="7" t="s">
        <v>91</v>
      </c>
      <c r="G341" s="7" t="s">
        <v>92</v>
      </c>
      <c r="H341" s="7" t="s">
        <v>127</v>
      </c>
      <c r="I341" s="7" t="s">
        <v>132</v>
      </c>
      <c r="J341" s="8"/>
      <c r="K341" s="8"/>
      <c r="L341" s="8"/>
      <c r="M341" s="8"/>
      <c r="N341" s="8"/>
      <c r="O341" s="8">
        <v>3.6730525236480109</v>
      </c>
      <c r="P341" s="8"/>
      <c r="Q341" t="s">
        <v>26</v>
      </c>
    </row>
    <row r="342" spans="1:17" hidden="1" x14ac:dyDescent="0.25">
      <c r="A342" s="7" t="s">
        <v>17</v>
      </c>
      <c r="B342" s="7" t="s">
        <v>18</v>
      </c>
      <c r="C342" s="7" t="s">
        <v>19</v>
      </c>
      <c r="D342" s="7"/>
      <c r="E342" s="7"/>
      <c r="F342" s="7" t="s">
        <v>93</v>
      </c>
      <c r="G342" s="7" t="s">
        <v>94</v>
      </c>
      <c r="H342" s="7" t="s">
        <v>127</v>
      </c>
      <c r="I342" s="7" t="s">
        <v>132</v>
      </c>
      <c r="J342" s="8"/>
      <c r="K342" s="8"/>
      <c r="L342" s="8"/>
      <c r="M342" s="8"/>
      <c r="N342" s="8"/>
      <c r="O342" s="8">
        <v>0.75468182999543842</v>
      </c>
      <c r="P342" s="8"/>
      <c r="Q342" t="s">
        <v>26</v>
      </c>
    </row>
    <row r="343" spans="1:17" hidden="1" x14ac:dyDescent="0.25">
      <c r="A343" s="7" t="s">
        <v>17</v>
      </c>
      <c r="B343" s="7" t="s">
        <v>18</v>
      </c>
      <c r="C343" s="7" t="s">
        <v>19</v>
      </c>
      <c r="D343" s="7"/>
      <c r="E343" s="7"/>
      <c r="F343" s="7" t="s">
        <v>95</v>
      </c>
      <c r="G343" s="7" t="s">
        <v>96</v>
      </c>
      <c r="H343" s="7" t="s">
        <v>127</v>
      </c>
      <c r="I343" s="7" t="s">
        <v>132</v>
      </c>
      <c r="J343" s="8"/>
      <c r="K343" s="8"/>
      <c r="L343" s="8"/>
      <c r="M343" s="8"/>
      <c r="N343" s="8"/>
      <c r="O343" s="8">
        <v>1.3809071782895253</v>
      </c>
      <c r="P343" s="8"/>
      <c r="Q343" t="s">
        <v>26</v>
      </c>
    </row>
    <row r="344" spans="1:17" hidden="1" x14ac:dyDescent="0.25">
      <c r="A344" s="7" t="s">
        <v>17</v>
      </c>
      <c r="B344" s="7" t="s">
        <v>18</v>
      </c>
      <c r="C344" s="7" t="s">
        <v>19</v>
      </c>
      <c r="D344" s="7"/>
      <c r="E344" s="7"/>
      <c r="F344" s="7" t="s">
        <v>97</v>
      </c>
      <c r="G344" s="7" t="s">
        <v>98</v>
      </c>
      <c r="H344" s="7" t="s">
        <v>127</v>
      </c>
      <c r="I344" s="7" t="s">
        <v>132</v>
      </c>
      <c r="J344" s="8"/>
      <c r="K344" s="8"/>
      <c r="L344" s="8"/>
      <c r="M344" s="8"/>
      <c r="N344" s="8"/>
      <c r="O344" s="8">
        <v>5.1583305933198851</v>
      </c>
      <c r="P344" s="8"/>
      <c r="Q344" t="s">
        <v>26</v>
      </c>
    </row>
    <row r="345" spans="1:17" hidden="1" x14ac:dyDescent="0.25">
      <c r="A345" s="7" t="s">
        <v>17</v>
      </c>
      <c r="B345" s="7" t="s">
        <v>18</v>
      </c>
      <c r="C345" s="7" t="s">
        <v>19</v>
      </c>
      <c r="D345" s="7"/>
      <c r="E345" s="7"/>
      <c r="F345" s="7" t="s">
        <v>99</v>
      </c>
      <c r="G345" s="7" t="s">
        <v>100</v>
      </c>
      <c r="H345" s="7" t="s">
        <v>127</v>
      </c>
      <c r="I345" s="7" t="s">
        <v>132</v>
      </c>
      <c r="J345" s="8"/>
      <c r="K345" s="8"/>
      <c r="L345" s="8"/>
      <c r="M345" s="8"/>
      <c r="N345" s="8"/>
      <c r="O345" s="8">
        <v>54.156449832279037</v>
      </c>
      <c r="P345" s="8"/>
      <c r="Q345" t="s">
        <v>26</v>
      </c>
    </row>
    <row r="346" spans="1:17" hidden="1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21</v>
      </c>
      <c r="F346" s="7" t="s">
        <v>101</v>
      </c>
      <c r="G346" s="7" t="s">
        <v>21</v>
      </c>
      <c r="H346" s="7" t="s">
        <v>127</v>
      </c>
      <c r="I346" s="7" t="s">
        <v>132</v>
      </c>
      <c r="J346" s="8"/>
      <c r="K346" s="8"/>
      <c r="L346" s="8"/>
      <c r="M346" s="8"/>
      <c r="N346" s="8"/>
      <c r="O346" s="8">
        <v>1189.4548351088188</v>
      </c>
      <c r="P346" s="8"/>
      <c r="Q346" t="s">
        <v>26</v>
      </c>
    </row>
    <row r="347" spans="1:17" hidden="1" x14ac:dyDescent="0.25">
      <c r="A347" s="7" t="s">
        <v>17</v>
      </c>
      <c r="B347" s="7" t="s">
        <v>18</v>
      </c>
      <c r="C347" s="7" t="s">
        <v>19</v>
      </c>
      <c r="D347" s="7"/>
      <c r="E347" s="7"/>
      <c r="F347" s="7" t="s">
        <v>102</v>
      </c>
      <c r="G347" s="7" t="s">
        <v>103</v>
      </c>
      <c r="H347" s="7" t="s">
        <v>127</v>
      </c>
      <c r="I347" s="7" t="s">
        <v>132</v>
      </c>
      <c r="J347" s="8"/>
      <c r="K347" s="8"/>
      <c r="L347" s="8"/>
      <c r="M347" s="8"/>
      <c r="N347" s="8"/>
      <c r="O347" s="8">
        <v>0.88313831169678958</v>
      </c>
      <c r="P347" s="8"/>
      <c r="Q347" t="s">
        <v>26</v>
      </c>
    </row>
    <row r="348" spans="1:17" hidden="1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21</v>
      </c>
      <c r="F348" s="7" t="s">
        <v>104</v>
      </c>
      <c r="G348" s="7" t="s">
        <v>105</v>
      </c>
      <c r="H348" s="7" t="s">
        <v>127</v>
      </c>
      <c r="I348" s="7" t="s">
        <v>132</v>
      </c>
      <c r="J348" s="8"/>
      <c r="K348" s="8"/>
      <c r="L348" s="8"/>
      <c r="M348" s="8"/>
      <c r="N348" s="8"/>
      <c r="O348" s="8">
        <v>49.873229020549623</v>
      </c>
      <c r="P348" s="8"/>
      <c r="Q348" t="s">
        <v>26</v>
      </c>
    </row>
    <row r="349" spans="1:17" hidden="1" x14ac:dyDescent="0.25">
      <c r="A349" s="7" t="s">
        <v>17</v>
      </c>
      <c r="B349" s="7" t="s">
        <v>18</v>
      </c>
      <c r="C349" s="7" t="s">
        <v>19</v>
      </c>
      <c r="D349" s="7"/>
      <c r="E349" s="7"/>
      <c r="F349" s="7" t="s">
        <v>106</v>
      </c>
      <c r="G349" s="7" t="s">
        <v>107</v>
      </c>
      <c r="H349" s="7" t="s">
        <v>127</v>
      </c>
      <c r="I349" s="7" t="s">
        <v>132</v>
      </c>
      <c r="J349" s="8"/>
      <c r="K349" s="8"/>
      <c r="L349" s="8"/>
      <c r="M349" s="8"/>
      <c r="N349" s="8"/>
      <c r="O349" s="8">
        <v>1.2243508412160038</v>
      </c>
      <c r="P349" s="8"/>
      <c r="Q349" t="s">
        <v>26</v>
      </c>
    </row>
    <row r="350" spans="1:17" hidden="1" x14ac:dyDescent="0.25">
      <c r="A350" s="7" t="s">
        <v>17</v>
      </c>
      <c r="B350" s="7" t="s">
        <v>18</v>
      </c>
      <c r="C350" s="7" t="s">
        <v>19</v>
      </c>
      <c r="D350" s="7"/>
      <c r="E350" s="7"/>
      <c r="F350" s="7" t="s">
        <v>108</v>
      </c>
      <c r="G350" s="7" t="s">
        <v>109</v>
      </c>
      <c r="H350" s="7" t="s">
        <v>127</v>
      </c>
      <c r="I350" s="7" t="s">
        <v>132</v>
      </c>
      <c r="J350" s="8"/>
      <c r="K350" s="8"/>
      <c r="L350" s="8"/>
      <c r="M350" s="8"/>
      <c r="N350" s="8"/>
      <c r="O350" s="8">
        <v>0.42952636068889305</v>
      </c>
      <c r="P350" s="8"/>
      <c r="Q350" t="s">
        <v>26</v>
      </c>
    </row>
    <row r="351" spans="1:17" hidden="1" x14ac:dyDescent="0.25">
      <c r="A351" s="7" t="s">
        <v>17</v>
      </c>
      <c r="B351" s="7" t="s">
        <v>18</v>
      </c>
      <c r="C351" s="7" t="s">
        <v>19</v>
      </c>
      <c r="D351" s="7"/>
      <c r="E351" s="7"/>
      <c r="F351" s="7" t="s">
        <v>110</v>
      </c>
      <c r="G351" s="7" t="s">
        <v>111</v>
      </c>
      <c r="H351" s="7" t="s">
        <v>127</v>
      </c>
      <c r="I351" s="7" t="s">
        <v>132</v>
      </c>
      <c r="J351" s="8"/>
      <c r="K351" s="8"/>
      <c r="L351" s="8"/>
      <c r="M351" s="8"/>
      <c r="N351" s="8"/>
      <c r="O351" s="8">
        <v>39.295640605453954</v>
      </c>
      <c r="P351" s="8"/>
      <c r="Q351" t="s">
        <v>26</v>
      </c>
    </row>
    <row r="352" spans="1:17" hidden="1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21</v>
      </c>
      <c r="F352" s="7" t="s">
        <v>112</v>
      </c>
      <c r="G352" s="7" t="s">
        <v>113</v>
      </c>
      <c r="H352" s="7" t="s">
        <v>127</v>
      </c>
      <c r="I352" s="7" t="s">
        <v>132</v>
      </c>
      <c r="J352" s="8"/>
      <c r="K352" s="8"/>
      <c r="L352" s="8"/>
      <c r="M352" s="8"/>
      <c r="N352" s="8"/>
      <c r="O352" s="8">
        <v>51.442806656338</v>
      </c>
      <c r="P352" s="8"/>
      <c r="Q352" t="s">
        <v>26</v>
      </c>
    </row>
    <row r="353" spans="1:17" hidden="1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21</v>
      </c>
      <c r="F353" s="7" t="s">
        <v>114</v>
      </c>
      <c r="G353" s="7" t="s">
        <v>115</v>
      </c>
      <c r="H353" s="7" t="s">
        <v>127</v>
      </c>
      <c r="I353" s="7" t="s">
        <v>132</v>
      </c>
      <c r="J353" s="8"/>
      <c r="K353" s="8"/>
      <c r="L353" s="8"/>
      <c r="M353" s="8"/>
      <c r="N353" s="8"/>
      <c r="O353" s="8">
        <v>508.65153915187221</v>
      </c>
      <c r="P353" s="8"/>
      <c r="Q353" t="s">
        <v>26</v>
      </c>
    </row>
    <row r="354" spans="1:17" hidden="1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21</v>
      </c>
      <c r="F354" s="7" t="s">
        <v>116</v>
      </c>
      <c r="G354" s="7" t="s">
        <v>117</v>
      </c>
      <c r="H354" s="7" t="s">
        <v>127</v>
      </c>
      <c r="I354" s="7" t="s">
        <v>132</v>
      </c>
      <c r="J354" s="8"/>
      <c r="K354" s="8"/>
      <c r="L354" s="8"/>
      <c r="M354" s="8"/>
      <c r="N354" s="8"/>
      <c r="O354" s="8">
        <v>16.980341174897365</v>
      </c>
      <c r="P354" s="8"/>
      <c r="Q354" t="s">
        <v>26</v>
      </c>
    </row>
    <row r="355" spans="1:17" hidden="1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21</v>
      </c>
      <c r="F355" s="7" t="s">
        <v>118</v>
      </c>
      <c r="G355" s="7" t="s">
        <v>119</v>
      </c>
      <c r="H355" s="7" t="s">
        <v>127</v>
      </c>
      <c r="I355" s="7" t="s">
        <v>132</v>
      </c>
      <c r="J355" s="8"/>
      <c r="K355" s="8"/>
      <c r="L355" s="8"/>
      <c r="M355" s="8"/>
      <c r="N355" s="8"/>
      <c r="O355" s="8">
        <v>337.81244701918143</v>
      </c>
      <c r="P355" s="8"/>
      <c r="Q355" t="s">
        <v>26</v>
      </c>
    </row>
    <row r="356" spans="1:17" hidden="1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21</v>
      </c>
      <c r="F356" s="7" t="s">
        <v>120</v>
      </c>
      <c r="G356" s="7" t="s">
        <v>121</v>
      </c>
      <c r="H356" s="7" t="s">
        <v>127</v>
      </c>
      <c r="I356" s="7" t="s">
        <v>132</v>
      </c>
      <c r="J356" s="8"/>
      <c r="K356" s="8"/>
      <c r="L356" s="8"/>
      <c r="M356" s="8"/>
      <c r="N356" s="8"/>
      <c r="O356" s="8">
        <v>44.923640209994439</v>
      </c>
      <c r="P356" s="8"/>
      <c r="Q356" t="s">
        <v>26</v>
      </c>
    </row>
    <row r="357" spans="1:17" hidden="1" x14ac:dyDescent="0.25">
      <c r="A357" s="7" t="s">
        <v>17</v>
      </c>
      <c r="B357" s="7" t="s">
        <v>18</v>
      </c>
      <c r="C357" s="7" t="s">
        <v>19</v>
      </c>
      <c r="D357" s="7"/>
      <c r="E357" s="7"/>
      <c r="F357" s="7" t="s">
        <v>122</v>
      </c>
      <c r="G357" s="7" t="s">
        <v>123</v>
      </c>
      <c r="H357" s="7" t="s">
        <v>127</v>
      </c>
      <c r="I357" s="7" t="s">
        <v>132</v>
      </c>
      <c r="J357" s="8"/>
      <c r="K357" s="8"/>
      <c r="L357" s="8"/>
      <c r="M357" s="8"/>
      <c r="N357" s="8"/>
      <c r="O357" s="8">
        <v>0.642282408506756</v>
      </c>
      <c r="P357" s="8"/>
      <c r="Q357" t="s">
        <v>26</v>
      </c>
    </row>
    <row r="358" spans="1:17" hidden="1" x14ac:dyDescent="0.25">
      <c r="A358" s="7" t="s">
        <v>17</v>
      </c>
      <c r="B358" s="7" t="s">
        <v>18</v>
      </c>
      <c r="C358" s="7" t="s">
        <v>19</v>
      </c>
      <c r="D358" s="7"/>
      <c r="E358" s="7"/>
      <c r="F358" s="7" t="s">
        <v>124</v>
      </c>
      <c r="G358" s="7" t="s">
        <v>125</v>
      </c>
      <c r="H358" s="7" t="s">
        <v>127</v>
      </c>
      <c r="I358" s="7" t="s">
        <v>132</v>
      </c>
      <c r="J358" s="8"/>
      <c r="K358" s="8"/>
      <c r="L358" s="8"/>
      <c r="M358" s="8"/>
      <c r="N358" s="8"/>
      <c r="O358" s="8">
        <v>3.424168090351642</v>
      </c>
      <c r="P358" s="8"/>
      <c r="Q358" t="s">
        <v>26</v>
      </c>
    </row>
    <row r="359" spans="1:17" hidden="1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21</v>
      </c>
      <c r="F359" s="7" t="s">
        <v>22</v>
      </c>
      <c r="G359" s="7" t="s">
        <v>23</v>
      </c>
      <c r="H359" s="7" t="s">
        <v>127</v>
      </c>
      <c r="I359" s="7" t="s">
        <v>133</v>
      </c>
      <c r="J359" s="8"/>
      <c r="K359" s="8"/>
      <c r="L359" s="8"/>
      <c r="M359" s="8"/>
      <c r="N359" s="8"/>
      <c r="O359" s="8">
        <v>0</v>
      </c>
      <c r="P359" s="8"/>
      <c r="Q359" t="s">
        <v>26</v>
      </c>
    </row>
    <row r="360" spans="1:17" hidden="1" x14ac:dyDescent="0.25">
      <c r="A360" s="7" t="s">
        <v>17</v>
      </c>
      <c r="B360" s="7" t="s">
        <v>18</v>
      </c>
      <c r="C360" s="7" t="s">
        <v>19</v>
      </c>
      <c r="D360" s="7"/>
      <c r="E360" s="7"/>
      <c r="F360" s="7" t="s">
        <v>27</v>
      </c>
      <c r="G360" s="7" t="s">
        <v>28</v>
      </c>
      <c r="H360" s="7" t="s">
        <v>127</v>
      </c>
      <c r="I360" s="7" t="s">
        <v>133</v>
      </c>
      <c r="J360" s="8"/>
      <c r="K360" s="8"/>
      <c r="L360" s="8"/>
      <c r="M360" s="8"/>
      <c r="N360" s="8"/>
      <c r="O360" s="8">
        <v>1.4358530347451812</v>
      </c>
      <c r="P360" s="8"/>
      <c r="Q360" t="s">
        <v>26</v>
      </c>
    </row>
    <row r="361" spans="1:17" hidden="1" x14ac:dyDescent="0.25">
      <c r="A361" s="7" t="s">
        <v>17</v>
      </c>
      <c r="B361" s="7" t="s">
        <v>18</v>
      </c>
      <c r="C361" s="7" t="s">
        <v>19</v>
      </c>
      <c r="D361" s="7"/>
      <c r="E361" s="7"/>
      <c r="F361" s="7" t="s">
        <v>29</v>
      </c>
      <c r="G361" s="7" t="s">
        <v>30</v>
      </c>
      <c r="H361" s="7" t="s">
        <v>127</v>
      </c>
      <c r="I361" s="7" t="s">
        <v>133</v>
      </c>
      <c r="J361" s="8"/>
      <c r="K361" s="8"/>
      <c r="L361" s="8"/>
      <c r="M361" s="8"/>
      <c r="N361" s="8"/>
      <c r="O361" s="8">
        <v>0</v>
      </c>
      <c r="P361" s="8"/>
      <c r="Q361" t="s">
        <v>26</v>
      </c>
    </row>
    <row r="362" spans="1:17" hidden="1" x14ac:dyDescent="0.25">
      <c r="A362" s="7" t="s">
        <v>17</v>
      </c>
      <c r="B362" s="7" t="s">
        <v>18</v>
      </c>
      <c r="C362" s="7" t="s">
        <v>19</v>
      </c>
      <c r="D362" s="7"/>
      <c r="E362" s="7"/>
      <c r="F362" s="7" t="s">
        <v>31</v>
      </c>
      <c r="G362" s="7" t="s">
        <v>32</v>
      </c>
      <c r="H362" s="7" t="s">
        <v>127</v>
      </c>
      <c r="I362" s="7" t="s">
        <v>133</v>
      </c>
      <c r="J362" s="8"/>
      <c r="K362" s="8"/>
      <c r="L362" s="8"/>
      <c r="M362" s="8"/>
      <c r="N362" s="8"/>
      <c r="O362" s="8">
        <v>5.1722344228134567</v>
      </c>
      <c r="P362" s="8"/>
      <c r="Q362" t="s">
        <v>26</v>
      </c>
    </row>
    <row r="363" spans="1:17" hidden="1" x14ac:dyDescent="0.25">
      <c r="A363" s="7" t="s">
        <v>17</v>
      </c>
      <c r="B363" s="7" t="s">
        <v>18</v>
      </c>
      <c r="C363" s="7" t="s">
        <v>19</v>
      </c>
      <c r="D363" s="7"/>
      <c r="E363" s="7"/>
      <c r="F363" s="7" t="s">
        <v>33</v>
      </c>
      <c r="G363" s="7" t="s">
        <v>34</v>
      </c>
      <c r="H363" s="7" t="s">
        <v>127</v>
      </c>
      <c r="I363" s="7" t="s">
        <v>133</v>
      </c>
      <c r="J363" s="8"/>
      <c r="K363" s="8"/>
      <c r="L363" s="8"/>
      <c r="M363" s="8"/>
      <c r="N363" s="8"/>
      <c r="O363" s="8">
        <v>13.992134186484384</v>
      </c>
      <c r="P363" s="8"/>
      <c r="Q363" t="s">
        <v>26</v>
      </c>
    </row>
    <row r="364" spans="1:17" hidden="1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21</v>
      </c>
      <c r="F364" s="7" t="s">
        <v>35</v>
      </c>
      <c r="G364" s="7" t="s">
        <v>36</v>
      </c>
      <c r="H364" s="7" t="s">
        <v>127</v>
      </c>
      <c r="I364" s="7" t="s">
        <v>133</v>
      </c>
      <c r="J364" s="8"/>
      <c r="K364" s="8"/>
      <c r="L364" s="8"/>
      <c r="M364" s="8"/>
      <c r="N364" s="8"/>
      <c r="O364" s="8">
        <v>597.71153388063976</v>
      </c>
      <c r="P364" s="8"/>
      <c r="Q364" t="s">
        <v>26</v>
      </c>
    </row>
    <row r="365" spans="1:17" hidden="1" x14ac:dyDescent="0.25">
      <c r="A365" s="7" t="s">
        <v>17</v>
      </c>
      <c r="B365" s="7" t="s">
        <v>18</v>
      </c>
      <c r="C365" s="7" t="s">
        <v>19</v>
      </c>
      <c r="D365" s="7"/>
      <c r="E365" s="7"/>
      <c r="F365" s="7" t="s">
        <v>37</v>
      </c>
      <c r="G365" s="7" t="s">
        <v>38</v>
      </c>
      <c r="H365" s="7" t="s">
        <v>127</v>
      </c>
      <c r="I365" s="7" t="s">
        <v>133</v>
      </c>
      <c r="J365" s="8"/>
      <c r="K365" s="8"/>
      <c r="L365" s="8"/>
      <c r="M365" s="8"/>
      <c r="N365" s="8"/>
      <c r="O365" s="8">
        <v>0.43075591042355443</v>
      </c>
      <c r="P365" s="8"/>
      <c r="Q365" t="s">
        <v>26</v>
      </c>
    </row>
    <row r="366" spans="1:17" hidden="1" x14ac:dyDescent="0.25">
      <c r="A366" s="7" t="s">
        <v>17</v>
      </c>
      <c r="B366" s="7" t="s">
        <v>18</v>
      </c>
      <c r="C366" s="7" t="s">
        <v>19</v>
      </c>
      <c r="D366" s="7"/>
      <c r="E366" s="7"/>
      <c r="F366" s="7" t="s">
        <v>39</v>
      </c>
      <c r="G366" s="7" t="s">
        <v>40</v>
      </c>
      <c r="H366" s="7" t="s">
        <v>127</v>
      </c>
      <c r="I366" s="7" t="s">
        <v>133</v>
      </c>
      <c r="J366" s="8"/>
      <c r="K366" s="8"/>
      <c r="L366" s="8"/>
      <c r="M366" s="8"/>
      <c r="N366" s="8"/>
      <c r="O366" s="8">
        <v>1.4049718876745216</v>
      </c>
      <c r="P366" s="8"/>
      <c r="Q366" t="s">
        <v>26</v>
      </c>
    </row>
    <row r="367" spans="1:17" hidden="1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21</v>
      </c>
      <c r="F367" s="7" t="s">
        <v>41</v>
      </c>
      <c r="G367" s="7" t="s">
        <v>42</v>
      </c>
      <c r="H367" s="7" t="s">
        <v>127</v>
      </c>
      <c r="I367" s="7" t="s">
        <v>133</v>
      </c>
      <c r="J367" s="8"/>
      <c r="K367" s="8"/>
      <c r="L367" s="8"/>
      <c r="M367" s="8"/>
      <c r="N367" s="8"/>
      <c r="O367" s="8">
        <v>84.844451446506582</v>
      </c>
      <c r="P367" s="8"/>
      <c r="Q367" t="s">
        <v>26</v>
      </c>
    </row>
    <row r="368" spans="1:17" hidden="1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21</v>
      </c>
      <c r="F368" s="7" t="s">
        <v>43</v>
      </c>
      <c r="G368" s="7" t="s">
        <v>44</v>
      </c>
      <c r="H368" s="7" t="s">
        <v>127</v>
      </c>
      <c r="I368" s="7" t="s">
        <v>133</v>
      </c>
      <c r="J368" s="8"/>
      <c r="K368" s="8"/>
      <c r="L368" s="8"/>
      <c r="M368" s="8"/>
      <c r="N368" s="8"/>
      <c r="O368" s="8">
        <v>37.04846671486073</v>
      </c>
      <c r="P368" s="8"/>
      <c r="Q368" t="s">
        <v>26</v>
      </c>
    </row>
    <row r="369" spans="1:17" hidden="1" x14ac:dyDescent="0.25">
      <c r="A369" s="7" t="s">
        <v>17</v>
      </c>
      <c r="B369" s="7" t="s">
        <v>18</v>
      </c>
      <c r="C369" s="7" t="s">
        <v>19</v>
      </c>
      <c r="D369" s="7"/>
      <c r="E369" s="7"/>
      <c r="F369" s="7" t="s">
        <v>45</v>
      </c>
      <c r="G369" s="7" t="s">
        <v>46</v>
      </c>
      <c r="H369" s="7" t="s">
        <v>127</v>
      </c>
      <c r="I369" s="7" t="s">
        <v>133</v>
      </c>
      <c r="J369" s="8"/>
      <c r="K369" s="8"/>
      <c r="L369" s="8"/>
      <c r="M369" s="8"/>
      <c r="N369" s="8"/>
      <c r="O369" s="8">
        <v>0</v>
      </c>
      <c r="P369" s="8"/>
      <c r="Q369" t="s">
        <v>26</v>
      </c>
    </row>
    <row r="370" spans="1:17" hidden="1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21</v>
      </c>
      <c r="F370" s="7" t="s">
        <v>47</v>
      </c>
      <c r="G370" s="7" t="s">
        <v>48</v>
      </c>
      <c r="H370" s="7" t="s">
        <v>127</v>
      </c>
      <c r="I370" s="7" t="s">
        <v>133</v>
      </c>
      <c r="J370" s="8"/>
      <c r="K370" s="8"/>
      <c r="L370" s="8"/>
      <c r="M370" s="8"/>
      <c r="N370" s="8"/>
      <c r="O370" s="8">
        <v>11.91352081610226</v>
      </c>
      <c r="P370" s="8"/>
      <c r="Q370" t="s">
        <v>26</v>
      </c>
    </row>
    <row r="371" spans="1:17" hidden="1" x14ac:dyDescent="0.25">
      <c r="A371" s="7" t="s">
        <v>17</v>
      </c>
      <c r="B371" s="7" t="s">
        <v>18</v>
      </c>
      <c r="C371" s="7" t="s">
        <v>19</v>
      </c>
      <c r="D371" s="7"/>
      <c r="E371" s="7"/>
      <c r="F371" s="7" t="s">
        <v>49</v>
      </c>
      <c r="G371" s="7" t="s">
        <v>50</v>
      </c>
      <c r="H371" s="7" t="s">
        <v>127</v>
      </c>
      <c r="I371" s="7" t="s">
        <v>133</v>
      </c>
      <c r="J371" s="8"/>
      <c r="K371" s="8"/>
      <c r="L371" s="8"/>
      <c r="M371" s="8"/>
      <c r="N371" s="8"/>
      <c r="O371" s="8">
        <v>12.977083741470834</v>
      </c>
      <c r="P371" s="8"/>
      <c r="Q371" t="s">
        <v>26</v>
      </c>
    </row>
    <row r="372" spans="1:17" hidden="1" x14ac:dyDescent="0.25">
      <c r="A372" s="7" t="s">
        <v>17</v>
      </c>
      <c r="B372" s="7" t="s">
        <v>18</v>
      </c>
      <c r="C372" s="7" t="s">
        <v>19</v>
      </c>
      <c r="D372" s="7"/>
      <c r="E372" s="7"/>
      <c r="F372" s="7" t="s">
        <v>51</v>
      </c>
      <c r="G372" s="7" t="s">
        <v>52</v>
      </c>
      <c r="H372" s="7" t="s">
        <v>127</v>
      </c>
      <c r="I372" s="7" t="s">
        <v>133</v>
      </c>
      <c r="J372" s="8"/>
      <c r="K372" s="8"/>
      <c r="L372" s="8"/>
      <c r="M372" s="8"/>
      <c r="N372" s="8"/>
      <c r="O372" s="8">
        <v>5.8177039576438201</v>
      </c>
      <c r="P372" s="8"/>
      <c r="Q372" t="s">
        <v>26</v>
      </c>
    </row>
    <row r="373" spans="1:17" hidden="1" x14ac:dyDescent="0.25">
      <c r="A373" s="7" t="s">
        <v>17</v>
      </c>
      <c r="B373" s="7" t="s">
        <v>18</v>
      </c>
      <c r="C373" s="7" t="s">
        <v>19</v>
      </c>
      <c r="D373" s="7"/>
      <c r="E373" s="7"/>
      <c r="F373" s="7" t="s">
        <v>53</v>
      </c>
      <c r="G373" s="7" t="s">
        <v>54</v>
      </c>
      <c r="H373" s="7" t="s">
        <v>127</v>
      </c>
      <c r="I373" s="7" t="s">
        <v>133</v>
      </c>
      <c r="J373" s="8"/>
      <c r="K373" s="8"/>
      <c r="L373" s="8"/>
      <c r="M373" s="8"/>
      <c r="N373" s="8"/>
      <c r="O373" s="8">
        <v>0</v>
      </c>
      <c r="P373" s="8"/>
      <c r="Q373" t="s">
        <v>26</v>
      </c>
    </row>
    <row r="374" spans="1:17" hidden="1" x14ac:dyDescent="0.25">
      <c r="A374" s="7" t="s">
        <v>17</v>
      </c>
      <c r="B374" s="7" t="s">
        <v>18</v>
      </c>
      <c r="C374" s="7" t="s">
        <v>19</v>
      </c>
      <c r="D374" s="7"/>
      <c r="E374" s="7"/>
      <c r="F374" s="7" t="s">
        <v>55</v>
      </c>
      <c r="G374" s="7" t="s">
        <v>56</v>
      </c>
      <c r="H374" s="7" t="s">
        <v>127</v>
      </c>
      <c r="I374" s="7" t="s">
        <v>133</v>
      </c>
      <c r="J374" s="8"/>
      <c r="K374" s="8"/>
      <c r="L374" s="8"/>
      <c r="M374" s="8"/>
      <c r="N374" s="8"/>
      <c r="O374" s="8">
        <v>12.439171796874021</v>
      </c>
      <c r="P374" s="8"/>
      <c r="Q374" t="s">
        <v>26</v>
      </c>
    </row>
    <row r="375" spans="1:17" hidden="1" x14ac:dyDescent="0.25">
      <c r="A375" s="7" t="s">
        <v>17</v>
      </c>
      <c r="B375" s="7" t="s">
        <v>18</v>
      </c>
      <c r="C375" s="7" t="s">
        <v>19</v>
      </c>
      <c r="D375" s="7"/>
      <c r="E375" s="7"/>
      <c r="F375" s="7" t="s">
        <v>57</v>
      </c>
      <c r="G375" s="7" t="s">
        <v>58</v>
      </c>
      <c r="H375" s="7" t="s">
        <v>127</v>
      </c>
      <c r="I375" s="7" t="s">
        <v>133</v>
      </c>
      <c r="J375" s="8"/>
      <c r="K375" s="8"/>
      <c r="L375" s="8"/>
      <c r="M375" s="8"/>
      <c r="N375" s="8"/>
      <c r="O375" s="8">
        <v>0.43075591042355443</v>
      </c>
      <c r="P375" s="8"/>
      <c r="Q375" t="s">
        <v>26</v>
      </c>
    </row>
    <row r="376" spans="1:17" hidden="1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21</v>
      </c>
      <c r="F376" s="7" t="s">
        <v>59</v>
      </c>
      <c r="G376" s="7" t="s">
        <v>60</v>
      </c>
      <c r="H376" s="7" t="s">
        <v>127</v>
      </c>
      <c r="I376" s="7" t="s">
        <v>133</v>
      </c>
      <c r="J376" s="8"/>
      <c r="K376" s="8"/>
      <c r="L376" s="8"/>
      <c r="M376" s="8"/>
      <c r="N376" s="8"/>
      <c r="O376" s="8">
        <v>84.058312567926052</v>
      </c>
      <c r="P376" s="8"/>
      <c r="Q376" t="s">
        <v>26</v>
      </c>
    </row>
    <row r="377" spans="1:17" hidden="1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21</v>
      </c>
      <c r="F377" s="7" t="s">
        <v>61</v>
      </c>
      <c r="G377" s="7" t="s">
        <v>62</v>
      </c>
      <c r="H377" s="7" t="s">
        <v>127</v>
      </c>
      <c r="I377" s="7" t="s">
        <v>133</v>
      </c>
      <c r="J377" s="8"/>
      <c r="K377" s="8"/>
      <c r="L377" s="8"/>
      <c r="M377" s="8"/>
      <c r="N377" s="8"/>
      <c r="O377" s="8">
        <v>29.467812929303104</v>
      </c>
      <c r="P377" s="8"/>
      <c r="Q377" t="s">
        <v>26</v>
      </c>
    </row>
    <row r="378" spans="1:17" hidden="1" x14ac:dyDescent="0.25">
      <c r="A378" s="7" t="s">
        <v>17</v>
      </c>
      <c r="B378" s="7" t="s">
        <v>18</v>
      </c>
      <c r="C378" s="7" t="s">
        <v>19</v>
      </c>
      <c r="D378" s="7"/>
      <c r="E378" s="7"/>
      <c r="F378" s="7" t="s">
        <v>63</v>
      </c>
      <c r="G378" s="7" t="s">
        <v>64</v>
      </c>
      <c r="H378" s="7" t="s">
        <v>127</v>
      </c>
      <c r="I378" s="7" t="s">
        <v>133</v>
      </c>
      <c r="J378" s="8"/>
      <c r="K378" s="8"/>
      <c r="L378" s="8"/>
      <c r="M378" s="8"/>
      <c r="N378" s="8"/>
      <c r="O378" s="8">
        <v>0.57434121389807258</v>
      </c>
      <c r="P378" s="8"/>
      <c r="Q378" t="s">
        <v>26</v>
      </c>
    </row>
    <row r="379" spans="1:17" hidden="1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21</v>
      </c>
      <c r="F379" s="7" t="s">
        <v>65</v>
      </c>
      <c r="G379" s="7" t="s">
        <v>66</v>
      </c>
      <c r="H379" s="7" t="s">
        <v>127</v>
      </c>
      <c r="I379" s="7" t="s">
        <v>133</v>
      </c>
      <c r="J379" s="8"/>
      <c r="K379" s="8"/>
      <c r="L379" s="8"/>
      <c r="M379" s="8"/>
      <c r="N379" s="8"/>
      <c r="O379" s="8">
        <v>172.52713830481622</v>
      </c>
      <c r="P379" s="8"/>
      <c r="Q379" t="s">
        <v>26</v>
      </c>
    </row>
    <row r="380" spans="1:17" hidden="1" x14ac:dyDescent="0.25">
      <c r="A380" s="7" t="s">
        <v>17</v>
      </c>
      <c r="B380" s="7" t="s">
        <v>18</v>
      </c>
      <c r="C380" s="7" t="s">
        <v>19</v>
      </c>
      <c r="D380" s="7"/>
      <c r="E380" s="7"/>
      <c r="F380" s="7" t="s">
        <v>67</v>
      </c>
      <c r="G380" s="7" t="s">
        <v>68</v>
      </c>
      <c r="H380" s="7" t="s">
        <v>127</v>
      </c>
      <c r="I380" s="7" t="s">
        <v>133</v>
      </c>
      <c r="J380" s="8"/>
      <c r="K380" s="8"/>
      <c r="L380" s="8"/>
      <c r="M380" s="8"/>
      <c r="N380" s="8"/>
      <c r="O380" s="8">
        <v>0.83063067377644906</v>
      </c>
      <c r="P380" s="8"/>
      <c r="Q380" t="s">
        <v>26</v>
      </c>
    </row>
    <row r="381" spans="1:17" hidden="1" x14ac:dyDescent="0.25">
      <c r="A381" s="7" t="s">
        <v>17</v>
      </c>
      <c r="B381" s="7" t="s">
        <v>18</v>
      </c>
      <c r="C381" s="7" t="s">
        <v>19</v>
      </c>
      <c r="D381" s="7"/>
      <c r="E381" s="7"/>
      <c r="F381" s="7" t="s">
        <v>69</v>
      </c>
      <c r="G381" s="7" t="s">
        <v>70</v>
      </c>
      <c r="H381" s="7" t="s">
        <v>127</v>
      </c>
      <c r="I381" s="7" t="s">
        <v>133</v>
      </c>
      <c r="J381" s="8"/>
      <c r="K381" s="8"/>
      <c r="L381" s="8"/>
      <c r="M381" s="8"/>
      <c r="N381" s="8"/>
      <c r="O381" s="8">
        <v>0</v>
      </c>
      <c r="P381" s="8"/>
      <c r="Q381" t="s">
        <v>26</v>
      </c>
    </row>
    <row r="382" spans="1:17" hidden="1" x14ac:dyDescent="0.25">
      <c r="A382" s="7" t="s">
        <v>17</v>
      </c>
      <c r="B382" s="7" t="s">
        <v>18</v>
      </c>
      <c r="C382" s="7" t="s">
        <v>19</v>
      </c>
      <c r="D382" s="7"/>
      <c r="E382" s="7"/>
      <c r="F382" s="7" t="s">
        <v>71</v>
      </c>
      <c r="G382" s="7" t="s">
        <v>72</v>
      </c>
      <c r="H382" s="7" t="s">
        <v>127</v>
      </c>
      <c r="I382" s="7" t="s">
        <v>133</v>
      </c>
      <c r="J382" s="8"/>
      <c r="K382" s="8"/>
      <c r="L382" s="8"/>
      <c r="M382" s="8"/>
      <c r="N382" s="8"/>
      <c r="O382" s="8">
        <v>0.71792651737259072</v>
      </c>
      <c r="P382" s="8"/>
      <c r="Q382" t="s">
        <v>26</v>
      </c>
    </row>
    <row r="383" spans="1:17" hidden="1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21</v>
      </c>
      <c r="F383" s="7" t="s">
        <v>73</v>
      </c>
      <c r="G383" s="7" t="s">
        <v>74</v>
      </c>
      <c r="H383" s="7" t="s">
        <v>127</v>
      </c>
      <c r="I383" s="7" t="s">
        <v>133</v>
      </c>
      <c r="J383" s="8"/>
      <c r="K383" s="8"/>
      <c r="L383" s="8"/>
      <c r="M383" s="8"/>
      <c r="N383" s="8"/>
      <c r="O383" s="8">
        <v>151.94578911947875</v>
      </c>
      <c r="P383" s="8"/>
      <c r="Q383" t="s">
        <v>26</v>
      </c>
    </row>
    <row r="384" spans="1:17" hidden="1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21</v>
      </c>
      <c r="F384" s="7" t="s">
        <v>75</v>
      </c>
      <c r="G384" s="7" t="s">
        <v>76</v>
      </c>
      <c r="H384" s="7" t="s">
        <v>127</v>
      </c>
      <c r="I384" s="7" t="s">
        <v>133</v>
      </c>
      <c r="J384" s="8"/>
      <c r="K384" s="8"/>
      <c r="L384" s="8"/>
      <c r="M384" s="8"/>
      <c r="N384" s="8"/>
      <c r="O384" s="8">
        <v>377.48609578447457</v>
      </c>
      <c r="P384" s="8"/>
      <c r="Q384" t="s">
        <v>26</v>
      </c>
    </row>
    <row r="385" spans="1:17" hidden="1" x14ac:dyDescent="0.25">
      <c r="A385" s="7" t="s">
        <v>17</v>
      </c>
      <c r="B385" s="7" t="s">
        <v>18</v>
      </c>
      <c r="C385" s="7" t="s">
        <v>19</v>
      </c>
      <c r="D385" s="7"/>
      <c r="E385" s="7"/>
      <c r="F385" s="7" t="s">
        <v>77</v>
      </c>
      <c r="G385" s="7" t="s">
        <v>78</v>
      </c>
      <c r="H385" s="7" t="s">
        <v>127</v>
      </c>
      <c r="I385" s="7" t="s">
        <v>133</v>
      </c>
      <c r="J385" s="8"/>
      <c r="K385" s="8"/>
      <c r="L385" s="8"/>
      <c r="M385" s="8"/>
      <c r="N385" s="8"/>
      <c r="O385" s="8">
        <v>0</v>
      </c>
      <c r="P385" s="8"/>
      <c r="Q385" t="s">
        <v>26</v>
      </c>
    </row>
    <row r="386" spans="1:17" hidden="1" x14ac:dyDescent="0.25">
      <c r="A386" s="7" t="s">
        <v>17</v>
      </c>
      <c r="B386" s="7" t="s">
        <v>18</v>
      </c>
      <c r="C386" s="7" t="s">
        <v>19</v>
      </c>
      <c r="D386" s="7"/>
      <c r="E386" s="7"/>
      <c r="F386" s="7" t="s">
        <v>79</v>
      </c>
      <c r="G386" s="7" t="s">
        <v>80</v>
      </c>
      <c r="H386" s="7" t="s">
        <v>127</v>
      </c>
      <c r="I386" s="7" t="s">
        <v>133</v>
      </c>
      <c r="J386" s="8"/>
      <c r="K386" s="8"/>
      <c r="L386" s="8"/>
      <c r="M386" s="8"/>
      <c r="N386" s="8"/>
      <c r="O386" s="8">
        <v>0</v>
      </c>
      <c r="P386" s="8"/>
      <c r="Q386" t="s">
        <v>26</v>
      </c>
    </row>
    <row r="387" spans="1:17" hidden="1" x14ac:dyDescent="0.25">
      <c r="A387" s="7" t="s">
        <v>17</v>
      </c>
      <c r="B387" s="7" t="s">
        <v>18</v>
      </c>
      <c r="C387" s="7" t="s">
        <v>19</v>
      </c>
      <c r="D387" s="7"/>
      <c r="E387" s="7"/>
      <c r="F387" s="7" t="s">
        <v>81</v>
      </c>
      <c r="G387" s="7" t="s">
        <v>82</v>
      </c>
      <c r="H387" s="7" t="s">
        <v>127</v>
      </c>
      <c r="I387" s="7" t="s">
        <v>133</v>
      </c>
      <c r="J387" s="8"/>
      <c r="K387" s="8"/>
      <c r="L387" s="8"/>
      <c r="M387" s="8"/>
      <c r="N387" s="8"/>
      <c r="O387" s="8">
        <v>1.5676603894974916</v>
      </c>
      <c r="P387" s="8"/>
      <c r="Q387" t="s">
        <v>26</v>
      </c>
    </row>
    <row r="388" spans="1:17" hidden="1" x14ac:dyDescent="0.25">
      <c r="A388" s="7" t="s">
        <v>17</v>
      </c>
      <c r="B388" s="7" t="s">
        <v>18</v>
      </c>
      <c r="C388" s="7" t="s">
        <v>19</v>
      </c>
      <c r="D388" s="7"/>
      <c r="E388" s="7"/>
      <c r="F388" s="7" t="s">
        <v>83</v>
      </c>
      <c r="G388" s="7" t="s">
        <v>84</v>
      </c>
      <c r="H388" s="7" t="s">
        <v>127</v>
      </c>
      <c r="I388" s="7" t="s">
        <v>133</v>
      </c>
      <c r="J388" s="8"/>
      <c r="K388" s="8"/>
      <c r="L388" s="8"/>
      <c r="M388" s="8"/>
      <c r="N388" s="8"/>
      <c r="O388" s="8">
        <v>0.57434121389807258</v>
      </c>
      <c r="P388" s="8"/>
      <c r="Q388" t="s">
        <v>26</v>
      </c>
    </row>
    <row r="389" spans="1:17" hidden="1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21</v>
      </c>
      <c r="F389" s="7" t="s">
        <v>85</v>
      </c>
      <c r="G389" s="7" t="s">
        <v>86</v>
      </c>
      <c r="H389" s="7" t="s">
        <v>127</v>
      </c>
      <c r="I389" s="7" t="s">
        <v>133</v>
      </c>
      <c r="J389" s="8"/>
      <c r="K389" s="8"/>
      <c r="L389" s="8"/>
      <c r="M389" s="8"/>
      <c r="N389" s="8"/>
      <c r="O389" s="8">
        <v>21.591773987074458</v>
      </c>
      <c r="P389" s="8"/>
      <c r="Q389" t="s">
        <v>26</v>
      </c>
    </row>
    <row r="390" spans="1:17" hidden="1" x14ac:dyDescent="0.25">
      <c r="A390" s="7" t="s">
        <v>17</v>
      </c>
      <c r="B390" s="7" t="s">
        <v>18</v>
      </c>
      <c r="C390" s="7" t="s">
        <v>19</v>
      </c>
      <c r="D390" s="7"/>
      <c r="E390" s="7"/>
      <c r="F390" s="7" t="s">
        <v>87</v>
      </c>
      <c r="G390" s="7" t="s">
        <v>88</v>
      </c>
      <c r="H390" s="7" t="s">
        <v>127</v>
      </c>
      <c r="I390" s="7" t="s">
        <v>133</v>
      </c>
      <c r="J390" s="8"/>
      <c r="K390" s="8"/>
      <c r="L390" s="8"/>
      <c r="M390" s="8"/>
      <c r="N390" s="8"/>
      <c r="O390" s="8">
        <v>1.9229610233706649</v>
      </c>
      <c r="P390" s="8"/>
      <c r="Q390" t="s">
        <v>26</v>
      </c>
    </row>
    <row r="391" spans="1:17" hidden="1" x14ac:dyDescent="0.25">
      <c r="A391" s="7" t="s">
        <v>17</v>
      </c>
      <c r="B391" s="7" t="s">
        <v>18</v>
      </c>
      <c r="C391" s="7" t="s">
        <v>19</v>
      </c>
      <c r="D391" s="7"/>
      <c r="E391" s="7"/>
      <c r="F391" s="7" t="s">
        <v>89</v>
      </c>
      <c r="G391" s="7" t="s">
        <v>90</v>
      </c>
      <c r="H391" s="7" t="s">
        <v>127</v>
      </c>
      <c r="I391" s="7" t="s">
        <v>133</v>
      </c>
      <c r="J391" s="8"/>
      <c r="K391" s="8"/>
      <c r="L391" s="8"/>
      <c r="M391" s="8"/>
      <c r="N391" s="8"/>
      <c r="O391" s="8">
        <v>32.451325041807443</v>
      </c>
      <c r="P391" s="8"/>
      <c r="Q391" t="s">
        <v>26</v>
      </c>
    </row>
    <row r="392" spans="1:17" hidden="1" x14ac:dyDescent="0.25">
      <c r="A392" s="7" t="s">
        <v>17</v>
      </c>
      <c r="B392" s="7" t="s">
        <v>18</v>
      </c>
      <c r="C392" s="7" t="s">
        <v>19</v>
      </c>
      <c r="D392" s="7"/>
      <c r="E392" s="7"/>
      <c r="F392" s="7" t="s">
        <v>91</v>
      </c>
      <c r="G392" s="7" t="s">
        <v>92</v>
      </c>
      <c r="H392" s="7" t="s">
        <v>127</v>
      </c>
      <c r="I392" s="7" t="s">
        <v>133</v>
      </c>
      <c r="J392" s="8"/>
      <c r="K392" s="8"/>
      <c r="L392" s="8"/>
      <c r="M392" s="8"/>
      <c r="N392" s="8"/>
      <c r="O392" s="8">
        <v>0</v>
      </c>
      <c r="P392" s="8"/>
      <c r="Q392" t="s">
        <v>26</v>
      </c>
    </row>
    <row r="393" spans="1:17" hidden="1" x14ac:dyDescent="0.25">
      <c r="A393" s="7" t="s">
        <v>17</v>
      </c>
      <c r="B393" s="7" t="s">
        <v>18</v>
      </c>
      <c r="C393" s="7" t="s">
        <v>19</v>
      </c>
      <c r="D393" s="7"/>
      <c r="E393" s="7"/>
      <c r="F393" s="7" t="s">
        <v>93</v>
      </c>
      <c r="G393" s="7" t="s">
        <v>94</v>
      </c>
      <c r="H393" s="7" t="s">
        <v>127</v>
      </c>
      <c r="I393" s="7" t="s">
        <v>133</v>
      </c>
      <c r="J393" s="8"/>
      <c r="K393" s="8"/>
      <c r="L393" s="8"/>
      <c r="M393" s="8"/>
      <c r="N393" s="8"/>
      <c r="O393" s="8">
        <v>0</v>
      </c>
      <c r="P393" s="8"/>
      <c r="Q393" t="s">
        <v>26</v>
      </c>
    </row>
    <row r="394" spans="1:17" hidden="1" x14ac:dyDescent="0.25">
      <c r="A394" s="7" t="s">
        <v>17</v>
      </c>
      <c r="B394" s="7" t="s">
        <v>18</v>
      </c>
      <c r="C394" s="7" t="s">
        <v>19</v>
      </c>
      <c r="D394" s="7"/>
      <c r="E394" s="7"/>
      <c r="F394" s="7" t="s">
        <v>95</v>
      </c>
      <c r="G394" s="7" t="s">
        <v>96</v>
      </c>
      <c r="H394" s="7" t="s">
        <v>127</v>
      </c>
      <c r="I394" s="7" t="s">
        <v>133</v>
      </c>
      <c r="J394" s="8"/>
      <c r="K394" s="8"/>
      <c r="L394" s="8"/>
      <c r="M394" s="8"/>
      <c r="N394" s="8"/>
      <c r="O394" s="8">
        <v>0</v>
      </c>
      <c r="P394" s="8"/>
      <c r="Q394" t="s">
        <v>26</v>
      </c>
    </row>
    <row r="395" spans="1:17" hidden="1" x14ac:dyDescent="0.25">
      <c r="A395" s="7" t="s">
        <v>17</v>
      </c>
      <c r="B395" s="7" t="s">
        <v>18</v>
      </c>
      <c r="C395" s="7" t="s">
        <v>19</v>
      </c>
      <c r="D395" s="7"/>
      <c r="E395" s="7"/>
      <c r="F395" s="7" t="s">
        <v>97</v>
      </c>
      <c r="G395" s="7" t="s">
        <v>98</v>
      </c>
      <c r="H395" s="7" t="s">
        <v>127</v>
      </c>
      <c r="I395" s="7" t="s">
        <v>133</v>
      </c>
      <c r="J395" s="8"/>
      <c r="K395" s="8"/>
      <c r="L395" s="8"/>
      <c r="M395" s="8"/>
      <c r="N395" s="8"/>
      <c r="O395" s="8">
        <v>0.14358530347451814</v>
      </c>
      <c r="P395" s="8"/>
      <c r="Q395" t="s">
        <v>26</v>
      </c>
    </row>
    <row r="396" spans="1:17" hidden="1" x14ac:dyDescent="0.25">
      <c r="A396" s="7" t="s">
        <v>17</v>
      </c>
      <c r="B396" s="7" t="s">
        <v>18</v>
      </c>
      <c r="C396" s="7" t="s">
        <v>19</v>
      </c>
      <c r="D396" s="7"/>
      <c r="E396" s="7"/>
      <c r="F396" s="7" t="s">
        <v>99</v>
      </c>
      <c r="G396" s="7" t="s">
        <v>100</v>
      </c>
      <c r="H396" s="7" t="s">
        <v>127</v>
      </c>
      <c r="I396" s="7" t="s">
        <v>133</v>
      </c>
      <c r="J396" s="8"/>
      <c r="K396" s="8"/>
      <c r="L396" s="8"/>
      <c r="M396" s="8"/>
      <c r="N396" s="8"/>
      <c r="O396" s="8">
        <v>2.7777100742935361</v>
      </c>
      <c r="P396" s="8"/>
      <c r="Q396" t="s">
        <v>26</v>
      </c>
    </row>
    <row r="397" spans="1:17" hidden="1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21</v>
      </c>
      <c r="F397" s="7" t="s">
        <v>101</v>
      </c>
      <c r="G397" s="7" t="s">
        <v>21</v>
      </c>
      <c r="H397" s="7" t="s">
        <v>127</v>
      </c>
      <c r="I397" s="7" t="s">
        <v>133</v>
      </c>
      <c r="J397" s="8"/>
      <c r="K397" s="8"/>
      <c r="L397" s="8"/>
      <c r="M397" s="8"/>
      <c r="N397" s="8"/>
      <c r="O397" s="8">
        <v>428.63180871810795</v>
      </c>
      <c r="P397" s="8"/>
      <c r="Q397" t="s">
        <v>26</v>
      </c>
    </row>
    <row r="398" spans="1:17" hidden="1" x14ac:dyDescent="0.25">
      <c r="A398" s="7" t="s">
        <v>17</v>
      </c>
      <c r="B398" s="7" t="s">
        <v>18</v>
      </c>
      <c r="C398" s="7" t="s">
        <v>19</v>
      </c>
      <c r="D398" s="7"/>
      <c r="E398" s="7"/>
      <c r="F398" s="7" t="s">
        <v>102</v>
      </c>
      <c r="G398" s="7" t="s">
        <v>103</v>
      </c>
      <c r="H398" s="7" t="s">
        <v>127</v>
      </c>
      <c r="I398" s="7" t="s">
        <v>133</v>
      </c>
      <c r="J398" s="8"/>
      <c r="K398" s="8"/>
      <c r="L398" s="8"/>
      <c r="M398" s="8"/>
      <c r="N398" s="8"/>
      <c r="O398" s="8">
        <v>0</v>
      </c>
      <c r="P398" s="8"/>
      <c r="Q398" t="s">
        <v>26</v>
      </c>
    </row>
    <row r="399" spans="1:17" hidden="1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21</v>
      </c>
      <c r="F399" s="7" t="s">
        <v>104</v>
      </c>
      <c r="G399" s="7" t="s">
        <v>105</v>
      </c>
      <c r="H399" s="7" t="s">
        <v>127</v>
      </c>
      <c r="I399" s="7" t="s">
        <v>133</v>
      </c>
      <c r="J399" s="8"/>
      <c r="K399" s="8"/>
      <c r="L399" s="8"/>
      <c r="M399" s="8"/>
      <c r="N399" s="8"/>
      <c r="O399" s="8">
        <v>50.129116709035024</v>
      </c>
      <c r="P399" s="8"/>
      <c r="Q399" t="s">
        <v>26</v>
      </c>
    </row>
    <row r="400" spans="1:17" hidden="1" x14ac:dyDescent="0.25">
      <c r="A400" s="7" t="s">
        <v>17</v>
      </c>
      <c r="B400" s="7" t="s">
        <v>18</v>
      </c>
      <c r="C400" s="7" t="s">
        <v>19</v>
      </c>
      <c r="D400" s="7"/>
      <c r="E400" s="7"/>
      <c r="F400" s="7" t="s">
        <v>106</v>
      </c>
      <c r="G400" s="7" t="s">
        <v>107</v>
      </c>
      <c r="H400" s="7" t="s">
        <v>127</v>
      </c>
      <c r="I400" s="7" t="s">
        <v>133</v>
      </c>
      <c r="J400" s="8"/>
      <c r="K400" s="8"/>
      <c r="L400" s="8"/>
      <c r="M400" s="8"/>
      <c r="N400" s="8"/>
      <c r="O400" s="8">
        <v>0.86151182084710864</v>
      </c>
      <c r="P400" s="8"/>
      <c r="Q400" t="s">
        <v>26</v>
      </c>
    </row>
    <row r="401" spans="1:17" hidden="1" x14ac:dyDescent="0.25">
      <c r="A401" s="7" t="s">
        <v>17</v>
      </c>
      <c r="B401" s="7" t="s">
        <v>18</v>
      </c>
      <c r="C401" s="7" t="s">
        <v>19</v>
      </c>
      <c r="D401" s="7"/>
      <c r="E401" s="7"/>
      <c r="F401" s="7" t="s">
        <v>108</v>
      </c>
      <c r="G401" s="7" t="s">
        <v>109</v>
      </c>
      <c r="H401" s="7" t="s">
        <v>127</v>
      </c>
      <c r="I401" s="7" t="s">
        <v>133</v>
      </c>
      <c r="J401" s="8"/>
      <c r="K401" s="8"/>
      <c r="L401" s="8"/>
      <c r="M401" s="8"/>
      <c r="N401" s="8"/>
      <c r="O401" s="8">
        <v>0</v>
      </c>
      <c r="P401" s="8"/>
      <c r="Q401" t="s">
        <v>26</v>
      </c>
    </row>
    <row r="402" spans="1:17" hidden="1" x14ac:dyDescent="0.25">
      <c r="A402" s="7" t="s">
        <v>17</v>
      </c>
      <c r="B402" s="7" t="s">
        <v>18</v>
      </c>
      <c r="C402" s="7" t="s">
        <v>19</v>
      </c>
      <c r="D402" s="7"/>
      <c r="E402" s="7"/>
      <c r="F402" s="7" t="s">
        <v>110</v>
      </c>
      <c r="G402" s="7" t="s">
        <v>111</v>
      </c>
      <c r="H402" s="7" t="s">
        <v>127</v>
      </c>
      <c r="I402" s="7" t="s">
        <v>133</v>
      </c>
      <c r="J402" s="8"/>
      <c r="K402" s="8"/>
      <c r="L402" s="8"/>
      <c r="M402" s="8"/>
      <c r="N402" s="8"/>
      <c r="O402" s="8">
        <v>14.425311738357491</v>
      </c>
      <c r="P402" s="8"/>
      <c r="Q402" t="s">
        <v>26</v>
      </c>
    </row>
    <row r="403" spans="1:17" hidden="1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21</v>
      </c>
      <c r="F403" s="7" t="s">
        <v>112</v>
      </c>
      <c r="G403" s="7" t="s">
        <v>113</v>
      </c>
      <c r="H403" s="7" t="s">
        <v>127</v>
      </c>
      <c r="I403" s="7" t="s">
        <v>133</v>
      </c>
      <c r="J403" s="8"/>
      <c r="K403" s="8"/>
      <c r="L403" s="8"/>
      <c r="M403" s="8"/>
      <c r="N403" s="8"/>
      <c r="O403" s="8">
        <v>27.917312485211731</v>
      </c>
      <c r="P403" s="8"/>
      <c r="Q403" t="s">
        <v>26</v>
      </c>
    </row>
    <row r="404" spans="1:17" hidden="1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21</v>
      </c>
      <c r="F404" s="7" t="s">
        <v>114</v>
      </c>
      <c r="G404" s="7" t="s">
        <v>115</v>
      </c>
      <c r="H404" s="7" t="s">
        <v>127</v>
      </c>
      <c r="I404" s="7" t="s">
        <v>133</v>
      </c>
      <c r="J404" s="8"/>
      <c r="K404" s="8"/>
      <c r="L404" s="8"/>
      <c r="M404" s="8"/>
      <c r="N404" s="8"/>
      <c r="O404" s="8">
        <v>298.49440216914417</v>
      </c>
      <c r="P404" s="8"/>
      <c r="Q404" t="s">
        <v>26</v>
      </c>
    </row>
    <row r="405" spans="1:17" hidden="1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21</v>
      </c>
      <c r="F405" s="7" t="s">
        <v>116</v>
      </c>
      <c r="G405" s="7" t="s">
        <v>117</v>
      </c>
      <c r="H405" s="7" t="s">
        <v>127</v>
      </c>
      <c r="I405" s="7" t="s">
        <v>133</v>
      </c>
      <c r="J405" s="8"/>
      <c r="K405" s="8"/>
      <c r="L405" s="8"/>
      <c r="M405" s="8"/>
      <c r="N405" s="8"/>
      <c r="O405" s="8">
        <v>1.1432722118567549</v>
      </c>
      <c r="P405" s="8"/>
      <c r="Q405" t="s">
        <v>26</v>
      </c>
    </row>
    <row r="406" spans="1:17" hidden="1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21</v>
      </c>
      <c r="F406" s="7" t="s">
        <v>118</v>
      </c>
      <c r="G406" s="7" t="s">
        <v>119</v>
      </c>
      <c r="H406" s="7" t="s">
        <v>127</v>
      </c>
      <c r="I406" s="7" t="s">
        <v>133</v>
      </c>
      <c r="J406" s="8"/>
      <c r="K406" s="8"/>
      <c r="L406" s="8"/>
      <c r="M406" s="8"/>
      <c r="N406" s="8"/>
      <c r="O406" s="8">
        <v>147.91323098584786</v>
      </c>
      <c r="P406" s="8"/>
      <c r="Q406" t="s">
        <v>26</v>
      </c>
    </row>
    <row r="407" spans="1:17" hidden="1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21</v>
      </c>
      <c r="F407" s="7" t="s">
        <v>120</v>
      </c>
      <c r="G407" s="7" t="s">
        <v>121</v>
      </c>
      <c r="H407" s="7" t="s">
        <v>127</v>
      </c>
      <c r="I407" s="7" t="s">
        <v>133</v>
      </c>
      <c r="J407" s="8"/>
      <c r="K407" s="8"/>
      <c r="L407" s="8"/>
      <c r="M407" s="8"/>
      <c r="N407" s="8"/>
      <c r="O407" s="8">
        <v>11.845787536647746</v>
      </c>
      <c r="P407" s="8"/>
      <c r="Q407" t="s">
        <v>26</v>
      </c>
    </row>
    <row r="408" spans="1:17" hidden="1" x14ac:dyDescent="0.25">
      <c r="A408" s="7" t="s">
        <v>17</v>
      </c>
      <c r="B408" s="7" t="s">
        <v>18</v>
      </c>
      <c r="C408" s="7" t="s">
        <v>19</v>
      </c>
      <c r="D408" s="7"/>
      <c r="E408" s="7"/>
      <c r="F408" s="7" t="s">
        <v>122</v>
      </c>
      <c r="G408" s="7" t="s">
        <v>123</v>
      </c>
      <c r="H408" s="7" t="s">
        <v>127</v>
      </c>
      <c r="I408" s="7" t="s">
        <v>133</v>
      </c>
      <c r="J408" s="8"/>
      <c r="K408" s="8"/>
      <c r="L408" s="8"/>
      <c r="M408" s="8"/>
      <c r="N408" s="8"/>
      <c r="O408" s="8">
        <v>0</v>
      </c>
      <c r="P408" s="8"/>
      <c r="Q408" t="s">
        <v>26</v>
      </c>
    </row>
    <row r="409" spans="1:17" hidden="1" x14ac:dyDescent="0.25">
      <c r="A409" s="7" t="s">
        <v>17</v>
      </c>
      <c r="B409" s="7" t="s">
        <v>18</v>
      </c>
      <c r="C409" s="7" t="s">
        <v>19</v>
      </c>
      <c r="D409" s="7"/>
      <c r="E409" s="7"/>
      <c r="F409" s="7" t="s">
        <v>124</v>
      </c>
      <c r="G409" s="7" t="s">
        <v>125</v>
      </c>
      <c r="H409" s="7" t="s">
        <v>127</v>
      </c>
      <c r="I409" s="7" t="s">
        <v>133</v>
      </c>
      <c r="J409" s="8"/>
      <c r="K409" s="8"/>
      <c r="L409" s="8"/>
      <c r="M409" s="8"/>
      <c r="N409" s="8"/>
      <c r="O409" s="8">
        <v>1.3727835904733094</v>
      </c>
      <c r="P409" s="8"/>
      <c r="Q409" t="s">
        <v>26</v>
      </c>
    </row>
    <row r="410" spans="1:17" hidden="1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21</v>
      </c>
      <c r="F410" s="7" t="s">
        <v>22</v>
      </c>
      <c r="G410" s="7" t="s">
        <v>23</v>
      </c>
      <c r="H410" s="7" t="s">
        <v>127</v>
      </c>
      <c r="I410" s="7" t="s">
        <v>134</v>
      </c>
      <c r="J410" s="8"/>
      <c r="K410" s="8"/>
      <c r="L410" s="8"/>
      <c r="M410" s="8"/>
      <c r="N410" s="8"/>
      <c r="O410" s="8">
        <v>5.2930499999999991</v>
      </c>
      <c r="P410" s="8"/>
      <c r="Q410" t="s">
        <v>26</v>
      </c>
    </row>
    <row r="411" spans="1:17" hidden="1" x14ac:dyDescent="0.25">
      <c r="A411" s="7" t="s">
        <v>17</v>
      </c>
      <c r="B411" s="7" t="s">
        <v>18</v>
      </c>
      <c r="C411" s="7" t="s">
        <v>19</v>
      </c>
      <c r="D411" s="7"/>
      <c r="E411" s="7"/>
      <c r="F411" s="7" t="s">
        <v>27</v>
      </c>
      <c r="G411" s="7" t="s">
        <v>28</v>
      </c>
      <c r="H411" s="7" t="s">
        <v>127</v>
      </c>
      <c r="I411" s="7" t="s">
        <v>134</v>
      </c>
      <c r="J411" s="8"/>
      <c r="K411" s="8"/>
      <c r="L411" s="8"/>
      <c r="M411" s="8"/>
      <c r="N411" s="8"/>
      <c r="O411" s="8">
        <v>3.95825</v>
      </c>
      <c r="P411" s="8"/>
      <c r="Q411" t="s">
        <v>26</v>
      </c>
    </row>
    <row r="412" spans="1:17" hidden="1" x14ac:dyDescent="0.25">
      <c r="A412" s="7" t="s">
        <v>17</v>
      </c>
      <c r="B412" s="7" t="s">
        <v>18</v>
      </c>
      <c r="C412" s="7" t="s">
        <v>19</v>
      </c>
      <c r="D412" s="7"/>
      <c r="E412" s="7"/>
      <c r="F412" s="7" t="s">
        <v>29</v>
      </c>
      <c r="G412" s="7" t="s">
        <v>30</v>
      </c>
      <c r="H412" s="7" t="s">
        <v>127</v>
      </c>
      <c r="I412" s="7" t="s">
        <v>134</v>
      </c>
      <c r="J412" s="8"/>
      <c r="K412" s="8"/>
      <c r="L412" s="8"/>
      <c r="M412" s="8"/>
      <c r="N412" s="8"/>
      <c r="O412" s="8">
        <v>1.49455</v>
      </c>
      <c r="P412" s="8"/>
      <c r="Q412" t="s">
        <v>26</v>
      </c>
    </row>
    <row r="413" spans="1:17" hidden="1" x14ac:dyDescent="0.25">
      <c r="A413" s="7" t="s">
        <v>17</v>
      </c>
      <c r="B413" s="7" t="s">
        <v>18</v>
      </c>
      <c r="C413" s="7" t="s">
        <v>19</v>
      </c>
      <c r="D413" s="7"/>
      <c r="E413" s="7"/>
      <c r="F413" s="7" t="s">
        <v>31</v>
      </c>
      <c r="G413" s="7" t="s">
        <v>32</v>
      </c>
      <c r="H413" s="7" t="s">
        <v>127</v>
      </c>
      <c r="I413" s="7" t="s">
        <v>134</v>
      </c>
      <c r="J413" s="8"/>
      <c r="K413" s="8"/>
      <c r="L413" s="8"/>
      <c r="M413" s="8"/>
      <c r="N413" s="8"/>
      <c r="O413" s="8">
        <v>76.651600000000016</v>
      </c>
      <c r="P413" s="8"/>
      <c r="Q413" t="s">
        <v>26</v>
      </c>
    </row>
    <row r="414" spans="1:17" hidden="1" x14ac:dyDescent="0.25">
      <c r="A414" s="7" t="s">
        <v>17</v>
      </c>
      <c r="B414" s="7" t="s">
        <v>18</v>
      </c>
      <c r="C414" s="7" t="s">
        <v>19</v>
      </c>
      <c r="D414" s="7"/>
      <c r="E414" s="7"/>
      <c r="F414" s="7" t="s">
        <v>33</v>
      </c>
      <c r="G414" s="7" t="s">
        <v>34</v>
      </c>
      <c r="H414" s="7" t="s">
        <v>127</v>
      </c>
      <c r="I414" s="7" t="s">
        <v>134</v>
      </c>
      <c r="J414" s="8"/>
      <c r="K414" s="8"/>
      <c r="L414" s="8"/>
      <c r="M414" s="8"/>
      <c r="N414" s="8"/>
      <c r="O414" s="8">
        <v>45.645900000000005</v>
      </c>
      <c r="P414" s="8"/>
      <c r="Q414" t="s">
        <v>26</v>
      </c>
    </row>
    <row r="415" spans="1:17" hidden="1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21</v>
      </c>
      <c r="F415" s="7" t="s">
        <v>35</v>
      </c>
      <c r="G415" s="7" t="s">
        <v>36</v>
      </c>
      <c r="H415" s="7" t="s">
        <v>127</v>
      </c>
      <c r="I415" s="7" t="s">
        <v>134</v>
      </c>
      <c r="J415" s="8"/>
      <c r="K415" s="8"/>
      <c r="L415" s="8"/>
      <c r="M415" s="8"/>
      <c r="N415" s="8"/>
      <c r="O415" s="8">
        <v>1633.3549999999991</v>
      </c>
      <c r="P415" s="8"/>
      <c r="Q415" t="s">
        <v>26</v>
      </c>
    </row>
    <row r="416" spans="1:17" hidden="1" x14ac:dyDescent="0.25">
      <c r="A416" s="7" t="s">
        <v>17</v>
      </c>
      <c r="B416" s="7" t="s">
        <v>18</v>
      </c>
      <c r="C416" s="7" t="s">
        <v>19</v>
      </c>
      <c r="D416" s="7"/>
      <c r="E416" s="7"/>
      <c r="F416" s="7" t="s">
        <v>37</v>
      </c>
      <c r="G416" s="7" t="s">
        <v>38</v>
      </c>
      <c r="H416" s="7" t="s">
        <v>127</v>
      </c>
      <c r="I416" s="7" t="s">
        <v>134</v>
      </c>
      <c r="J416" s="8"/>
      <c r="K416" s="8"/>
      <c r="L416" s="8"/>
      <c r="M416" s="8"/>
      <c r="N416" s="8"/>
      <c r="O416" s="8">
        <v>15.48155</v>
      </c>
      <c r="P416" s="8"/>
      <c r="Q416" t="s">
        <v>26</v>
      </c>
    </row>
    <row r="417" spans="1:17" hidden="1" x14ac:dyDescent="0.25">
      <c r="A417" s="7" t="s">
        <v>17</v>
      </c>
      <c r="B417" s="7" t="s">
        <v>18</v>
      </c>
      <c r="C417" s="7" t="s">
        <v>19</v>
      </c>
      <c r="D417" s="7"/>
      <c r="E417" s="7"/>
      <c r="F417" s="7" t="s">
        <v>39</v>
      </c>
      <c r="G417" s="7" t="s">
        <v>40</v>
      </c>
      <c r="H417" s="7" t="s">
        <v>127</v>
      </c>
      <c r="I417" s="7" t="s">
        <v>134</v>
      </c>
      <c r="J417" s="8"/>
      <c r="K417" s="8"/>
      <c r="L417" s="8"/>
      <c r="M417" s="8"/>
      <c r="N417" s="8"/>
      <c r="O417" s="8">
        <v>10.59675</v>
      </c>
      <c r="P417" s="8"/>
      <c r="Q417" t="s">
        <v>26</v>
      </c>
    </row>
    <row r="418" spans="1:17" hidden="1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21</v>
      </c>
      <c r="F418" s="7" t="s">
        <v>41</v>
      </c>
      <c r="G418" s="7" t="s">
        <v>42</v>
      </c>
      <c r="H418" s="7" t="s">
        <v>127</v>
      </c>
      <c r="I418" s="7" t="s">
        <v>134</v>
      </c>
      <c r="J418" s="8"/>
      <c r="K418" s="8"/>
      <c r="L418" s="8"/>
      <c r="M418" s="8"/>
      <c r="N418" s="8"/>
      <c r="O418" s="8">
        <v>207.14959999999996</v>
      </c>
      <c r="P418" s="8"/>
      <c r="Q418" t="s">
        <v>26</v>
      </c>
    </row>
    <row r="419" spans="1:17" hidden="1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21</v>
      </c>
      <c r="F419" s="7" t="s">
        <v>43</v>
      </c>
      <c r="G419" s="7" t="s">
        <v>44</v>
      </c>
      <c r="H419" s="7" t="s">
        <v>127</v>
      </c>
      <c r="I419" s="7" t="s">
        <v>134</v>
      </c>
      <c r="J419" s="8"/>
      <c r="K419" s="8"/>
      <c r="L419" s="8"/>
      <c r="M419" s="8"/>
      <c r="N419" s="8"/>
      <c r="O419" s="8">
        <v>95.747050000000002</v>
      </c>
      <c r="P419" s="8"/>
      <c r="Q419" t="s">
        <v>26</v>
      </c>
    </row>
    <row r="420" spans="1:17" hidden="1" x14ac:dyDescent="0.25">
      <c r="A420" s="7" t="s">
        <v>17</v>
      </c>
      <c r="B420" s="7" t="s">
        <v>18</v>
      </c>
      <c r="C420" s="7" t="s">
        <v>19</v>
      </c>
      <c r="D420" s="7"/>
      <c r="E420" s="7"/>
      <c r="F420" s="7" t="s">
        <v>45</v>
      </c>
      <c r="G420" s="7" t="s">
        <v>46</v>
      </c>
      <c r="H420" s="7" t="s">
        <v>127</v>
      </c>
      <c r="I420" s="7" t="s">
        <v>134</v>
      </c>
      <c r="J420" s="8"/>
      <c r="K420" s="8"/>
      <c r="L420" s="8"/>
      <c r="M420" s="8"/>
      <c r="N420" s="8"/>
      <c r="O420" s="8">
        <v>19.539200000000001</v>
      </c>
      <c r="P420" s="8"/>
      <c r="Q420" t="s">
        <v>26</v>
      </c>
    </row>
    <row r="421" spans="1:17" hidden="1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21</v>
      </c>
      <c r="F421" s="7" t="s">
        <v>47</v>
      </c>
      <c r="G421" s="7" t="s">
        <v>48</v>
      </c>
      <c r="H421" s="7" t="s">
        <v>127</v>
      </c>
      <c r="I421" s="7" t="s">
        <v>134</v>
      </c>
      <c r="J421" s="8"/>
      <c r="K421" s="8"/>
      <c r="L421" s="8"/>
      <c r="M421" s="8"/>
      <c r="N421" s="8"/>
      <c r="O421" s="8">
        <v>118.51675</v>
      </c>
      <c r="P421" s="8"/>
      <c r="Q421" t="s">
        <v>26</v>
      </c>
    </row>
    <row r="422" spans="1:17" hidden="1" x14ac:dyDescent="0.25">
      <c r="A422" s="7" t="s">
        <v>17</v>
      </c>
      <c r="B422" s="7" t="s">
        <v>18</v>
      </c>
      <c r="C422" s="7" t="s">
        <v>19</v>
      </c>
      <c r="D422" s="7"/>
      <c r="E422" s="7"/>
      <c r="F422" s="7" t="s">
        <v>49</v>
      </c>
      <c r="G422" s="7" t="s">
        <v>50</v>
      </c>
      <c r="H422" s="7" t="s">
        <v>127</v>
      </c>
      <c r="I422" s="7" t="s">
        <v>134</v>
      </c>
      <c r="J422" s="8"/>
      <c r="K422" s="8"/>
      <c r="L422" s="8"/>
      <c r="M422" s="8"/>
      <c r="N422" s="8"/>
      <c r="O422" s="8">
        <v>25.052349999999993</v>
      </c>
      <c r="P422" s="8"/>
      <c r="Q422" t="s">
        <v>26</v>
      </c>
    </row>
    <row r="423" spans="1:17" hidden="1" x14ac:dyDescent="0.25">
      <c r="A423" s="7" t="s">
        <v>17</v>
      </c>
      <c r="B423" s="7" t="s">
        <v>18</v>
      </c>
      <c r="C423" s="7" t="s">
        <v>19</v>
      </c>
      <c r="D423" s="7"/>
      <c r="E423" s="7"/>
      <c r="F423" s="7" t="s">
        <v>51</v>
      </c>
      <c r="G423" s="7" t="s">
        <v>52</v>
      </c>
      <c r="H423" s="7" t="s">
        <v>127</v>
      </c>
      <c r="I423" s="7" t="s">
        <v>134</v>
      </c>
      <c r="J423" s="8"/>
      <c r="K423" s="8"/>
      <c r="L423" s="8"/>
      <c r="M423" s="8"/>
      <c r="N423" s="8"/>
      <c r="O423" s="8">
        <v>27.72195000000001</v>
      </c>
      <c r="P423" s="8"/>
      <c r="Q423" t="s">
        <v>26</v>
      </c>
    </row>
    <row r="424" spans="1:17" hidden="1" x14ac:dyDescent="0.25">
      <c r="A424" s="7" t="s">
        <v>17</v>
      </c>
      <c r="B424" s="7" t="s">
        <v>18</v>
      </c>
      <c r="C424" s="7" t="s">
        <v>19</v>
      </c>
      <c r="D424" s="7"/>
      <c r="E424" s="7"/>
      <c r="F424" s="7" t="s">
        <v>53</v>
      </c>
      <c r="G424" s="7" t="s">
        <v>54</v>
      </c>
      <c r="H424" s="7" t="s">
        <v>127</v>
      </c>
      <c r="I424" s="7" t="s">
        <v>134</v>
      </c>
      <c r="J424" s="8"/>
      <c r="K424" s="8"/>
      <c r="L424" s="8"/>
      <c r="M424" s="8"/>
      <c r="N424" s="8"/>
      <c r="O424" s="8">
        <v>2.1335500000000001</v>
      </c>
      <c r="P424" s="8"/>
      <c r="Q424" t="s">
        <v>26</v>
      </c>
    </row>
    <row r="425" spans="1:17" hidden="1" x14ac:dyDescent="0.25">
      <c r="A425" s="7" t="s">
        <v>17</v>
      </c>
      <c r="B425" s="7" t="s">
        <v>18</v>
      </c>
      <c r="C425" s="7" t="s">
        <v>19</v>
      </c>
      <c r="D425" s="7"/>
      <c r="E425" s="7"/>
      <c r="F425" s="7" t="s">
        <v>55</v>
      </c>
      <c r="G425" s="7" t="s">
        <v>56</v>
      </c>
      <c r="H425" s="7" t="s">
        <v>127</v>
      </c>
      <c r="I425" s="7" t="s">
        <v>134</v>
      </c>
      <c r="J425" s="8"/>
      <c r="K425" s="8"/>
      <c r="L425" s="8"/>
      <c r="M425" s="8"/>
      <c r="N425" s="8"/>
      <c r="O425" s="8">
        <v>5.2433500000000004</v>
      </c>
      <c r="P425" s="8"/>
      <c r="Q425" t="s">
        <v>26</v>
      </c>
    </row>
    <row r="426" spans="1:17" hidden="1" x14ac:dyDescent="0.25">
      <c r="A426" s="7" t="s">
        <v>17</v>
      </c>
      <c r="B426" s="7" t="s">
        <v>18</v>
      </c>
      <c r="C426" s="7" t="s">
        <v>19</v>
      </c>
      <c r="D426" s="7"/>
      <c r="E426" s="7"/>
      <c r="F426" s="7" t="s">
        <v>57</v>
      </c>
      <c r="G426" s="7" t="s">
        <v>58</v>
      </c>
      <c r="H426" s="7" t="s">
        <v>127</v>
      </c>
      <c r="I426" s="7" t="s">
        <v>134</v>
      </c>
      <c r="J426" s="8"/>
      <c r="K426" s="8"/>
      <c r="L426" s="8"/>
      <c r="M426" s="8"/>
      <c r="N426" s="8"/>
      <c r="O426" s="8">
        <v>19.926150000000003</v>
      </c>
      <c r="P426" s="8"/>
      <c r="Q426" t="s">
        <v>26</v>
      </c>
    </row>
    <row r="427" spans="1:17" hidden="1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21</v>
      </c>
      <c r="F427" s="7" t="s">
        <v>59</v>
      </c>
      <c r="G427" s="7" t="s">
        <v>60</v>
      </c>
      <c r="H427" s="7" t="s">
        <v>127</v>
      </c>
      <c r="I427" s="7" t="s">
        <v>134</v>
      </c>
      <c r="J427" s="8"/>
      <c r="K427" s="8"/>
      <c r="L427" s="8"/>
      <c r="M427" s="8"/>
      <c r="N427" s="8"/>
      <c r="O427" s="8">
        <v>681.16334999999879</v>
      </c>
      <c r="P427" s="8"/>
      <c r="Q427" t="s">
        <v>26</v>
      </c>
    </row>
    <row r="428" spans="1:17" hidden="1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21</v>
      </c>
      <c r="F428" s="7" t="s">
        <v>61</v>
      </c>
      <c r="G428" s="7" t="s">
        <v>62</v>
      </c>
      <c r="H428" s="7" t="s">
        <v>127</v>
      </c>
      <c r="I428" s="7" t="s">
        <v>134</v>
      </c>
      <c r="J428" s="8"/>
      <c r="K428" s="8"/>
      <c r="L428" s="8"/>
      <c r="M428" s="8"/>
      <c r="N428" s="8"/>
      <c r="O428" s="8">
        <v>348.16980000000001</v>
      </c>
      <c r="P428" s="8"/>
      <c r="Q428" t="s">
        <v>26</v>
      </c>
    </row>
    <row r="429" spans="1:17" hidden="1" x14ac:dyDescent="0.25">
      <c r="A429" s="7" t="s">
        <v>17</v>
      </c>
      <c r="B429" s="7" t="s">
        <v>18</v>
      </c>
      <c r="C429" s="7" t="s">
        <v>19</v>
      </c>
      <c r="D429" s="7"/>
      <c r="E429" s="7"/>
      <c r="F429" s="7" t="s">
        <v>63</v>
      </c>
      <c r="G429" s="7" t="s">
        <v>64</v>
      </c>
      <c r="H429" s="7" t="s">
        <v>127</v>
      </c>
      <c r="I429" s="7" t="s">
        <v>134</v>
      </c>
      <c r="J429" s="8"/>
      <c r="K429" s="8"/>
      <c r="L429" s="8"/>
      <c r="M429" s="8"/>
      <c r="N429" s="8"/>
      <c r="O429" s="8">
        <v>10.955299999999999</v>
      </c>
      <c r="P429" s="8"/>
      <c r="Q429" t="s">
        <v>26</v>
      </c>
    </row>
    <row r="430" spans="1:17" hidden="1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21</v>
      </c>
      <c r="F430" s="7" t="s">
        <v>65</v>
      </c>
      <c r="G430" s="7" t="s">
        <v>66</v>
      </c>
      <c r="H430" s="7" t="s">
        <v>127</v>
      </c>
      <c r="I430" s="7" t="s">
        <v>134</v>
      </c>
      <c r="J430" s="8"/>
      <c r="K430" s="8"/>
      <c r="L430" s="8"/>
      <c r="M430" s="8"/>
      <c r="N430" s="8"/>
      <c r="O430" s="8">
        <v>1141.6658000000002</v>
      </c>
      <c r="P430" s="8"/>
      <c r="Q430" t="s">
        <v>26</v>
      </c>
    </row>
    <row r="431" spans="1:17" hidden="1" x14ac:dyDescent="0.25">
      <c r="A431" s="7" t="s">
        <v>17</v>
      </c>
      <c r="B431" s="7" t="s">
        <v>18</v>
      </c>
      <c r="C431" s="7" t="s">
        <v>19</v>
      </c>
      <c r="D431" s="7"/>
      <c r="E431" s="7"/>
      <c r="F431" s="7" t="s">
        <v>67</v>
      </c>
      <c r="G431" s="7" t="s">
        <v>68</v>
      </c>
      <c r="H431" s="7" t="s">
        <v>127</v>
      </c>
      <c r="I431" s="7" t="s">
        <v>134</v>
      </c>
      <c r="J431" s="8"/>
      <c r="K431" s="8"/>
      <c r="L431" s="8"/>
      <c r="M431" s="8"/>
      <c r="N431" s="8"/>
      <c r="O431" s="8">
        <v>17.998500000000003</v>
      </c>
      <c r="P431" s="8"/>
      <c r="Q431" t="s">
        <v>26</v>
      </c>
    </row>
    <row r="432" spans="1:17" hidden="1" x14ac:dyDescent="0.25">
      <c r="A432" s="7" t="s">
        <v>17</v>
      </c>
      <c r="B432" s="7" t="s">
        <v>18</v>
      </c>
      <c r="C432" s="7" t="s">
        <v>19</v>
      </c>
      <c r="D432" s="7"/>
      <c r="E432" s="7"/>
      <c r="F432" s="7" t="s">
        <v>69</v>
      </c>
      <c r="G432" s="7" t="s">
        <v>70</v>
      </c>
      <c r="H432" s="7" t="s">
        <v>127</v>
      </c>
      <c r="I432" s="7" t="s">
        <v>134</v>
      </c>
      <c r="J432" s="8"/>
      <c r="K432" s="8"/>
      <c r="L432" s="8"/>
      <c r="M432" s="8"/>
      <c r="N432" s="8"/>
      <c r="O432" s="8">
        <v>2.4601500000000001</v>
      </c>
      <c r="P432" s="8"/>
      <c r="Q432" t="s">
        <v>26</v>
      </c>
    </row>
    <row r="433" spans="1:17" hidden="1" x14ac:dyDescent="0.25">
      <c r="A433" s="7" t="s">
        <v>17</v>
      </c>
      <c r="B433" s="7" t="s">
        <v>18</v>
      </c>
      <c r="C433" s="7" t="s">
        <v>19</v>
      </c>
      <c r="D433" s="7"/>
      <c r="E433" s="7"/>
      <c r="F433" s="7" t="s">
        <v>71</v>
      </c>
      <c r="G433" s="7" t="s">
        <v>72</v>
      </c>
      <c r="H433" s="7" t="s">
        <v>127</v>
      </c>
      <c r="I433" s="7" t="s">
        <v>134</v>
      </c>
      <c r="J433" s="8"/>
      <c r="K433" s="8"/>
      <c r="L433" s="8"/>
      <c r="M433" s="8"/>
      <c r="N433" s="8"/>
      <c r="O433" s="8">
        <v>5.4456999999999995</v>
      </c>
      <c r="P433" s="8"/>
      <c r="Q433" t="s">
        <v>26</v>
      </c>
    </row>
    <row r="434" spans="1:17" hidden="1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21</v>
      </c>
      <c r="F434" s="7" t="s">
        <v>73</v>
      </c>
      <c r="G434" s="7" t="s">
        <v>74</v>
      </c>
      <c r="H434" s="7" t="s">
        <v>127</v>
      </c>
      <c r="I434" s="7" t="s">
        <v>134</v>
      </c>
      <c r="J434" s="8"/>
      <c r="K434" s="8"/>
      <c r="L434" s="8"/>
      <c r="M434" s="8"/>
      <c r="N434" s="8"/>
      <c r="O434" s="8">
        <v>214.07920000000001</v>
      </c>
      <c r="P434" s="8"/>
      <c r="Q434" t="s">
        <v>26</v>
      </c>
    </row>
    <row r="435" spans="1:17" hidden="1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21</v>
      </c>
      <c r="F435" s="7" t="s">
        <v>75</v>
      </c>
      <c r="G435" s="7" t="s">
        <v>76</v>
      </c>
      <c r="H435" s="7" t="s">
        <v>127</v>
      </c>
      <c r="I435" s="7" t="s">
        <v>134</v>
      </c>
      <c r="J435" s="8"/>
      <c r="K435" s="8"/>
      <c r="L435" s="8"/>
      <c r="M435" s="8"/>
      <c r="N435" s="8"/>
      <c r="O435" s="8">
        <v>1805.143050000001</v>
      </c>
      <c r="P435" s="8"/>
      <c r="Q435" t="s">
        <v>26</v>
      </c>
    </row>
    <row r="436" spans="1:17" hidden="1" x14ac:dyDescent="0.25">
      <c r="A436" s="7" t="s">
        <v>17</v>
      </c>
      <c r="B436" s="7" t="s">
        <v>18</v>
      </c>
      <c r="C436" s="7" t="s">
        <v>19</v>
      </c>
      <c r="D436" s="7"/>
      <c r="E436" s="7"/>
      <c r="F436" s="7" t="s">
        <v>77</v>
      </c>
      <c r="G436" s="7" t="s">
        <v>78</v>
      </c>
      <c r="H436" s="7" t="s">
        <v>127</v>
      </c>
      <c r="I436" s="7" t="s">
        <v>134</v>
      </c>
      <c r="J436" s="8"/>
      <c r="K436" s="8"/>
      <c r="L436" s="8"/>
      <c r="M436" s="8"/>
      <c r="N436" s="8"/>
      <c r="O436" s="8">
        <v>3.9227500000000006</v>
      </c>
      <c r="P436" s="8"/>
      <c r="Q436" t="s">
        <v>26</v>
      </c>
    </row>
    <row r="437" spans="1:17" hidden="1" x14ac:dyDescent="0.25">
      <c r="A437" s="7" t="s">
        <v>17</v>
      </c>
      <c r="B437" s="7" t="s">
        <v>18</v>
      </c>
      <c r="C437" s="7" t="s">
        <v>19</v>
      </c>
      <c r="D437" s="7"/>
      <c r="E437" s="7"/>
      <c r="F437" s="7" t="s">
        <v>79</v>
      </c>
      <c r="G437" s="7" t="s">
        <v>80</v>
      </c>
      <c r="H437" s="7" t="s">
        <v>127</v>
      </c>
      <c r="I437" s="7" t="s">
        <v>134</v>
      </c>
      <c r="J437" s="8"/>
      <c r="K437" s="8"/>
      <c r="L437" s="8"/>
      <c r="M437" s="8"/>
      <c r="N437" s="8"/>
      <c r="O437" s="8">
        <v>3.9618000000000002</v>
      </c>
      <c r="P437" s="8"/>
      <c r="Q437" t="s">
        <v>26</v>
      </c>
    </row>
    <row r="438" spans="1:17" hidden="1" x14ac:dyDescent="0.25">
      <c r="A438" s="7" t="s">
        <v>17</v>
      </c>
      <c r="B438" s="7" t="s">
        <v>18</v>
      </c>
      <c r="C438" s="7" t="s">
        <v>19</v>
      </c>
      <c r="D438" s="7"/>
      <c r="E438" s="7"/>
      <c r="F438" s="7" t="s">
        <v>81</v>
      </c>
      <c r="G438" s="7" t="s">
        <v>82</v>
      </c>
      <c r="H438" s="7" t="s">
        <v>127</v>
      </c>
      <c r="I438" s="7" t="s">
        <v>134</v>
      </c>
      <c r="J438" s="8"/>
      <c r="K438" s="8"/>
      <c r="L438" s="8"/>
      <c r="M438" s="8"/>
      <c r="N438" s="8"/>
      <c r="O438" s="8">
        <v>16.042449999999999</v>
      </c>
      <c r="P438" s="8"/>
      <c r="Q438" t="s">
        <v>26</v>
      </c>
    </row>
    <row r="439" spans="1:17" hidden="1" x14ac:dyDescent="0.25">
      <c r="A439" s="7" t="s">
        <v>17</v>
      </c>
      <c r="B439" s="7" t="s">
        <v>18</v>
      </c>
      <c r="C439" s="7" t="s">
        <v>19</v>
      </c>
      <c r="D439" s="7"/>
      <c r="E439" s="7"/>
      <c r="F439" s="7" t="s">
        <v>83</v>
      </c>
      <c r="G439" s="7" t="s">
        <v>84</v>
      </c>
      <c r="H439" s="7" t="s">
        <v>127</v>
      </c>
      <c r="I439" s="7" t="s">
        <v>134</v>
      </c>
      <c r="J439" s="8"/>
      <c r="K439" s="8"/>
      <c r="L439" s="8"/>
      <c r="M439" s="8"/>
      <c r="N439" s="8"/>
      <c r="O439" s="8">
        <v>5.3427499999999997</v>
      </c>
      <c r="P439" s="8"/>
      <c r="Q439" t="s">
        <v>26</v>
      </c>
    </row>
    <row r="440" spans="1:17" hidden="1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21</v>
      </c>
      <c r="F440" s="7" t="s">
        <v>85</v>
      </c>
      <c r="G440" s="7" t="s">
        <v>86</v>
      </c>
      <c r="H440" s="7" t="s">
        <v>127</v>
      </c>
      <c r="I440" s="7" t="s">
        <v>134</v>
      </c>
      <c r="J440" s="8"/>
      <c r="K440" s="8"/>
      <c r="L440" s="8"/>
      <c r="M440" s="8"/>
      <c r="N440" s="8"/>
      <c r="O440" s="8">
        <v>918.64060000000109</v>
      </c>
      <c r="P440" s="8"/>
      <c r="Q440" t="s">
        <v>26</v>
      </c>
    </row>
    <row r="441" spans="1:17" hidden="1" x14ac:dyDescent="0.25">
      <c r="A441" s="7" t="s">
        <v>17</v>
      </c>
      <c r="B441" s="7" t="s">
        <v>18</v>
      </c>
      <c r="C441" s="7" t="s">
        <v>19</v>
      </c>
      <c r="D441" s="7"/>
      <c r="E441" s="7"/>
      <c r="F441" s="7" t="s">
        <v>87</v>
      </c>
      <c r="G441" s="7" t="s">
        <v>88</v>
      </c>
      <c r="H441" s="7" t="s">
        <v>127</v>
      </c>
      <c r="I441" s="7" t="s">
        <v>134</v>
      </c>
      <c r="J441" s="8"/>
      <c r="K441" s="8"/>
      <c r="L441" s="8"/>
      <c r="M441" s="8"/>
      <c r="N441" s="8"/>
      <c r="O441" s="8">
        <v>13.671049999999999</v>
      </c>
      <c r="P441" s="8"/>
      <c r="Q441" t="s">
        <v>26</v>
      </c>
    </row>
    <row r="442" spans="1:17" hidden="1" x14ac:dyDescent="0.25">
      <c r="A442" s="7" t="s">
        <v>17</v>
      </c>
      <c r="B442" s="7" t="s">
        <v>18</v>
      </c>
      <c r="C442" s="7" t="s">
        <v>19</v>
      </c>
      <c r="D442" s="7"/>
      <c r="E442" s="7"/>
      <c r="F442" s="7" t="s">
        <v>89</v>
      </c>
      <c r="G442" s="7" t="s">
        <v>90</v>
      </c>
      <c r="H442" s="7" t="s">
        <v>127</v>
      </c>
      <c r="I442" s="7" t="s">
        <v>134</v>
      </c>
      <c r="J442" s="8"/>
      <c r="K442" s="8"/>
      <c r="L442" s="8"/>
      <c r="M442" s="8"/>
      <c r="N442" s="8"/>
      <c r="O442" s="8">
        <v>178.79574999999997</v>
      </c>
      <c r="P442" s="8"/>
      <c r="Q442" t="s">
        <v>26</v>
      </c>
    </row>
    <row r="443" spans="1:17" hidden="1" x14ac:dyDescent="0.25">
      <c r="A443" s="7" t="s">
        <v>17</v>
      </c>
      <c r="B443" s="7" t="s">
        <v>18</v>
      </c>
      <c r="C443" s="7" t="s">
        <v>19</v>
      </c>
      <c r="D443" s="7"/>
      <c r="E443" s="7"/>
      <c r="F443" s="7" t="s">
        <v>91</v>
      </c>
      <c r="G443" s="7" t="s">
        <v>92</v>
      </c>
      <c r="H443" s="7" t="s">
        <v>127</v>
      </c>
      <c r="I443" s="7" t="s">
        <v>134</v>
      </c>
      <c r="J443" s="8"/>
      <c r="K443" s="8"/>
      <c r="L443" s="8"/>
      <c r="M443" s="8"/>
      <c r="N443" s="8"/>
      <c r="O443" s="8">
        <v>8.7933500000000002</v>
      </c>
      <c r="P443" s="8"/>
      <c r="Q443" t="s">
        <v>26</v>
      </c>
    </row>
    <row r="444" spans="1:17" hidden="1" x14ac:dyDescent="0.25">
      <c r="A444" s="7" t="s">
        <v>17</v>
      </c>
      <c r="B444" s="7" t="s">
        <v>18</v>
      </c>
      <c r="C444" s="7" t="s">
        <v>19</v>
      </c>
      <c r="D444" s="7"/>
      <c r="E444" s="7"/>
      <c r="F444" s="7" t="s">
        <v>93</v>
      </c>
      <c r="G444" s="7" t="s">
        <v>94</v>
      </c>
      <c r="H444" s="7" t="s">
        <v>127</v>
      </c>
      <c r="I444" s="7" t="s">
        <v>134</v>
      </c>
      <c r="J444" s="8"/>
      <c r="K444" s="8"/>
      <c r="L444" s="8"/>
      <c r="M444" s="8"/>
      <c r="N444" s="8"/>
      <c r="O444" s="8">
        <v>1.8033999999999999</v>
      </c>
      <c r="P444" s="8"/>
      <c r="Q444" t="s">
        <v>26</v>
      </c>
    </row>
    <row r="445" spans="1:17" hidden="1" x14ac:dyDescent="0.25">
      <c r="A445" s="7" t="s">
        <v>17</v>
      </c>
      <c r="B445" s="7" t="s">
        <v>18</v>
      </c>
      <c r="C445" s="7" t="s">
        <v>19</v>
      </c>
      <c r="D445" s="7"/>
      <c r="E445" s="7"/>
      <c r="F445" s="7" t="s">
        <v>95</v>
      </c>
      <c r="G445" s="7" t="s">
        <v>96</v>
      </c>
      <c r="H445" s="7" t="s">
        <v>127</v>
      </c>
      <c r="I445" s="7" t="s">
        <v>134</v>
      </c>
      <c r="J445" s="8"/>
      <c r="K445" s="8"/>
      <c r="L445" s="8"/>
      <c r="M445" s="8"/>
      <c r="N445" s="8"/>
      <c r="O445" s="8">
        <v>3.3086000000000007</v>
      </c>
      <c r="P445" s="8"/>
      <c r="Q445" t="s">
        <v>26</v>
      </c>
    </row>
    <row r="446" spans="1:17" hidden="1" x14ac:dyDescent="0.25">
      <c r="A446" s="7" t="s">
        <v>17</v>
      </c>
      <c r="B446" s="7" t="s">
        <v>18</v>
      </c>
      <c r="C446" s="7" t="s">
        <v>19</v>
      </c>
      <c r="D446" s="7"/>
      <c r="E446" s="7"/>
      <c r="F446" s="7" t="s">
        <v>97</v>
      </c>
      <c r="G446" s="7" t="s">
        <v>98</v>
      </c>
      <c r="H446" s="7" t="s">
        <v>127</v>
      </c>
      <c r="I446" s="7" t="s">
        <v>134</v>
      </c>
      <c r="J446" s="8"/>
      <c r="K446" s="8"/>
      <c r="L446" s="8"/>
      <c r="M446" s="8"/>
      <c r="N446" s="8"/>
      <c r="O446" s="8">
        <v>12.32915</v>
      </c>
      <c r="P446" s="8"/>
      <c r="Q446" t="s">
        <v>26</v>
      </c>
    </row>
    <row r="447" spans="1:17" hidden="1" x14ac:dyDescent="0.25">
      <c r="A447" s="7" t="s">
        <v>17</v>
      </c>
      <c r="B447" s="7" t="s">
        <v>18</v>
      </c>
      <c r="C447" s="7" t="s">
        <v>19</v>
      </c>
      <c r="D447" s="7"/>
      <c r="E447" s="7"/>
      <c r="F447" s="7" t="s">
        <v>99</v>
      </c>
      <c r="G447" s="7" t="s">
        <v>100</v>
      </c>
      <c r="H447" s="7" t="s">
        <v>127</v>
      </c>
      <c r="I447" s="7" t="s">
        <v>134</v>
      </c>
      <c r="J447" s="8"/>
      <c r="K447" s="8"/>
      <c r="L447" s="8"/>
      <c r="M447" s="8"/>
      <c r="N447" s="8"/>
      <c r="O447" s="8">
        <v>129.51820000000001</v>
      </c>
      <c r="P447" s="8"/>
      <c r="Q447" t="s">
        <v>26</v>
      </c>
    </row>
    <row r="448" spans="1:17" hidden="1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21</v>
      </c>
      <c r="F448" s="7" t="s">
        <v>101</v>
      </c>
      <c r="G448" s="7" t="s">
        <v>21</v>
      </c>
      <c r="H448" s="7" t="s">
        <v>127</v>
      </c>
      <c r="I448" s="7" t="s">
        <v>134</v>
      </c>
      <c r="J448" s="8"/>
      <c r="K448" s="8"/>
      <c r="L448" s="8"/>
      <c r="M448" s="8"/>
      <c r="N448" s="8"/>
      <c r="O448" s="8">
        <v>2844.6753499999959</v>
      </c>
      <c r="P448" s="8"/>
      <c r="Q448" t="s">
        <v>26</v>
      </c>
    </row>
    <row r="449" spans="1:17" hidden="1" x14ac:dyDescent="0.25">
      <c r="A449" s="7" t="s">
        <v>17</v>
      </c>
      <c r="B449" s="7" t="s">
        <v>18</v>
      </c>
      <c r="C449" s="7" t="s">
        <v>19</v>
      </c>
      <c r="D449" s="7"/>
      <c r="E449" s="7"/>
      <c r="F449" s="7" t="s">
        <v>102</v>
      </c>
      <c r="G449" s="7" t="s">
        <v>103</v>
      </c>
      <c r="H449" s="7" t="s">
        <v>127</v>
      </c>
      <c r="I449" s="7" t="s">
        <v>134</v>
      </c>
      <c r="J449" s="8"/>
      <c r="K449" s="8"/>
      <c r="L449" s="8"/>
      <c r="M449" s="8"/>
      <c r="N449" s="8"/>
      <c r="O449" s="8">
        <v>2.1122500000000004</v>
      </c>
      <c r="P449" s="8"/>
      <c r="Q449" t="s">
        <v>26</v>
      </c>
    </row>
    <row r="450" spans="1:17" hidden="1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21</v>
      </c>
      <c r="F450" s="7" t="s">
        <v>104</v>
      </c>
      <c r="G450" s="7" t="s">
        <v>105</v>
      </c>
      <c r="H450" s="7" t="s">
        <v>127</v>
      </c>
      <c r="I450" s="7" t="s">
        <v>134</v>
      </c>
      <c r="J450" s="8"/>
      <c r="K450" s="8"/>
      <c r="L450" s="8"/>
      <c r="M450" s="8"/>
      <c r="N450" s="8"/>
      <c r="O450" s="8">
        <v>119.20190000000005</v>
      </c>
      <c r="P450" s="8"/>
      <c r="Q450" t="s">
        <v>26</v>
      </c>
    </row>
    <row r="451" spans="1:17" hidden="1" x14ac:dyDescent="0.25">
      <c r="A451" s="7" t="s">
        <v>17</v>
      </c>
      <c r="B451" s="7" t="s">
        <v>18</v>
      </c>
      <c r="C451" s="7" t="s">
        <v>19</v>
      </c>
      <c r="D451" s="7"/>
      <c r="E451" s="7"/>
      <c r="F451" s="7" t="s">
        <v>106</v>
      </c>
      <c r="G451" s="7" t="s">
        <v>107</v>
      </c>
      <c r="H451" s="7" t="s">
        <v>127</v>
      </c>
      <c r="I451" s="7" t="s">
        <v>134</v>
      </c>
      <c r="J451" s="8"/>
      <c r="K451" s="8"/>
      <c r="L451" s="8"/>
      <c r="M451" s="8"/>
      <c r="N451" s="8"/>
      <c r="O451" s="8">
        <v>2.9216500000000001</v>
      </c>
      <c r="P451" s="8"/>
      <c r="Q451" t="s">
        <v>26</v>
      </c>
    </row>
    <row r="452" spans="1:17" hidden="1" x14ac:dyDescent="0.25">
      <c r="A452" s="7" t="s">
        <v>17</v>
      </c>
      <c r="B452" s="7" t="s">
        <v>18</v>
      </c>
      <c r="C452" s="7" t="s">
        <v>19</v>
      </c>
      <c r="D452" s="7"/>
      <c r="E452" s="7"/>
      <c r="F452" s="7" t="s">
        <v>108</v>
      </c>
      <c r="G452" s="7" t="s">
        <v>109</v>
      </c>
      <c r="H452" s="7" t="s">
        <v>127</v>
      </c>
      <c r="I452" s="7" t="s">
        <v>134</v>
      </c>
      <c r="J452" s="8"/>
      <c r="K452" s="8"/>
      <c r="L452" s="8"/>
      <c r="M452" s="8"/>
      <c r="N452" s="8"/>
      <c r="O452" s="8">
        <v>1.0259499999999999</v>
      </c>
      <c r="P452" s="8"/>
      <c r="Q452" t="s">
        <v>26</v>
      </c>
    </row>
    <row r="453" spans="1:17" hidden="1" x14ac:dyDescent="0.25">
      <c r="A453" s="7" t="s">
        <v>17</v>
      </c>
      <c r="B453" s="7" t="s">
        <v>18</v>
      </c>
      <c r="C453" s="7" t="s">
        <v>19</v>
      </c>
      <c r="D453" s="7"/>
      <c r="E453" s="7"/>
      <c r="F453" s="7" t="s">
        <v>110</v>
      </c>
      <c r="G453" s="7" t="s">
        <v>111</v>
      </c>
      <c r="H453" s="7" t="s">
        <v>127</v>
      </c>
      <c r="I453" s="7" t="s">
        <v>134</v>
      </c>
      <c r="J453" s="8"/>
      <c r="K453" s="8"/>
      <c r="L453" s="8"/>
      <c r="M453" s="8"/>
      <c r="N453" s="8"/>
      <c r="O453" s="8">
        <v>94.011099999999999</v>
      </c>
      <c r="P453" s="8"/>
      <c r="Q453" t="s">
        <v>26</v>
      </c>
    </row>
    <row r="454" spans="1:17" hidden="1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21</v>
      </c>
      <c r="F454" s="7" t="s">
        <v>112</v>
      </c>
      <c r="G454" s="7" t="s">
        <v>113</v>
      </c>
      <c r="H454" s="7" t="s">
        <v>127</v>
      </c>
      <c r="I454" s="7" t="s">
        <v>134</v>
      </c>
      <c r="J454" s="8"/>
      <c r="K454" s="8"/>
      <c r="L454" s="8"/>
      <c r="M454" s="8"/>
      <c r="N454" s="8"/>
      <c r="O454" s="8">
        <v>123.02880000000002</v>
      </c>
      <c r="P454" s="8"/>
      <c r="Q454" t="s">
        <v>26</v>
      </c>
    </row>
    <row r="455" spans="1:17" hidden="1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21</v>
      </c>
      <c r="F455" s="7" t="s">
        <v>114</v>
      </c>
      <c r="G455" s="7" t="s">
        <v>115</v>
      </c>
      <c r="H455" s="7" t="s">
        <v>127</v>
      </c>
      <c r="I455" s="7" t="s">
        <v>134</v>
      </c>
      <c r="J455" s="8"/>
      <c r="K455" s="8"/>
      <c r="L455" s="8"/>
      <c r="M455" s="8"/>
      <c r="N455" s="8"/>
      <c r="O455" s="8">
        <v>1216.5743500000001</v>
      </c>
      <c r="P455" s="8"/>
      <c r="Q455" t="s">
        <v>26</v>
      </c>
    </row>
    <row r="456" spans="1:17" hidden="1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21</v>
      </c>
      <c r="F456" s="7" t="s">
        <v>116</v>
      </c>
      <c r="G456" s="7" t="s">
        <v>117</v>
      </c>
      <c r="H456" s="7" t="s">
        <v>127</v>
      </c>
      <c r="I456" s="7" t="s">
        <v>134</v>
      </c>
      <c r="J456" s="8"/>
      <c r="K456" s="8"/>
      <c r="L456" s="8"/>
      <c r="M456" s="8"/>
      <c r="N456" s="8"/>
      <c r="O456" s="8">
        <v>40.604899999999994</v>
      </c>
      <c r="P456" s="8"/>
      <c r="Q456" t="s">
        <v>26</v>
      </c>
    </row>
    <row r="457" spans="1:17" hidden="1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21</v>
      </c>
      <c r="F457" s="7" t="s">
        <v>118</v>
      </c>
      <c r="G457" s="7" t="s">
        <v>119</v>
      </c>
      <c r="H457" s="7" t="s">
        <v>127</v>
      </c>
      <c r="I457" s="7" t="s">
        <v>134</v>
      </c>
      <c r="J457" s="8"/>
      <c r="K457" s="8"/>
      <c r="L457" s="8"/>
      <c r="M457" s="8"/>
      <c r="N457" s="8"/>
      <c r="O457" s="8">
        <v>807.93385000000023</v>
      </c>
      <c r="P457" s="8"/>
      <c r="Q457" t="s">
        <v>26</v>
      </c>
    </row>
    <row r="458" spans="1:17" hidden="1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21</v>
      </c>
      <c r="F458" s="7" t="s">
        <v>120</v>
      </c>
      <c r="G458" s="7" t="s">
        <v>121</v>
      </c>
      <c r="H458" s="7" t="s">
        <v>127</v>
      </c>
      <c r="I458" s="7" t="s">
        <v>134</v>
      </c>
      <c r="J458" s="8"/>
      <c r="K458" s="8"/>
      <c r="L458" s="8"/>
      <c r="M458" s="8"/>
      <c r="N458" s="8"/>
      <c r="O458" s="8">
        <v>107.46205</v>
      </c>
      <c r="P458" s="8"/>
      <c r="Q458" t="s">
        <v>26</v>
      </c>
    </row>
    <row r="459" spans="1:17" hidden="1" x14ac:dyDescent="0.25">
      <c r="A459" s="7" t="s">
        <v>17</v>
      </c>
      <c r="B459" s="7" t="s">
        <v>18</v>
      </c>
      <c r="C459" s="7" t="s">
        <v>19</v>
      </c>
      <c r="D459" s="7"/>
      <c r="E459" s="7"/>
      <c r="F459" s="7" t="s">
        <v>122</v>
      </c>
      <c r="G459" s="7" t="s">
        <v>123</v>
      </c>
      <c r="H459" s="7" t="s">
        <v>127</v>
      </c>
      <c r="I459" s="7" t="s">
        <v>134</v>
      </c>
      <c r="J459" s="8"/>
      <c r="K459" s="8"/>
      <c r="L459" s="8"/>
      <c r="M459" s="8"/>
      <c r="N459" s="8"/>
      <c r="O459" s="8">
        <v>1.5407000000000002</v>
      </c>
      <c r="P459" s="8"/>
      <c r="Q459" t="s">
        <v>26</v>
      </c>
    </row>
    <row r="460" spans="1:17" hidden="1" x14ac:dyDescent="0.25">
      <c r="A460" s="7" t="s">
        <v>17</v>
      </c>
      <c r="B460" s="7" t="s">
        <v>18</v>
      </c>
      <c r="C460" s="7" t="s">
        <v>19</v>
      </c>
      <c r="D460" s="7"/>
      <c r="E460" s="7"/>
      <c r="F460" s="7" t="s">
        <v>124</v>
      </c>
      <c r="G460" s="7" t="s">
        <v>125</v>
      </c>
      <c r="H460" s="7" t="s">
        <v>127</v>
      </c>
      <c r="I460" s="7" t="s">
        <v>134</v>
      </c>
      <c r="J460" s="8"/>
      <c r="K460" s="8"/>
      <c r="L460" s="8"/>
      <c r="M460" s="8"/>
      <c r="N460" s="8"/>
      <c r="O460" s="8">
        <v>8.1898499999999999</v>
      </c>
      <c r="P460" s="8"/>
      <c r="Q460" t="s">
        <v>26</v>
      </c>
    </row>
    <row r="461" spans="1:17" hidden="1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21</v>
      </c>
      <c r="F461" s="7" t="s">
        <v>22</v>
      </c>
      <c r="G461" s="7" t="s">
        <v>23</v>
      </c>
      <c r="H461" s="7" t="s">
        <v>135</v>
      </c>
      <c r="I461" s="7" t="s">
        <v>136</v>
      </c>
      <c r="J461" s="8"/>
      <c r="K461" s="8"/>
      <c r="L461" s="8"/>
      <c r="M461" s="8"/>
      <c r="N461" s="8"/>
      <c r="O461" s="8">
        <v>13.624364139412725</v>
      </c>
      <c r="P461" s="8"/>
      <c r="Q461" t="s">
        <v>137</v>
      </c>
    </row>
    <row r="462" spans="1:17" hidden="1" x14ac:dyDescent="0.25">
      <c r="A462" s="7" t="s">
        <v>17</v>
      </c>
      <c r="B462" s="7" t="s">
        <v>18</v>
      </c>
      <c r="C462" s="7" t="s">
        <v>19</v>
      </c>
      <c r="D462" s="7"/>
      <c r="E462" s="7"/>
      <c r="F462" s="7" t="s">
        <v>27</v>
      </c>
      <c r="G462" s="7" t="s">
        <v>28</v>
      </c>
      <c r="H462" s="7" t="s">
        <v>135</v>
      </c>
      <c r="I462" s="7" t="s">
        <v>136</v>
      </c>
      <c r="J462" s="8"/>
      <c r="K462" s="8"/>
      <c r="L462" s="8"/>
      <c r="M462" s="8"/>
      <c r="N462" s="8"/>
      <c r="O462" s="8">
        <v>14.863887483960761</v>
      </c>
      <c r="P462" s="8"/>
      <c r="Q462" t="s">
        <v>137</v>
      </c>
    </row>
    <row r="463" spans="1:17" hidden="1" x14ac:dyDescent="0.25">
      <c r="A463" s="7" t="s">
        <v>17</v>
      </c>
      <c r="B463" s="7" t="s">
        <v>18</v>
      </c>
      <c r="C463" s="7" t="s">
        <v>19</v>
      </c>
      <c r="D463" s="7"/>
      <c r="E463" s="7"/>
      <c r="F463" s="7" t="s">
        <v>29</v>
      </c>
      <c r="G463" s="7" t="s">
        <v>30</v>
      </c>
      <c r="H463" s="7" t="s">
        <v>135</v>
      </c>
      <c r="I463" s="7" t="s">
        <v>136</v>
      </c>
      <c r="J463" s="8"/>
      <c r="K463" s="8"/>
      <c r="L463" s="8"/>
      <c r="M463" s="8"/>
      <c r="N463" s="8"/>
      <c r="O463" s="8">
        <v>7.4240392623702576</v>
      </c>
      <c r="P463" s="8"/>
      <c r="Q463" t="s">
        <v>137</v>
      </c>
    </row>
    <row r="464" spans="1:17" hidden="1" x14ac:dyDescent="0.25">
      <c r="A464" s="7" t="s">
        <v>17</v>
      </c>
      <c r="B464" s="7" t="s">
        <v>18</v>
      </c>
      <c r="C464" s="7" t="s">
        <v>19</v>
      </c>
      <c r="D464" s="7"/>
      <c r="E464" s="7"/>
      <c r="F464" s="7" t="s">
        <v>31</v>
      </c>
      <c r="G464" s="7" t="s">
        <v>32</v>
      </c>
      <c r="H464" s="7" t="s">
        <v>135</v>
      </c>
      <c r="I464" s="7" t="s">
        <v>136</v>
      </c>
      <c r="J464" s="8"/>
      <c r="K464" s="8"/>
      <c r="L464" s="8"/>
      <c r="M464" s="8"/>
      <c r="N464" s="8"/>
      <c r="O464" s="8">
        <v>154.58157408655438</v>
      </c>
      <c r="P464" s="8"/>
      <c r="Q464" t="s">
        <v>137</v>
      </c>
    </row>
    <row r="465" spans="1:17" hidden="1" x14ac:dyDescent="0.25">
      <c r="A465" s="7" t="s">
        <v>17</v>
      </c>
      <c r="B465" s="7" t="s">
        <v>18</v>
      </c>
      <c r="C465" s="7" t="s">
        <v>19</v>
      </c>
      <c r="D465" s="7"/>
      <c r="E465" s="7"/>
      <c r="F465" s="7" t="s">
        <v>33</v>
      </c>
      <c r="G465" s="7" t="s">
        <v>34</v>
      </c>
      <c r="H465" s="7" t="s">
        <v>135</v>
      </c>
      <c r="I465" s="7" t="s">
        <v>136</v>
      </c>
      <c r="J465" s="8"/>
      <c r="K465" s="8"/>
      <c r="L465" s="8"/>
      <c r="M465" s="8"/>
      <c r="N465" s="8"/>
      <c r="O465" s="8">
        <v>95.410434074737367</v>
      </c>
      <c r="P465" s="8"/>
      <c r="Q465" t="s">
        <v>137</v>
      </c>
    </row>
    <row r="466" spans="1:17" hidden="1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21</v>
      </c>
      <c r="F466" s="7" t="s">
        <v>35</v>
      </c>
      <c r="G466" s="7" t="s">
        <v>36</v>
      </c>
      <c r="H466" s="7" t="s">
        <v>135</v>
      </c>
      <c r="I466" s="7" t="s">
        <v>136</v>
      </c>
      <c r="J466" s="8"/>
      <c r="K466" s="8"/>
      <c r="L466" s="8"/>
      <c r="M466" s="8"/>
      <c r="N466" s="8"/>
      <c r="O466" s="8">
        <v>2145.244942185243</v>
      </c>
      <c r="P466" s="8"/>
      <c r="Q466" t="s">
        <v>137</v>
      </c>
    </row>
    <row r="467" spans="1:17" hidden="1" x14ac:dyDescent="0.25">
      <c r="A467" s="7" t="s">
        <v>17</v>
      </c>
      <c r="B467" s="7" t="s">
        <v>18</v>
      </c>
      <c r="C467" s="7" t="s">
        <v>19</v>
      </c>
      <c r="D467" s="7"/>
      <c r="E467" s="7"/>
      <c r="F467" s="7" t="s">
        <v>37</v>
      </c>
      <c r="G467" s="7" t="s">
        <v>38</v>
      </c>
      <c r="H467" s="7" t="s">
        <v>135</v>
      </c>
      <c r="I467" s="7" t="s">
        <v>136</v>
      </c>
      <c r="J467" s="8"/>
      <c r="K467" s="8"/>
      <c r="L467" s="8"/>
      <c r="M467" s="8"/>
      <c r="N467" s="8"/>
      <c r="O467" s="8">
        <v>72.861759047814346</v>
      </c>
      <c r="P467" s="8"/>
      <c r="Q467" t="s">
        <v>137</v>
      </c>
    </row>
    <row r="468" spans="1:17" hidden="1" x14ac:dyDescent="0.25">
      <c r="A468" s="7" t="s">
        <v>17</v>
      </c>
      <c r="B468" s="7" t="s">
        <v>18</v>
      </c>
      <c r="C468" s="7" t="s">
        <v>19</v>
      </c>
      <c r="D468" s="7"/>
      <c r="E468" s="7"/>
      <c r="F468" s="7" t="s">
        <v>39</v>
      </c>
      <c r="G468" s="7" t="s">
        <v>40</v>
      </c>
      <c r="H468" s="7" t="s">
        <v>135</v>
      </c>
      <c r="I468" s="7" t="s">
        <v>136</v>
      </c>
      <c r="J468" s="8"/>
      <c r="K468" s="8"/>
      <c r="L468" s="8"/>
      <c r="M468" s="8"/>
      <c r="N468" s="8"/>
      <c r="O468" s="8">
        <v>25.958525347227507</v>
      </c>
      <c r="P468" s="8"/>
      <c r="Q468" t="s">
        <v>137</v>
      </c>
    </row>
    <row r="469" spans="1:17" hidden="1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21</v>
      </c>
      <c r="F469" s="7" t="s">
        <v>41</v>
      </c>
      <c r="G469" s="7" t="s">
        <v>42</v>
      </c>
      <c r="H469" s="7" t="s">
        <v>135</v>
      </c>
      <c r="I469" s="7" t="s">
        <v>136</v>
      </c>
      <c r="J469" s="8"/>
      <c r="K469" s="8"/>
      <c r="L469" s="8"/>
      <c r="M469" s="8"/>
      <c r="N469" s="8"/>
      <c r="O469" s="8">
        <v>417.76889810395977</v>
      </c>
      <c r="P469" s="8"/>
      <c r="Q469" t="s">
        <v>137</v>
      </c>
    </row>
    <row r="470" spans="1:17" hidden="1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21</v>
      </c>
      <c r="F470" s="7" t="s">
        <v>43</v>
      </c>
      <c r="G470" s="7" t="s">
        <v>44</v>
      </c>
      <c r="H470" s="7" t="s">
        <v>135</v>
      </c>
      <c r="I470" s="7" t="s">
        <v>136</v>
      </c>
      <c r="J470" s="8"/>
      <c r="K470" s="8"/>
      <c r="L470" s="8"/>
      <c r="M470" s="8"/>
      <c r="N470" s="8"/>
      <c r="O470" s="8">
        <v>108.27590820967723</v>
      </c>
      <c r="P470" s="8"/>
      <c r="Q470" t="s">
        <v>137</v>
      </c>
    </row>
    <row r="471" spans="1:17" hidden="1" x14ac:dyDescent="0.25">
      <c r="A471" s="7" t="s">
        <v>17</v>
      </c>
      <c r="B471" s="7" t="s">
        <v>18</v>
      </c>
      <c r="C471" s="7" t="s">
        <v>19</v>
      </c>
      <c r="D471" s="7"/>
      <c r="E471" s="7"/>
      <c r="F471" s="7" t="s">
        <v>45</v>
      </c>
      <c r="G471" s="7" t="s">
        <v>46</v>
      </c>
      <c r="H471" s="7" t="s">
        <v>135</v>
      </c>
      <c r="I471" s="7" t="s">
        <v>136</v>
      </c>
      <c r="J471" s="8"/>
      <c r="K471" s="8"/>
      <c r="L471" s="8"/>
      <c r="M471" s="8"/>
      <c r="N471" s="8"/>
      <c r="O471" s="8">
        <v>35.977345406466341</v>
      </c>
      <c r="P471" s="8"/>
      <c r="Q471" t="s">
        <v>137</v>
      </c>
    </row>
    <row r="472" spans="1:17" hidden="1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21</v>
      </c>
      <c r="F472" s="7" t="s">
        <v>47</v>
      </c>
      <c r="G472" s="7" t="s">
        <v>48</v>
      </c>
      <c r="H472" s="7" t="s">
        <v>135</v>
      </c>
      <c r="I472" s="7" t="s">
        <v>136</v>
      </c>
      <c r="J472" s="8"/>
      <c r="K472" s="8"/>
      <c r="L472" s="8"/>
      <c r="M472" s="8"/>
      <c r="N472" s="8"/>
      <c r="O472" s="8">
        <v>138.88604000456752</v>
      </c>
      <c r="P472" s="8"/>
      <c r="Q472" t="s">
        <v>137</v>
      </c>
    </row>
    <row r="473" spans="1:17" hidden="1" x14ac:dyDescent="0.25">
      <c r="A473" s="7" t="s">
        <v>17</v>
      </c>
      <c r="B473" s="7" t="s">
        <v>18</v>
      </c>
      <c r="C473" s="7" t="s">
        <v>19</v>
      </c>
      <c r="D473" s="7"/>
      <c r="E473" s="7"/>
      <c r="F473" s="7" t="s">
        <v>49</v>
      </c>
      <c r="G473" s="7" t="s">
        <v>50</v>
      </c>
      <c r="H473" s="7" t="s">
        <v>135</v>
      </c>
      <c r="I473" s="7" t="s">
        <v>136</v>
      </c>
      <c r="J473" s="8"/>
      <c r="K473" s="8"/>
      <c r="L473" s="8"/>
      <c r="M473" s="8"/>
      <c r="N473" s="8"/>
      <c r="O473" s="8">
        <v>57.832818221339458</v>
      </c>
      <c r="P473" s="8"/>
      <c r="Q473" t="s">
        <v>137</v>
      </c>
    </row>
    <row r="474" spans="1:17" hidden="1" x14ac:dyDescent="0.25">
      <c r="A474" s="7" t="s">
        <v>17</v>
      </c>
      <c r="B474" s="7" t="s">
        <v>18</v>
      </c>
      <c r="C474" s="7" t="s">
        <v>19</v>
      </c>
      <c r="D474" s="7"/>
      <c r="E474" s="7"/>
      <c r="F474" s="7" t="s">
        <v>51</v>
      </c>
      <c r="G474" s="7" t="s">
        <v>52</v>
      </c>
      <c r="H474" s="7" t="s">
        <v>135</v>
      </c>
      <c r="I474" s="7" t="s">
        <v>136</v>
      </c>
      <c r="J474" s="8"/>
      <c r="K474" s="8"/>
      <c r="L474" s="8"/>
      <c r="M474" s="8"/>
      <c r="N474" s="8"/>
      <c r="O474" s="8">
        <v>124.69386173536274</v>
      </c>
      <c r="P474" s="8"/>
      <c r="Q474" t="s">
        <v>137</v>
      </c>
    </row>
    <row r="475" spans="1:17" hidden="1" x14ac:dyDescent="0.25">
      <c r="A475" s="7" t="s">
        <v>17</v>
      </c>
      <c r="B475" s="7" t="s">
        <v>18</v>
      </c>
      <c r="C475" s="7" t="s">
        <v>19</v>
      </c>
      <c r="D475" s="7"/>
      <c r="E475" s="7"/>
      <c r="F475" s="7" t="s">
        <v>53</v>
      </c>
      <c r="G475" s="7" t="s">
        <v>54</v>
      </c>
      <c r="H475" s="7" t="s">
        <v>135</v>
      </c>
      <c r="I475" s="7" t="s">
        <v>136</v>
      </c>
      <c r="J475" s="8"/>
      <c r="K475" s="8"/>
      <c r="L475" s="8"/>
      <c r="M475" s="8"/>
      <c r="N475" s="8"/>
      <c r="O475" s="8">
        <v>8.5886051127802592</v>
      </c>
      <c r="P475" s="8"/>
      <c r="Q475" t="s">
        <v>137</v>
      </c>
    </row>
    <row r="476" spans="1:17" hidden="1" x14ac:dyDescent="0.25">
      <c r="A476" s="7" t="s">
        <v>17</v>
      </c>
      <c r="B476" s="7" t="s">
        <v>18</v>
      </c>
      <c r="C476" s="7" t="s">
        <v>19</v>
      </c>
      <c r="D476" s="7"/>
      <c r="E476" s="7"/>
      <c r="F476" s="7" t="s">
        <v>55</v>
      </c>
      <c r="G476" s="7" t="s">
        <v>56</v>
      </c>
      <c r="H476" s="7" t="s">
        <v>135</v>
      </c>
      <c r="I476" s="7" t="s">
        <v>136</v>
      </c>
      <c r="J476" s="8"/>
      <c r="K476" s="8"/>
      <c r="L476" s="8"/>
      <c r="M476" s="8"/>
      <c r="N476" s="8"/>
      <c r="O476" s="8">
        <v>18.824333566977877</v>
      </c>
      <c r="P476" s="8"/>
      <c r="Q476" t="s">
        <v>137</v>
      </c>
    </row>
    <row r="477" spans="1:17" hidden="1" x14ac:dyDescent="0.25">
      <c r="A477" s="7" t="s">
        <v>17</v>
      </c>
      <c r="B477" s="7" t="s">
        <v>18</v>
      </c>
      <c r="C477" s="7" t="s">
        <v>19</v>
      </c>
      <c r="D477" s="7"/>
      <c r="E477" s="7"/>
      <c r="F477" s="7" t="s">
        <v>57</v>
      </c>
      <c r="G477" s="7" t="s">
        <v>58</v>
      </c>
      <c r="H477" s="7" t="s">
        <v>135</v>
      </c>
      <c r="I477" s="7" t="s">
        <v>136</v>
      </c>
      <c r="J477" s="8"/>
      <c r="K477" s="8"/>
      <c r="L477" s="8"/>
      <c r="M477" s="8"/>
      <c r="N477" s="8"/>
      <c r="O477" s="8">
        <v>188.14555031708809</v>
      </c>
      <c r="P477" s="8"/>
      <c r="Q477" t="s">
        <v>137</v>
      </c>
    </row>
    <row r="478" spans="1:17" hidden="1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21</v>
      </c>
      <c r="F478" s="7" t="s">
        <v>59</v>
      </c>
      <c r="G478" s="7" t="s">
        <v>60</v>
      </c>
      <c r="H478" s="7" t="s">
        <v>135</v>
      </c>
      <c r="I478" s="7" t="s">
        <v>136</v>
      </c>
      <c r="J478" s="8"/>
      <c r="K478" s="8"/>
      <c r="L478" s="8"/>
      <c r="M478" s="8"/>
      <c r="N478" s="8"/>
      <c r="O478" s="8">
        <v>669.10738575644723</v>
      </c>
      <c r="P478" s="8"/>
      <c r="Q478" t="s">
        <v>137</v>
      </c>
    </row>
    <row r="479" spans="1:17" hidden="1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21</v>
      </c>
      <c r="F479" s="7" t="s">
        <v>61</v>
      </c>
      <c r="G479" s="7" t="s">
        <v>62</v>
      </c>
      <c r="H479" s="7" t="s">
        <v>135</v>
      </c>
      <c r="I479" s="7" t="s">
        <v>136</v>
      </c>
      <c r="J479" s="8"/>
      <c r="K479" s="8"/>
      <c r="L479" s="8"/>
      <c r="M479" s="8"/>
      <c r="N479" s="8"/>
      <c r="O479" s="8">
        <v>521.45684811502019</v>
      </c>
      <c r="P479" s="8"/>
      <c r="Q479" t="s">
        <v>137</v>
      </c>
    </row>
    <row r="480" spans="1:17" hidden="1" x14ac:dyDescent="0.25">
      <c r="A480" s="7" t="s">
        <v>17</v>
      </c>
      <c r="B480" s="7" t="s">
        <v>18</v>
      </c>
      <c r="C480" s="7" t="s">
        <v>19</v>
      </c>
      <c r="D480" s="7"/>
      <c r="E480" s="7"/>
      <c r="F480" s="7" t="s">
        <v>63</v>
      </c>
      <c r="G480" s="7" t="s">
        <v>64</v>
      </c>
      <c r="H480" s="7" t="s">
        <v>135</v>
      </c>
      <c r="I480" s="7" t="s">
        <v>136</v>
      </c>
      <c r="J480" s="8"/>
      <c r="K480" s="8"/>
      <c r="L480" s="8"/>
      <c r="M480" s="8"/>
      <c r="N480" s="8"/>
      <c r="O480" s="8">
        <v>271.4943122699446</v>
      </c>
      <c r="P480" s="8"/>
      <c r="Q480" t="s">
        <v>137</v>
      </c>
    </row>
    <row r="481" spans="1:17" hidden="1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21</v>
      </c>
      <c r="F481" s="7" t="s">
        <v>65</v>
      </c>
      <c r="G481" s="7" t="s">
        <v>66</v>
      </c>
      <c r="H481" s="7" t="s">
        <v>135</v>
      </c>
      <c r="I481" s="7" t="s">
        <v>136</v>
      </c>
      <c r="J481" s="8"/>
      <c r="K481" s="8"/>
      <c r="L481" s="8"/>
      <c r="M481" s="8"/>
      <c r="N481" s="8"/>
      <c r="O481" s="8">
        <v>1035.6526387981553</v>
      </c>
      <c r="P481" s="8"/>
      <c r="Q481" t="s">
        <v>137</v>
      </c>
    </row>
    <row r="482" spans="1:17" hidden="1" x14ac:dyDescent="0.25">
      <c r="A482" s="7" t="s">
        <v>17</v>
      </c>
      <c r="B482" s="7" t="s">
        <v>18</v>
      </c>
      <c r="C482" s="7" t="s">
        <v>19</v>
      </c>
      <c r="D482" s="7"/>
      <c r="E482" s="7"/>
      <c r="F482" s="7" t="s">
        <v>67</v>
      </c>
      <c r="G482" s="7" t="s">
        <v>68</v>
      </c>
      <c r="H482" s="7" t="s">
        <v>135</v>
      </c>
      <c r="I482" s="7" t="s">
        <v>136</v>
      </c>
      <c r="J482" s="8"/>
      <c r="K482" s="8"/>
      <c r="L482" s="8"/>
      <c r="M482" s="8"/>
      <c r="N482" s="8"/>
      <c r="O482" s="8">
        <v>50.147427886129435</v>
      </c>
      <c r="P482" s="8"/>
      <c r="Q482" t="s">
        <v>137</v>
      </c>
    </row>
    <row r="483" spans="1:17" hidden="1" x14ac:dyDescent="0.25">
      <c r="A483" s="7" t="s">
        <v>17</v>
      </c>
      <c r="B483" s="7" t="s">
        <v>18</v>
      </c>
      <c r="C483" s="7" t="s">
        <v>19</v>
      </c>
      <c r="D483" s="7"/>
      <c r="E483" s="7"/>
      <c r="F483" s="7" t="s">
        <v>69</v>
      </c>
      <c r="G483" s="7" t="s">
        <v>70</v>
      </c>
      <c r="H483" s="7" t="s">
        <v>135</v>
      </c>
      <c r="I483" s="7" t="s">
        <v>136</v>
      </c>
      <c r="J483" s="8"/>
      <c r="K483" s="8"/>
      <c r="L483" s="8"/>
      <c r="M483" s="8"/>
      <c r="N483" s="8"/>
      <c r="O483" s="8">
        <v>6.2556360426996527</v>
      </c>
      <c r="P483" s="8"/>
      <c r="Q483" t="s">
        <v>137</v>
      </c>
    </row>
    <row r="484" spans="1:17" hidden="1" x14ac:dyDescent="0.25">
      <c r="A484" s="7" t="s">
        <v>17</v>
      </c>
      <c r="B484" s="7" t="s">
        <v>18</v>
      </c>
      <c r="C484" s="7" t="s">
        <v>19</v>
      </c>
      <c r="D484" s="7"/>
      <c r="E484" s="7"/>
      <c r="F484" s="7" t="s">
        <v>71</v>
      </c>
      <c r="G484" s="7" t="s">
        <v>72</v>
      </c>
      <c r="H484" s="7" t="s">
        <v>135</v>
      </c>
      <c r="I484" s="7" t="s">
        <v>136</v>
      </c>
      <c r="J484" s="8"/>
      <c r="K484" s="8"/>
      <c r="L484" s="8"/>
      <c r="M484" s="8"/>
      <c r="N484" s="8"/>
      <c r="O484" s="8">
        <v>52.435857031011572</v>
      </c>
      <c r="P484" s="8"/>
      <c r="Q484" t="s">
        <v>137</v>
      </c>
    </row>
    <row r="485" spans="1:17" hidden="1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21</v>
      </c>
      <c r="F485" s="7" t="s">
        <v>73</v>
      </c>
      <c r="G485" s="7" t="s">
        <v>74</v>
      </c>
      <c r="H485" s="7" t="s">
        <v>135</v>
      </c>
      <c r="I485" s="7" t="s">
        <v>136</v>
      </c>
      <c r="J485" s="8"/>
      <c r="K485" s="8"/>
      <c r="L485" s="8"/>
      <c r="M485" s="8"/>
      <c r="N485" s="8"/>
      <c r="O485" s="8">
        <v>483.69793642802688</v>
      </c>
      <c r="P485" s="8"/>
      <c r="Q485" t="s">
        <v>137</v>
      </c>
    </row>
    <row r="486" spans="1:17" hidden="1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21</v>
      </c>
      <c r="F486" s="7" t="s">
        <v>75</v>
      </c>
      <c r="G486" s="7" t="s">
        <v>76</v>
      </c>
      <c r="H486" s="7" t="s">
        <v>135</v>
      </c>
      <c r="I486" s="7" t="s">
        <v>136</v>
      </c>
      <c r="J486" s="8"/>
      <c r="K486" s="8"/>
      <c r="L486" s="8"/>
      <c r="M486" s="8"/>
      <c r="N486" s="8"/>
      <c r="O486" s="8">
        <v>1991.7053820703586</v>
      </c>
      <c r="P486" s="8"/>
      <c r="Q486" t="s">
        <v>137</v>
      </c>
    </row>
    <row r="487" spans="1:17" hidden="1" x14ac:dyDescent="0.25">
      <c r="A487" s="7" t="s">
        <v>17</v>
      </c>
      <c r="B487" s="7" t="s">
        <v>18</v>
      </c>
      <c r="C487" s="7" t="s">
        <v>19</v>
      </c>
      <c r="D487" s="7"/>
      <c r="E487" s="7"/>
      <c r="F487" s="7" t="s">
        <v>77</v>
      </c>
      <c r="G487" s="7" t="s">
        <v>78</v>
      </c>
      <c r="H487" s="7" t="s">
        <v>135</v>
      </c>
      <c r="I487" s="7" t="s">
        <v>136</v>
      </c>
      <c r="J487" s="8"/>
      <c r="K487" s="8"/>
      <c r="L487" s="8"/>
      <c r="M487" s="8"/>
      <c r="N487" s="8"/>
      <c r="O487" s="8">
        <v>10.542391447980512</v>
      </c>
      <c r="P487" s="8"/>
      <c r="Q487" t="s">
        <v>137</v>
      </c>
    </row>
    <row r="488" spans="1:17" hidden="1" x14ac:dyDescent="0.25">
      <c r="A488" s="7" t="s">
        <v>17</v>
      </c>
      <c r="B488" s="7" t="s">
        <v>18</v>
      </c>
      <c r="C488" s="7" t="s">
        <v>19</v>
      </c>
      <c r="D488" s="7"/>
      <c r="E488" s="7"/>
      <c r="F488" s="7" t="s">
        <v>79</v>
      </c>
      <c r="G488" s="7" t="s">
        <v>80</v>
      </c>
      <c r="H488" s="7" t="s">
        <v>135</v>
      </c>
      <c r="I488" s="7" t="s">
        <v>136</v>
      </c>
      <c r="J488" s="8"/>
      <c r="K488" s="8"/>
      <c r="L488" s="8"/>
      <c r="M488" s="8"/>
      <c r="N488" s="8"/>
      <c r="O488" s="8">
        <v>7.7156469062651549</v>
      </c>
      <c r="P488" s="8"/>
      <c r="Q488" t="s">
        <v>137</v>
      </c>
    </row>
    <row r="489" spans="1:17" hidden="1" x14ac:dyDescent="0.25">
      <c r="A489" s="7" t="s">
        <v>17</v>
      </c>
      <c r="B489" s="7" t="s">
        <v>18</v>
      </c>
      <c r="C489" s="7" t="s">
        <v>19</v>
      </c>
      <c r="D489" s="7"/>
      <c r="E489" s="7"/>
      <c r="F489" s="7" t="s">
        <v>81</v>
      </c>
      <c r="G489" s="7" t="s">
        <v>82</v>
      </c>
      <c r="H489" s="7" t="s">
        <v>135</v>
      </c>
      <c r="I489" s="7" t="s">
        <v>136</v>
      </c>
      <c r="J489" s="8"/>
      <c r="K489" s="8"/>
      <c r="L489" s="8"/>
      <c r="M489" s="8"/>
      <c r="N489" s="8"/>
      <c r="O489" s="8">
        <v>57.125035760983984</v>
      </c>
      <c r="P489" s="8"/>
      <c r="Q489" t="s">
        <v>137</v>
      </c>
    </row>
    <row r="490" spans="1:17" hidden="1" x14ac:dyDescent="0.25">
      <c r="A490" s="7" t="s">
        <v>17</v>
      </c>
      <c r="B490" s="7" t="s">
        <v>18</v>
      </c>
      <c r="C490" s="7" t="s">
        <v>19</v>
      </c>
      <c r="D490" s="7"/>
      <c r="E490" s="7"/>
      <c r="F490" s="7" t="s">
        <v>83</v>
      </c>
      <c r="G490" s="7" t="s">
        <v>84</v>
      </c>
      <c r="H490" s="7" t="s">
        <v>135</v>
      </c>
      <c r="I490" s="7" t="s">
        <v>136</v>
      </c>
      <c r="J490" s="8"/>
      <c r="K490" s="8"/>
      <c r="L490" s="8"/>
      <c r="M490" s="8"/>
      <c r="N490" s="8"/>
      <c r="O490" s="8">
        <v>20.230814347380221</v>
      </c>
      <c r="P490" s="8"/>
      <c r="Q490" t="s">
        <v>137</v>
      </c>
    </row>
    <row r="491" spans="1:17" hidden="1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21</v>
      </c>
      <c r="F491" s="7" t="s">
        <v>85</v>
      </c>
      <c r="G491" s="7" t="s">
        <v>86</v>
      </c>
      <c r="H491" s="7" t="s">
        <v>135</v>
      </c>
      <c r="I491" s="7" t="s">
        <v>136</v>
      </c>
      <c r="J491" s="8"/>
      <c r="K491" s="8"/>
      <c r="L491" s="8"/>
      <c r="M491" s="8"/>
      <c r="N491" s="8"/>
      <c r="O491" s="8">
        <v>782.89365425842573</v>
      </c>
      <c r="P491" s="8"/>
      <c r="Q491" t="s">
        <v>137</v>
      </c>
    </row>
    <row r="492" spans="1:17" hidden="1" x14ac:dyDescent="0.25">
      <c r="A492" s="7" t="s">
        <v>17</v>
      </c>
      <c r="B492" s="7" t="s">
        <v>18</v>
      </c>
      <c r="C492" s="7" t="s">
        <v>19</v>
      </c>
      <c r="D492" s="7"/>
      <c r="E492" s="7"/>
      <c r="F492" s="7" t="s">
        <v>87</v>
      </c>
      <c r="G492" s="7" t="s">
        <v>88</v>
      </c>
      <c r="H492" s="7" t="s">
        <v>135</v>
      </c>
      <c r="I492" s="7" t="s">
        <v>136</v>
      </c>
      <c r="J492" s="8"/>
      <c r="K492" s="8"/>
      <c r="L492" s="8"/>
      <c r="M492" s="8"/>
      <c r="N492" s="8"/>
      <c r="O492" s="8">
        <v>27.220928401497645</v>
      </c>
      <c r="P492" s="8"/>
      <c r="Q492" t="s">
        <v>137</v>
      </c>
    </row>
    <row r="493" spans="1:17" hidden="1" x14ac:dyDescent="0.25">
      <c r="A493" s="7" t="s">
        <v>17</v>
      </c>
      <c r="B493" s="7" t="s">
        <v>18</v>
      </c>
      <c r="C493" s="7" t="s">
        <v>19</v>
      </c>
      <c r="D493" s="7"/>
      <c r="E493" s="7"/>
      <c r="F493" s="7" t="s">
        <v>89</v>
      </c>
      <c r="G493" s="7" t="s">
        <v>90</v>
      </c>
      <c r="H493" s="7" t="s">
        <v>135</v>
      </c>
      <c r="I493" s="7" t="s">
        <v>136</v>
      </c>
      <c r="J493" s="8"/>
      <c r="K493" s="8"/>
      <c r="L493" s="8"/>
      <c r="M493" s="8"/>
      <c r="N493" s="8"/>
      <c r="O493" s="8">
        <v>381.65849459417916</v>
      </c>
      <c r="P493" s="8"/>
      <c r="Q493" t="s">
        <v>137</v>
      </c>
    </row>
    <row r="494" spans="1:17" hidden="1" x14ac:dyDescent="0.25">
      <c r="A494" s="7" t="s">
        <v>17</v>
      </c>
      <c r="B494" s="7" t="s">
        <v>18</v>
      </c>
      <c r="C494" s="7" t="s">
        <v>19</v>
      </c>
      <c r="D494" s="7"/>
      <c r="E494" s="7"/>
      <c r="F494" s="7" t="s">
        <v>91</v>
      </c>
      <c r="G494" s="7" t="s">
        <v>92</v>
      </c>
      <c r="H494" s="7" t="s">
        <v>135</v>
      </c>
      <c r="I494" s="7" t="s">
        <v>136</v>
      </c>
      <c r="J494" s="8"/>
      <c r="K494" s="8"/>
      <c r="L494" s="8"/>
      <c r="M494" s="8"/>
      <c r="N494" s="8"/>
      <c r="O494" s="8">
        <v>43.357330744397359</v>
      </c>
      <c r="P494" s="8"/>
      <c r="Q494" t="s">
        <v>137</v>
      </c>
    </row>
    <row r="495" spans="1:17" hidden="1" x14ac:dyDescent="0.25">
      <c r="A495" s="7" t="s">
        <v>17</v>
      </c>
      <c r="B495" s="7" t="s">
        <v>18</v>
      </c>
      <c r="C495" s="7" t="s">
        <v>19</v>
      </c>
      <c r="D495" s="7"/>
      <c r="E495" s="7"/>
      <c r="F495" s="7" t="s">
        <v>93</v>
      </c>
      <c r="G495" s="7" t="s">
        <v>94</v>
      </c>
      <c r="H495" s="7" t="s">
        <v>135</v>
      </c>
      <c r="I495" s="7" t="s">
        <v>136</v>
      </c>
      <c r="J495" s="8"/>
      <c r="K495" s="8"/>
      <c r="L495" s="8"/>
      <c r="M495" s="8"/>
      <c r="N495" s="8"/>
      <c r="O495" s="8">
        <v>4.8253346669896597</v>
      </c>
      <c r="P495" s="8"/>
      <c r="Q495" t="s">
        <v>137</v>
      </c>
    </row>
    <row r="496" spans="1:17" hidden="1" x14ac:dyDescent="0.25">
      <c r="A496" s="7" t="s">
        <v>17</v>
      </c>
      <c r="B496" s="7" t="s">
        <v>18</v>
      </c>
      <c r="C496" s="7" t="s">
        <v>19</v>
      </c>
      <c r="D496" s="7"/>
      <c r="E496" s="7"/>
      <c r="F496" s="7" t="s">
        <v>95</v>
      </c>
      <c r="G496" s="7" t="s">
        <v>96</v>
      </c>
      <c r="H496" s="7" t="s">
        <v>135</v>
      </c>
      <c r="I496" s="7" t="s">
        <v>136</v>
      </c>
      <c r="J496" s="8"/>
      <c r="K496" s="8"/>
      <c r="L496" s="8"/>
      <c r="M496" s="8"/>
      <c r="N496" s="8"/>
      <c r="O496" s="8">
        <v>10.594622965752935</v>
      </c>
      <c r="P496" s="8"/>
      <c r="Q496" t="s">
        <v>137</v>
      </c>
    </row>
    <row r="497" spans="1:17" hidden="1" x14ac:dyDescent="0.25">
      <c r="A497" s="7" t="s">
        <v>17</v>
      </c>
      <c r="B497" s="7" t="s">
        <v>18</v>
      </c>
      <c r="C497" s="7" t="s">
        <v>19</v>
      </c>
      <c r="D497" s="7"/>
      <c r="E497" s="7"/>
      <c r="F497" s="7" t="s">
        <v>97</v>
      </c>
      <c r="G497" s="7" t="s">
        <v>98</v>
      </c>
      <c r="H497" s="7" t="s">
        <v>135</v>
      </c>
      <c r="I497" s="7" t="s">
        <v>136</v>
      </c>
      <c r="J497" s="8"/>
      <c r="K497" s="8"/>
      <c r="L497" s="8"/>
      <c r="M497" s="8"/>
      <c r="N497" s="8"/>
      <c r="O497" s="8">
        <v>24.470322474132395</v>
      </c>
      <c r="P497" s="8"/>
      <c r="Q497" t="s">
        <v>137</v>
      </c>
    </row>
    <row r="498" spans="1:17" hidden="1" x14ac:dyDescent="0.25">
      <c r="A498" s="7" t="s">
        <v>17</v>
      </c>
      <c r="B498" s="7" t="s">
        <v>18</v>
      </c>
      <c r="C498" s="7" t="s">
        <v>19</v>
      </c>
      <c r="D498" s="7"/>
      <c r="E498" s="7"/>
      <c r="F498" s="7" t="s">
        <v>99</v>
      </c>
      <c r="G498" s="7" t="s">
        <v>100</v>
      </c>
      <c r="H498" s="7" t="s">
        <v>135</v>
      </c>
      <c r="I498" s="7" t="s">
        <v>136</v>
      </c>
      <c r="J498" s="8"/>
      <c r="K498" s="8"/>
      <c r="L498" s="8"/>
      <c r="M498" s="8"/>
      <c r="N498" s="8"/>
      <c r="O498" s="8">
        <v>265.43998979566396</v>
      </c>
      <c r="P498" s="8"/>
      <c r="Q498" t="s">
        <v>137</v>
      </c>
    </row>
    <row r="499" spans="1:17" hidden="1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21</v>
      </c>
      <c r="F499" s="7" t="s">
        <v>101</v>
      </c>
      <c r="G499" s="7" t="s">
        <v>21</v>
      </c>
      <c r="H499" s="7" t="s">
        <v>135</v>
      </c>
      <c r="I499" s="7" t="s">
        <v>136</v>
      </c>
      <c r="J499" s="8"/>
      <c r="K499" s="8"/>
      <c r="L499" s="8"/>
      <c r="M499" s="8"/>
      <c r="N499" s="8"/>
      <c r="O499" s="8">
        <v>4121.0500617897524</v>
      </c>
      <c r="P499" s="8"/>
      <c r="Q499" t="s">
        <v>137</v>
      </c>
    </row>
    <row r="500" spans="1:17" hidden="1" x14ac:dyDescent="0.25">
      <c r="A500" s="7" t="s">
        <v>17</v>
      </c>
      <c r="B500" s="7" t="s">
        <v>18</v>
      </c>
      <c r="C500" s="7" t="s">
        <v>19</v>
      </c>
      <c r="D500" s="7"/>
      <c r="E500" s="7"/>
      <c r="F500" s="7" t="s">
        <v>102</v>
      </c>
      <c r="G500" s="7" t="s">
        <v>103</v>
      </c>
      <c r="H500" s="7" t="s">
        <v>135</v>
      </c>
      <c r="I500" s="7" t="s">
        <v>136</v>
      </c>
      <c r="J500" s="8"/>
      <c r="K500" s="8"/>
      <c r="L500" s="8"/>
      <c r="M500" s="8"/>
      <c r="N500" s="8"/>
      <c r="O500" s="8">
        <v>4.9979286641140561</v>
      </c>
      <c r="P500" s="8"/>
      <c r="Q500" t="s">
        <v>137</v>
      </c>
    </row>
    <row r="501" spans="1:17" hidden="1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21</v>
      </c>
      <c r="F501" s="7" t="s">
        <v>104</v>
      </c>
      <c r="G501" s="7" t="s">
        <v>105</v>
      </c>
      <c r="H501" s="7" t="s">
        <v>135</v>
      </c>
      <c r="I501" s="7" t="s">
        <v>136</v>
      </c>
      <c r="J501" s="8"/>
      <c r="K501" s="8"/>
      <c r="L501" s="8"/>
      <c r="M501" s="8"/>
      <c r="N501" s="8"/>
      <c r="O501" s="8">
        <v>220.5947216813029</v>
      </c>
      <c r="P501" s="8"/>
      <c r="Q501" t="s">
        <v>137</v>
      </c>
    </row>
    <row r="502" spans="1:17" hidden="1" x14ac:dyDescent="0.25">
      <c r="A502" s="7" t="s">
        <v>17</v>
      </c>
      <c r="B502" s="7" t="s">
        <v>18</v>
      </c>
      <c r="C502" s="7" t="s">
        <v>19</v>
      </c>
      <c r="D502" s="7"/>
      <c r="E502" s="7"/>
      <c r="F502" s="7" t="s">
        <v>106</v>
      </c>
      <c r="G502" s="7" t="s">
        <v>107</v>
      </c>
      <c r="H502" s="7" t="s">
        <v>135</v>
      </c>
      <c r="I502" s="7" t="s">
        <v>136</v>
      </c>
      <c r="J502" s="8"/>
      <c r="K502" s="8"/>
      <c r="L502" s="8"/>
      <c r="M502" s="8"/>
      <c r="N502" s="8"/>
      <c r="O502" s="8">
        <v>10.102466035156059</v>
      </c>
      <c r="P502" s="8"/>
      <c r="Q502" t="s">
        <v>137</v>
      </c>
    </row>
    <row r="503" spans="1:17" hidden="1" x14ac:dyDescent="0.25">
      <c r="A503" s="7" t="s">
        <v>17</v>
      </c>
      <c r="B503" s="7" t="s">
        <v>18</v>
      </c>
      <c r="C503" s="7" t="s">
        <v>19</v>
      </c>
      <c r="D503" s="7"/>
      <c r="E503" s="7"/>
      <c r="F503" s="7" t="s">
        <v>108</v>
      </c>
      <c r="G503" s="7" t="s">
        <v>109</v>
      </c>
      <c r="H503" s="7" t="s">
        <v>135</v>
      </c>
      <c r="I503" s="7" t="s">
        <v>136</v>
      </c>
      <c r="J503" s="8"/>
      <c r="K503" s="8"/>
      <c r="L503" s="8"/>
      <c r="M503" s="8"/>
      <c r="N503" s="8"/>
      <c r="O503" s="8">
        <v>12.81800702899602</v>
      </c>
      <c r="P503" s="8"/>
      <c r="Q503" t="s">
        <v>137</v>
      </c>
    </row>
    <row r="504" spans="1:17" hidden="1" x14ac:dyDescent="0.25">
      <c r="A504" s="7" t="s">
        <v>17</v>
      </c>
      <c r="B504" s="7" t="s">
        <v>18</v>
      </c>
      <c r="C504" s="7" t="s">
        <v>19</v>
      </c>
      <c r="D504" s="7"/>
      <c r="E504" s="7"/>
      <c r="F504" s="7" t="s">
        <v>110</v>
      </c>
      <c r="G504" s="7" t="s">
        <v>111</v>
      </c>
      <c r="H504" s="7" t="s">
        <v>135</v>
      </c>
      <c r="I504" s="7" t="s">
        <v>136</v>
      </c>
      <c r="J504" s="8"/>
      <c r="K504" s="8"/>
      <c r="L504" s="8"/>
      <c r="M504" s="8"/>
      <c r="N504" s="8"/>
      <c r="O504" s="8">
        <v>204.5809696017229</v>
      </c>
      <c r="P504" s="8"/>
      <c r="Q504" t="s">
        <v>137</v>
      </c>
    </row>
    <row r="505" spans="1:17" hidden="1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21</v>
      </c>
      <c r="F505" s="7" t="s">
        <v>112</v>
      </c>
      <c r="G505" s="7" t="s">
        <v>113</v>
      </c>
      <c r="H505" s="7" t="s">
        <v>135</v>
      </c>
      <c r="I505" s="7" t="s">
        <v>136</v>
      </c>
      <c r="J505" s="8"/>
      <c r="K505" s="8"/>
      <c r="L505" s="8"/>
      <c r="M505" s="8"/>
      <c r="N505" s="8"/>
      <c r="O505" s="8">
        <v>180.63446928103306</v>
      </c>
      <c r="P505" s="8"/>
      <c r="Q505" t="s">
        <v>137</v>
      </c>
    </row>
    <row r="506" spans="1:17" hidden="1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21</v>
      </c>
      <c r="F506" s="7" t="s">
        <v>114</v>
      </c>
      <c r="G506" s="7" t="s">
        <v>115</v>
      </c>
      <c r="H506" s="7" t="s">
        <v>135</v>
      </c>
      <c r="I506" s="7" t="s">
        <v>136</v>
      </c>
      <c r="J506" s="8"/>
      <c r="K506" s="8"/>
      <c r="L506" s="8"/>
      <c r="M506" s="8"/>
      <c r="N506" s="8"/>
      <c r="O506" s="8">
        <v>1526.4397566264042</v>
      </c>
      <c r="P506" s="8"/>
      <c r="Q506" t="s">
        <v>137</v>
      </c>
    </row>
    <row r="507" spans="1:17" hidden="1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21</v>
      </c>
      <c r="F507" s="7" t="s">
        <v>116</v>
      </c>
      <c r="G507" s="7" t="s">
        <v>117</v>
      </c>
      <c r="H507" s="7" t="s">
        <v>135</v>
      </c>
      <c r="I507" s="7" t="s">
        <v>136</v>
      </c>
      <c r="J507" s="8"/>
      <c r="K507" s="8"/>
      <c r="L507" s="8"/>
      <c r="M507" s="8"/>
      <c r="N507" s="8"/>
      <c r="O507" s="8">
        <v>47.564426896387253</v>
      </c>
      <c r="P507" s="8"/>
      <c r="Q507" t="s">
        <v>137</v>
      </c>
    </row>
    <row r="508" spans="1:17" hidden="1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21</v>
      </c>
      <c r="F508" s="7" t="s">
        <v>118</v>
      </c>
      <c r="G508" s="7" t="s">
        <v>119</v>
      </c>
      <c r="H508" s="7" t="s">
        <v>135</v>
      </c>
      <c r="I508" s="7" t="s">
        <v>136</v>
      </c>
      <c r="J508" s="8"/>
      <c r="K508" s="8"/>
      <c r="L508" s="8"/>
      <c r="M508" s="8"/>
      <c r="N508" s="8"/>
      <c r="O508" s="8">
        <v>1088.9871131851401</v>
      </c>
      <c r="P508" s="8"/>
      <c r="Q508" t="s">
        <v>137</v>
      </c>
    </row>
    <row r="509" spans="1:17" hidden="1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21</v>
      </c>
      <c r="F509" s="7" t="s">
        <v>120</v>
      </c>
      <c r="G509" s="7" t="s">
        <v>121</v>
      </c>
      <c r="H509" s="7" t="s">
        <v>135</v>
      </c>
      <c r="I509" s="7" t="s">
        <v>136</v>
      </c>
      <c r="J509" s="8"/>
      <c r="K509" s="8"/>
      <c r="L509" s="8"/>
      <c r="M509" s="8"/>
      <c r="N509" s="8"/>
      <c r="O509" s="8">
        <v>135.21200067942584</v>
      </c>
      <c r="P509" s="8"/>
      <c r="Q509" t="s">
        <v>137</v>
      </c>
    </row>
    <row r="510" spans="1:17" hidden="1" x14ac:dyDescent="0.25">
      <c r="A510" s="7" t="s">
        <v>17</v>
      </c>
      <c r="B510" s="7" t="s">
        <v>18</v>
      </c>
      <c r="C510" s="7" t="s">
        <v>19</v>
      </c>
      <c r="D510" s="7"/>
      <c r="E510" s="7"/>
      <c r="F510" s="7" t="s">
        <v>122</v>
      </c>
      <c r="G510" s="7" t="s">
        <v>123</v>
      </c>
      <c r="H510" s="7" t="s">
        <v>135</v>
      </c>
      <c r="I510" s="7" t="s">
        <v>136</v>
      </c>
      <c r="J510" s="8"/>
      <c r="K510" s="8"/>
      <c r="L510" s="8"/>
      <c r="M510" s="8"/>
      <c r="N510" s="8"/>
      <c r="O510" s="8">
        <v>24.703057115342098</v>
      </c>
      <c r="P510" s="8"/>
      <c r="Q510" t="s">
        <v>137</v>
      </c>
    </row>
    <row r="511" spans="1:17" hidden="1" x14ac:dyDescent="0.25">
      <c r="A511" s="7" t="s">
        <v>17</v>
      </c>
      <c r="B511" s="7" t="s">
        <v>18</v>
      </c>
      <c r="C511" s="7" t="s">
        <v>19</v>
      </c>
      <c r="D511" s="7"/>
      <c r="E511" s="7"/>
      <c r="F511" s="7" t="s">
        <v>124</v>
      </c>
      <c r="G511" s="7" t="s">
        <v>125</v>
      </c>
      <c r="H511" s="7" t="s">
        <v>135</v>
      </c>
      <c r="I511" s="7" t="s">
        <v>136</v>
      </c>
      <c r="J511" s="8"/>
      <c r="K511" s="8"/>
      <c r="L511" s="8"/>
      <c r="M511" s="8"/>
      <c r="N511" s="8"/>
      <c r="O511" s="8">
        <v>27.038167349386129</v>
      </c>
      <c r="P511" s="8"/>
      <c r="Q511" t="s">
        <v>137</v>
      </c>
    </row>
    <row r="512" spans="1:17" hidden="1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21</v>
      </c>
      <c r="F512" s="7" t="s">
        <v>22</v>
      </c>
      <c r="G512" s="7" t="s">
        <v>23</v>
      </c>
      <c r="H512" s="7" t="s">
        <v>135</v>
      </c>
      <c r="I512" s="7" t="s">
        <v>138</v>
      </c>
      <c r="J512" s="8"/>
      <c r="K512" s="8"/>
      <c r="L512" s="8"/>
      <c r="M512" s="8"/>
      <c r="N512" s="8"/>
      <c r="O512" s="8">
        <v>0.84311050958062861</v>
      </c>
      <c r="P512" s="8"/>
      <c r="Q512" t="s">
        <v>137</v>
      </c>
    </row>
    <row r="513" spans="1:17" hidden="1" x14ac:dyDescent="0.25">
      <c r="A513" s="7" t="s">
        <v>17</v>
      </c>
      <c r="B513" s="7" t="s">
        <v>18</v>
      </c>
      <c r="C513" s="7" t="s">
        <v>19</v>
      </c>
      <c r="D513" s="7"/>
      <c r="E513" s="7"/>
      <c r="F513" s="7" t="s">
        <v>27</v>
      </c>
      <c r="G513" s="7" t="s">
        <v>28</v>
      </c>
      <c r="H513" s="7" t="s">
        <v>135</v>
      </c>
      <c r="I513" s="7" t="s">
        <v>138</v>
      </c>
      <c r="J513" s="8"/>
      <c r="K513" s="8"/>
      <c r="L513" s="8"/>
      <c r="M513" s="8"/>
      <c r="N513" s="8"/>
      <c r="O513" s="8">
        <v>0.73344014568722027</v>
      </c>
      <c r="P513" s="8"/>
      <c r="Q513" t="s">
        <v>137</v>
      </c>
    </row>
    <row r="514" spans="1:17" hidden="1" x14ac:dyDescent="0.25">
      <c r="A514" s="7" t="s">
        <v>17</v>
      </c>
      <c r="B514" s="7" t="s">
        <v>18</v>
      </c>
      <c r="C514" s="7" t="s">
        <v>19</v>
      </c>
      <c r="D514" s="7"/>
      <c r="E514" s="7"/>
      <c r="F514" s="7" t="s">
        <v>29</v>
      </c>
      <c r="G514" s="7" t="s">
        <v>30</v>
      </c>
      <c r="H514" s="7" t="s">
        <v>135</v>
      </c>
      <c r="I514" s="7" t="s">
        <v>138</v>
      </c>
      <c r="J514" s="8"/>
      <c r="K514" s="8"/>
      <c r="L514" s="8"/>
      <c r="M514" s="8"/>
      <c r="N514" s="8"/>
      <c r="O514" s="8">
        <v>1.2164525412633123</v>
      </c>
      <c r="P514" s="8"/>
      <c r="Q514" t="s">
        <v>137</v>
      </c>
    </row>
    <row r="515" spans="1:17" hidden="1" x14ac:dyDescent="0.25">
      <c r="A515" s="7" t="s">
        <v>17</v>
      </c>
      <c r="B515" s="7" t="s">
        <v>18</v>
      </c>
      <c r="C515" s="7" t="s">
        <v>19</v>
      </c>
      <c r="D515" s="7"/>
      <c r="E515" s="7"/>
      <c r="F515" s="7" t="s">
        <v>31</v>
      </c>
      <c r="G515" s="7" t="s">
        <v>32</v>
      </c>
      <c r="H515" s="7" t="s">
        <v>135</v>
      </c>
      <c r="I515" s="7" t="s">
        <v>138</v>
      </c>
      <c r="J515" s="8"/>
      <c r="K515" s="8"/>
      <c r="L515" s="8"/>
      <c r="M515" s="8"/>
      <c r="N515" s="8"/>
      <c r="O515" s="8">
        <v>49.921046435691387</v>
      </c>
      <c r="P515" s="8"/>
      <c r="Q515" t="s">
        <v>137</v>
      </c>
    </row>
    <row r="516" spans="1:17" hidden="1" x14ac:dyDescent="0.25">
      <c r="A516" s="7" t="s">
        <v>17</v>
      </c>
      <c r="B516" s="7" t="s">
        <v>18</v>
      </c>
      <c r="C516" s="7" t="s">
        <v>19</v>
      </c>
      <c r="D516" s="7"/>
      <c r="E516" s="7"/>
      <c r="F516" s="7" t="s">
        <v>33</v>
      </c>
      <c r="G516" s="7" t="s">
        <v>34</v>
      </c>
      <c r="H516" s="7" t="s">
        <v>135</v>
      </c>
      <c r="I516" s="7" t="s">
        <v>138</v>
      </c>
      <c r="J516" s="8"/>
      <c r="K516" s="8"/>
      <c r="L516" s="8"/>
      <c r="M516" s="8"/>
      <c r="N516" s="8"/>
      <c r="O516" s="8">
        <v>13.243205931856568</v>
      </c>
      <c r="P516" s="8"/>
      <c r="Q516" t="s">
        <v>137</v>
      </c>
    </row>
    <row r="517" spans="1:17" hidden="1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21</v>
      </c>
      <c r="F517" s="7" t="s">
        <v>35</v>
      </c>
      <c r="G517" s="7" t="s">
        <v>36</v>
      </c>
      <c r="H517" s="7" t="s">
        <v>135</v>
      </c>
      <c r="I517" s="7" t="s">
        <v>138</v>
      </c>
      <c r="J517" s="8"/>
      <c r="K517" s="8"/>
      <c r="L517" s="8"/>
      <c r="M517" s="8"/>
      <c r="N517" s="8"/>
      <c r="O517" s="8">
        <v>217.29391082820982</v>
      </c>
      <c r="P517" s="8"/>
      <c r="Q517" t="s">
        <v>137</v>
      </c>
    </row>
    <row r="518" spans="1:17" hidden="1" x14ac:dyDescent="0.25">
      <c r="A518" s="7" t="s">
        <v>17</v>
      </c>
      <c r="B518" s="7" t="s">
        <v>18</v>
      </c>
      <c r="C518" s="7" t="s">
        <v>19</v>
      </c>
      <c r="D518" s="7"/>
      <c r="E518" s="7"/>
      <c r="F518" s="7" t="s">
        <v>37</v>
      </c>
      <c r="G518" s="7" t="s">
        <v>38</v>
      </c>
      <c r="H518" s="7" t="s">
        <v>135</v>
      </c>
      <c r="I518" s="7" t="s">
        <v>138</v>
      </c>
      <c r="J518" s="8"/>
      <c r="K518" s="8"/>
      <c r="L518" s="8"/>
      <c r="M518" s="8"/>
      <c r="N518" s="8"/>
      <c r="O518" s="8">
        <v>6.2249628239253667</v>
      </c>
      <c r="P518" s="8"/>
      <c r="Q518" t="s">
        <v>137</v>
      </c>
    </row>
    <row r="519" spans="1:17" hidden="1" x14ac:dyDescent="0.25">
      <c r="A519" s="7" t="s">
        <v>17</v>
      </c>
      <c r="B519" s="7" t="s">
        <v>18</v>
      </c>
      <c r="C519" s="7" t="s">
        <v>19</v>
      </c>
      <c r="D519" s="7"/>
      <c r="E519" s="7"/>
      <c r="F519" s="7" t="s">
        <v>39</v>
      </c>
      <c r="G519" s="7" t="s">
        <v>40</v>
      </c>
      <c r="H519" s="7" t="s">
        <v>135</v>
      </c>
      <c r="I519" s="7" t="s">
        <v>138</v>
      </c>
      <c r="J519" s="8"/>
      <c r="K519" s="8"/>
      <c r="L519" s="8"/>
      <c r="M519" s="8"/>
      <c r="N519" s="8"/>
      <c r="O519" s="8">
        <v>2.3470113282509777</v>
      </c>
      <c r="P519" s="8"/>
      <c r="Q519" t="s">
        <v>137</v>
      </c>
    </row>
    <row r="520" spans="1:17" hidden="1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21</v>
      </c>
      <c r="F520" s="7" t="s">
        <v>41</v>
      </c>
      <c r="G520" s="7" t="s">
        <v>42</v>
      </c>
      <c r="H520" s="7" t="s">
        <v>135</v>
      </c>
      <c r="I520" s="7" t="s">
        <v>138</v>
      </c>
      <c r="J520" s="8"/>
      <c r="K520" s="8"/>
      <c r="L520" s="8"/>
      <c r="M520" s="8"/>
      <c r="N520" s="8"/>
      <c r="O520" s="8">
        <v>39.521834726788271</v>
      </c>
      <c r="P520" s="8"/>
      <c r="Q520" t="s">
        <v>137</v>
      </c>
    </row>
    <row r="521" spans="1:17" hidden="1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21</v>
      </c>
      <c r="F521" s="7" t="s">
        <v>43</v>
      </c>
      <c r="G521" s="7" t="s">
        <v>44</v>
      </c>
      <c r="H521" s="7" t="s">
        <v>135</v>
      </c>
      <c r="I521" s="7" t="s">
        <v>138</v>
      </c>
      <c r="J521" s="8"/>
      <c r="K521" s="8"/>
      <c r="L521" s="8"/>
      <c r="M521" s="8"/>
      <c r="N521" s="8"/>
      <c r="O521" s="8">
        <v>2.0868112375169221</v>
      </c>
      <c r="P521" s="8"/>
      <c r="Q521" t="s">
        <v>137</v>
      </c>
    </row>
    <row r="522" spans="1:17" hidden="1" x14ac:dyDescent="0.25">
      <c r="A522" s="7" t="s">
        <v>17</v>
      </c>
      <c r="B522" s="7" t="s">
        <v>18</v>
      </c>
      <c r="C522" s="7" t="s">
        <v>19</v>
      </c>
      <c r="D522" s="7"/>
      <c r="E522" s="7"/>
      <c r="F522" s="7" t="s">
        <v>45</v>
      </c>
      <c r="G522" s="7" t="s">
        <v>46</v>
      </c>
      <c r="H522" s="7" t="s">
        <v>135</v>
      </c>
      <c r="I522" s="7" t="s">
        <v>138</v>
      </c>
      <c r="J522" s="8"/>
      <c r="K522" s="8"/>
      <c r="L522" s="8"/>
      <c r="M522" s="8"/>
      <c r="N522" s="8"/>
      <c r="O522" s="8">
        <v>10.556835186987801</v>
      </c>
      <c r="P522" s="8"/>
      <c r="Q522" t="s">
        <v>137</v>
      </c>
    </row>
    <row r="523" spans="1:17" hidden="1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21</v>
      </c>
      <c r="F523" s="7" t="s">
        <v>47</v>
      </c>
      <c r="G523" s="7" t="s">
        <v>48</v>
      </c>
      <c r="H523" s="7" t="s">
        <v>135</v>
      </c>
      <c r="I523" s="7" t="s">
        <v>138</v>
      </c>
      <c r="J523" s="8"/>
      <c r="K523" s="8"/>
      <c r="L523" s="8"/>
      <c r="M523" s="8"/>
      <c r="N523" s="8"/>
      <c r="O523" s="8">
        <v>11.282508305286308</v>
      </c>
      <c r="P523" s="8"/>
      <c r="Q523" t="s">
        <v>137</v>
      </c>
    </row>
    <row r="524" spans="1:17" hidden="1" x14ac:dyDescent="0.25">
      <c r="A524" s="7" t="s">
        <v>17</v>
      </c>
      <c r="B524" s="7" t="s">
        <v>18</v>
      </c>
      <c r="C524" s="7" t="s">
        <v>19</v>
      </c>
      <c r="D524" s="7"/>
      <c r="E524" s="7"/>
      <c r="F524" s="7" t="s">
        <v>49</v>
      </c>
      <c r="G524" s="7" t="s">
        <v>50</v>
      </c>
      <c r="H524" s="7" t="s">
        <v>135</v>
      </c>
      <c r="I524" s="7" t="s">
        <v>138</v>
      </c>
      <c r="J524" s="8"/>
      <c r="K524" s="8"/>
      <c r="L524" s="8"/>
      <c r="M524" s="8"/>
      <c r="N524" s="8"/>
      <c r="O524" s="8">
        <v>11.288048858242007</v>
      </c>
      <c r="P524" s="8"/>
      <c r="Q524" t="s">
        <v>137</v>
      </c>
    </row>
    <row r="525" spans="1:17" hidden="1" x14ac:dyDescent="0.25">
      <c r="A525" s="7" t="s">
        <v>17</v>
      </c>
      <c r="B525" s="7" t="s">
        <v>18</v>
      </c>
      <c r="C525" s="7" t="s">
        <v>19</v>
      </c>
      <c r="D525" s="7"/>
      <c r="E525" s="7"/>
      <c r="F525" s="7" t="s">
        <v>51</v>
      </c>
      <c r="G525" s="7" t="s">
        <v>52</v>
      </c>
      <c r="H525" s="7" t="s">
        <v>135</v>
      </c>
      <c r="I525" s="7" t="s">
        <v>138</v>
      </c>
      <c r="J525" s="8"/>
      <c r="K525" s="8"/>
      <c r="L525" s="8"/>
      <c r="M525" s="8"/>
      <c r="N525" s="8"/>
      <c r="O525" s="8">
        <v>34.275532533438515</v>
      </c>
      <c r="P525" s="8"/>
      <c r="Q525" t="s">
        <v>137</v>
      </c>
    </row>
    <row r="526" spans="1:17" hidden="1" x14ac:dyDescent="0.25">
      <c r="A526" s="7" t="s">
        <v>17</v>
      </c>
      <c r="B526" s="7" t="s">
        <v>18</v>
      </c>
      <c r="C526" s="7" t="s">
        <v>19</v>
      </c>
      <c r="D526" s="7"/>
      <c r="E526" s="7"/>
      <c r="F526" s="7" t="s">
        <v>53</v>
      </c>
      <c r="G526" s="7" t="s">
        <v>54</v>
      </c>
      <c r="H526" s="7" t="s">
        <v>135</v>
      </c>
      <c r="I526" s="7" t="s">
        <v>138</v>
      </c>
      <c r="J526" s="8"/>
      <c r="K526" s="8"/>
      <c r="L526" s="8"/>
      <c r="M526" s="8"/>
      <c r="N526" s="8"/>
      <c r="O526" s="8">
        <v>0</v>
      </c>
      <c r="P526" s="8"/>
      <c r="Q526" t="s">
        <v>137</v>
      </c>
    </row>
    <row r="527" spans="1:17" hidden="1" x14ac:dyDescent="0.25">
      <c r="A527" s="7" t="s">
        <v>17</v>
      </c>
      <c r="B527" s="7" t="s">
        <v>18</v>
      </c>
      <c r="C527" s="7" t="s">
        <v>19</v>
      </c>
      <c r="D527" s="7"/>
      <c r="E527" s="7"/>
      <c r="F527" s="7" t="s">
        <v>55</v>
      </c>
      <c r="G527" s="7" t="s">
        <v>56</v>
      </c>
      <c r="H527" s="7" t="s">
        <v>135</v>
      </c>
      <c r="I527" s="7" t="s">
        <v>138</v>
      </c>
      <c r="J527" s="8"/>
      <c r="K527" s="8"/>
      <c r="L527" s="8"/>
      <c r="M527" s="8"/>
      <c r="N527" s="8"/>
      <c r="O527" s="8">
        <v>0</v>
      </c>
      <c r="P527" s="8"/>
      <c r="Q527" t="s">
        <v>137</v>
      </c>
    </row>
    <row r="528" spans="1:17" hidden="1" x14ac:dyDescent="0.25">
      <c r="A528" s="7" t="s">
        <v>17</v>
      </c>
      <c r="B528" s="7" t="s">
        <v>18</v>
      </c>
      <c r="C528" s="7" t="s">
        <v>19</v>
      </c>
      <c r="D528" s="7"/>
      <c r="E528" s="7"/>
      <c r="F528" s="7" t="s">
        <v>57</v>
      </c>
      <c r="G528" s="7" t="s">
        <v>58</v>
      </c>
      <c r="H528" s="7" t="s">
        <v>135</v>
      </c>
      <c r="I528" s="7" t="s">
        <v>138</v>
      </c>
      <c r="J528" s="8"/>
      <c r="K528" s="8"/>
      <c r="L528" s="8"/>
      <c r="M528" s="8"/>
      <c r="N528" s="8"/>
      <c r="O528" s="8">
        <v>58.179021299308474</v>
      </c>
      <c r="P528" s="8"/>
      <c r="Q528" t="s">
        <v>137</v>
      </c>
    </row>
    <row r="529" spans="1:17" hidden="1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21</v>
      </c>
      <c r="F529" s="7" t="s">
        <v>59</v>
      </c>
      <c r="G529" s="7" t="s">
        <v>60</v>
      </c>
      <c r="H529" s="7" t="s">
        <v>135</v>
      </c>
      <c r="I529" s="7" t="s">
        <v>138</v>
      </c>
      <c r="J529" s="8"/>
      <c r="K529" s="8"/>
      <c r="L529" s="8"/>
      <c r="M529" s="8"/>
      <c r="N529" s="8"/>
      <c r="O529" s="8">
        <v>52.806355262617508</v>
      </c>
      <c r="P529" s="8"/>
      <c r="Q529" t="s">
        <v>137</v>
      </c>
    </row>
    <row r="530" spans="1:17" hidden="1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21</v>
      </c>
      <c r="F530" s="7" t="s">
        <v>61</v>
      </c>
      <c r="G530" s="7" t="s">
        <v>62</v>
      </c>
      <c r="H530" s="7" t="s">
        <v>135</v>
      </c>
      <c r="I530" s="7" t="s">
        <v>138</v>
      </c>
      <c r="J530" s="8"/>
      <c r="K530" s="8"/>
      <c r="L530" s="8"/>
      <c r="M530" s="8"/>
      <c r="N530" s="8"/>
      <c r="O530" s="8">
        <v>99.5118453478281</v>
      </c>
      <c r="P530" s="8"/>
      <c r="Q530" t="s">
        <v>137</v>
      </c>
    </row>
    <row r="531" spans="1:17" hidden="1" x14ac:dyDescent="0.25">
      <c r="A531" s="7" t="s">
        <v>17</v>
      </c>
      <c r="B531" s="7" t="s">
        <v>18</v>
      </c>
      <c r="C531" s="7" t="s">
        <v>19</v>
      </c>
      <c r="D531" s="7"/>
      <c r="E531" s="7"/>
      <c r="F531" s="7" t="s">
        <v>63</v>
      </c>
      <c r="G531" s="7" t="s">
        <v>64</v>
      </c>
      <c r="H531" s="7" t="s">
        <v>135</v>
      </c>
      <c r="I531" s="7" t="s">
        <v>138</v>
      </c>
      <c r="J531" s="8"/>
      <c r="K531" s="8"/>
      <c r="L531" s="8"/>
      <c r="M531" s="8"/>
      <c r="N531" s="8"/>
      <c r="O531" s="8">
        <v>9.9151887596803103</v>
      </c>
      <c r="P531" s="8"/>
      <c r="Q531" t="s">
        <v>137</v>
      </c>
    </row>
    <row r="532" spans="1:17" hidden="1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21</v>
      </c>
      <c r="F532" s="7" t="s">
        <v>65</v>
      </c>
      <c r="G532" s="7" t="s">
        <v>66</v>
      </c>
      <c r="H532" s="7" t="s">
        <v>135</v>
      </c>
      <c r="I532" s="7" t="s">
        <v>138</v>
      </c>
      <c r="J532" s="8"/>
      <c r="K532" s="8"/>
      <c r="L532" s="8"/>
      <c r="M532" s="8"/>
      <c r="N532" s="8"/>
      <c r="O532" s="8">
        <v>144.08501000707108</v>
      </c>
      <c r="P532" s="8"/>
      <c r="Q532" t="s">
        <v>137</v>
      </c>
    </row>
    <row r="533" spans="1:17" hidden="1" x14ac:dyDescent="0.25">
      <c r="A533" s="7" t="s">
        <v>17</v>
      </c>
      <c r="B533" s="7" t="s">
        <v>18</v>
      </c>
      <c r="C533" s="7" t="s">
        <v>19</v>
      </c>
      <c r="D533" s="7"/>
      <c r="E533" s="7"/>
      <c r="F533" s="7" t="s">
        <v>67</v>
      </c>
      <c r="G533" s="7" t="s">
        <v>68</v>
      </c>
      <c r="H533" s="7" t="s">
        <v>135</v>
      </c>
      <c r="I533" s="7" t="s">
        <v>138</v>
      </c>
      <c r="J533" s="8"/>
      <c r="K533" s="8"/>
      <c r="L533" s="8"/>
      <c r="M533" s="8"/>
      <c r="N533" s="8"/>
      <c r="O533" s="8">
        <v>14.585373680814218</v>
      </c>
      <c r="P533" s="8"/>
      <c r="Q533" t="s">
        <v>137</v>
      </c>
    </row>
    <row r="534" spans="1:17" hidden="1" x14ac:dyDescent="0.25">
      <c r="A534" s="7" t="s">
        <v>17</v>
      </c>
      <c r="B534" s="7" t="s">
        <v>18</v>
      </c>
      <c r="C534" s="7" t="s">
        <v>19</v>
      </c>
      <c r="D534" s="7"/>
      <c r="E534" s="7"/>
      <c r="F534" s="7" t="s">
        <v>69</v>
      </c>
      <c r="G534" s="7" t="s">
        <v>70</v>
      </c>
      <c r="H534" s="7" t="s">
        <v>135</v>
      </c>
      <c r="I534" s="7" t="s">
        <v>138</v>
      </c>
      <c r="J534" s="8"/>
      <c r="K534" s="8"/>
      <c r="L534" s="8"/>
      <c r="M534" s="8"/>
      <c r="N534" s="8"/>
      <c r="O534" s="8">
        <v>0</v>
      </c>
      <c r="P534" s="8"/>
      <c r="Q534" t="s">
        <v>137</v>
      </c>
    </row>
    <row r="535" spans="1:17" hidden="1" x14ac:dyDescent="0.25">
      <c r="A535" s="7" t="s">
        <v>17</v>
      </c>
      <c r="B535" s="7" t="s">
        <v>18</v>
      </c>
      <c r="C535" s="7" t="s">
        <v>19</v>
      </c>
      <c r="D535" s="7"/>
      <c r="E535" s="7"/>
      <c r="F535" s="7" t="s">
        <v>71</v>
      </c>
      <c r="G535" s="7" t="s">
        <v>72</v>
      </c>
      <c r="H535" s="7" t="s">
        <v>135</v>
      </c>
      <c r="I535" s="7" t="s">
        <v>138</v>
      </c>
      <c r="J535" s="8"/>
      <c r="K535" s="8"/>
      <c r="L535" s="8"/>
      <c r="M535" s="8"/>
      <c r="N535" s="8"/>
      <c r="O535" s="8">
        <v>0</v>
      </c>
      <c r="P535" s="8"/>
      <c r="Q535" t="s">
        <v>137</v>
      </c>
    </row>
    <row r="536" spans="1:17" hidden="1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21</v>
      </c>
      <c r="F536" s="7" t="s">
        <v>73</v>
      </c>
      <c r="G536" s="7" t="s">
        <v>74</v>
      </c>
      <c r="H536" s="7" t="s">
        <v>135</v>
      </c>
      <c r="I536" s="7" t="s">
        <v>138</v>
      </c>
      <c r="J536" s="8"/>
      <c r="K536" s="8"/>
      <c r="L536" s="8"/>
      <c r="M536" s="8"/>
      <c r="N536" s="8"/>
      <c r="O536" s="8">
        <v>9.2965823737843571</v>
      </c>
      <c r="P536" s="8"/>
      <c r="Q536" t="s">
        <v>137</v>
      </c>
    </row>
    <row r="537" spans="1:17" hidden="1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21</v>
      </c>
      <c r="F537" s="7" t="s">
        <v>75</v>
      </c>
      <c r="G537" s="7" t="s">
        <v>76</v>
      </c>
      <c r="H537" s="7" t="s">
        <v>135</v>
      </c>
      <c r="I537" s="7" t="s">
        <v>138</v>
      </c>
      <c r="J537" s="8"/>
      <c r="K537" s="8"/>
      <c r="L537" s="8"/>
      <c r="M537" s="8"/>
      <c r="N537" s="8"/>
      <c r="O537" s="8">
        <v>258.6810398070682</v>
      </c>
      <c r="P537" s="8"/>
      <c r="Q537" t="s">
        <v>137</v>
      </c>
    </row>
    <row r="538" spans="1:17" hidden="1" x14ac:dyDescent="0.25">
      <c r="A538" s="7" t="s">
        <v>17</v>
      </c>
      <c r="B538" s="7" t="s">
        <v>18</v>
      </c>
      <c r="C538" s="7" t="s">
        <v>19</v>
      </c>
      <c r="D538" s="7"/>
      <c r="E538" s="7"/>
      <c r="F538" s="7" t="s">
        <v>77</v>
      </c>
      <c r="G538" s="7" t="s">
        <v>78</v>
      </c>
      <c r="H538" s="7" t="s">
        <v>135</v>
      </c>
      <c r="I538" s="7" t="s">
        <v>138</v>
      </c>
      <c r="J538" s="8"/>
      <c r="K538" s="8"/>
      <c r="L538" s="8"/>
      <c r="M538" s="8"/>
      <c r="N538" s="8"/>
      <c r="O538" s="8">
        <v>1.2611399036964455</v>
      </c>
      <c r="P538" s="8"/>
      <c r="Q538" t="s">
        <v>137</v>
      </c>
    </row>
    <row r="539" spans="1:17" hidden="1" x14ac:dyDescent="0.25">
      <c r="A539" s="7" t="s">
        <v>17</v>
      </c>
      <c r="B539" s="7" t="s">
        <v>18</v>
      </c>
      <c r="C539" s="7" t="s">
        <v>19</v>
      </c>
      <c r="D539" s="7"/>
      <c r="E539" s="7"/>
      <c r="F539" s="7" t="s">
        <v>79</v>
      </c>
      <c r="G539" s="7" t="s">
        <v>80</v>
      </c>
      <c r="H539" s="7" t="s">
        <v>135</v>
      </c>
      <c r="I539" s="7" t="s">
        <v>138</v>
      </c>
      <c r="J539" s="8"/>
      <c r="K539" s="8"/>
      <c r="L539" s="8"/>
      <c r="M539" s="8"/>
      <c r="N539" s="8"/>
      <c r="O539" s="8">
        <v>0</v>
      </c>
      <c r="P539" s="8"/>
      <c r="Q539" t="s">
        <v>137</v>
      </c>
    </row>
    <row r="540" spans="1:17" hidden="1" x14ac:dyDescent="0.25">
      <c r="A540" s="7" t="s">
        <v>17</v>
      </c>
      <c r="B540" s="7" t="s">
        <v>18</v>
      </c>
      <c r="C540" s="7" t="s">
        <v>19</v>
      </c>
      <c r="D540" s="7"/>
      <c r="E540" s="7"/>
      <c r="F540" s="7" t="s">
        <v>81</v>
      </c>
      <c r="G540" s="7" t="s">
        <v>82</v>
      </c>
      <c r="H540" s="7" t="s">
        <v>135</v>
      </c>
      <c r="I540" s="7" t="s">
        <v>138</v>
      </c>
      <c r="J540" s="8"/>
      <c r="K540" s="8"/>
      <c r="L540" s="8"/>
      <c r="M540" s="8"/>
      <c r="N540" s="8"/>
      <c r="O540" s="8">
        <v>4.6852694894202935</v>
      </c>
      <c r="P540" s="8"/>
      <c r="Q540" t="s">
        <v>137</v>
      </c>
    </row>
    <row r="541" spans="1:17" hidden="1" x14ac:dyDescent="0.25">
      <c r="A541" s="7" t="s">
        <v>17</v>
      </c>
      <c r="B541" s="7" t="s">
        <v>18</v>
      </c>
      <c r="C541" s="7" t="s">
        <v>19</v>
      </c>
      <c r="D541" s="7"/>
      <c r="E541" s="7"/>
      <c r="F541" s="7" t="s">
        <v>83</v>
      </c>
      <c r="G541" s="7" t="s">
        <v>84</v>
      </c>
      <c r="H541" s="7" t="s">
        <v>135</v>
      </c>
      <c r="I541" s="7" t="s">
        <v>138</v>
      </c>
      <c r="J541" s="8"/>
      <c r="K541" s="8"/>
      <c r="L541" s="8"/>
      <c r="M541" s="8"/>
      <c r="N541" s="8"/>
      <c r="O541" s="8">
        <v>0</v>
      </c>
      <c r="P541" s="8"/>
      <c r="Q541" t="s">
        <v>137</v>
      </c>
    </row>
    <row r="542" spans="1:17" hidden="1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21</v>
      </c>
      <c r="F542" s="7" t="s">
        <v>85</v>
      </c>
      <c r="G542" s="7" t="s">
        <v>86</v>
      </c>
      <c r="H542" s="7" t="s">
        <v>135</v>
      </c>
      <c r="I542" s="7" t="s">
        <v>138</v>
      </c>
      <c r="J542" s="8"/>
      <c r="K542" s="8"/>
      <c r="L542" s="8"/>
      <c r="M542" s="8"/>
      <c r="N542" s="8"/>
      <c r="O542" s="8">
        <v>57.896228627685872</v>
      </c>
      <c r="P542" s="8"/>
      <c r="Q542" t="s">
        <v>137</v>
      </c>
    </row>
    <row r="543" spans="1:17" hidden="1" x14ac:dyDescent="0.25">
      <c r="A543" s="7" t="s">
        <v>17</v>
      </c>
      <c r="B543" s="7" t="s">
        <v>18</v>
      </c>
      <c r="C543" s="7" t="s">
        <v>19</v>
      </c>
      <c r="D543" s="7"/>
      <c r="E543" s="7"/>
      <c r="F543" s="7" t="s">
        <v>87</v>
      </c>
      <c r="G543" s="7" t="s">
        <v>88</v>
      </c>
      <c r="H543" s="7" t="s">
        <v>135</v>
      </c>
      <c r="I543" s="7" t="s">
        <v>138</v>
      </c>
      <c r="J543" s="8"/>
      <c r="K543" s="8"/>
      <c r="L543" s="8"/>
      <c r="M543" s="8"/>
      <c r="N543" s="8"/>
      <c r="O543" s="8">
        <v>4.7939690854743704</v>
      </c>
      <c r="P543" s="8"/>
      <c r="Q543" t="s">
        <v>137</v>
      </c>
    </row>
    <row r="544" spans="1:17" hidden="1" x14ac:dyDescent="0.25">
      <c r="A544" s="7" t="s">
        <v>17</v>
      </c>
      <c r="B544" s="7" t="s">
        <v>18</v>
      </c>
      <c r="C544" s="7" t="s">
        <v>19</v>
      </c>
      <c r="D544" s="7"/>
      <c r="E544" s="7"/>
      <c r="F544" s="7" t="s">
        <v>89</v>
      </c>
      <c r="G544" s="7" t="s">
        <v>90</v>
      </c>
      <c r="H544" s="7" t="s">
        <v>135</v>
      </c>
      <c r="I544" s="7" t="s">
        <v>138</v>
      </c>
      <c r="J544" s="8"/>
      <c r="K544" s="8"/>
      <c r="L544" s="8"/>
      <c r="M544" s="8"/>
      <c r="N544" s="8"/>
      <c r="O544" s="8">
        <v>73.990471301228595</v>
      </c>
      <c r="P544" s="8"/>
      <c r="Q544" t="s">
        <v>137</v>
      </c>
    </row>
    <row r="545" spans="1:17" hidden="1" x14ac:dyDescent="0.25">
      <c r="A545" s="7" t="s">
        <v>17</v>
      </c>
      <c r="B545" s="7" t="s">
        <v>18</v>
      </c>
      <c r="C545" s="7" t="s">
        <v>19</v>
      </c>
      <c r="D545" s="7"/>
      <c r="E545" s="7"/>
      <c r="F545" s="7" t="s">
        <v>91</v>
      </c>
      <c r="G545" s="7" t="s">
        <v>92</v>
      </c>
      <c r="H545" s="7" t="s">
        <v>135</v>
      </c>
      <c r="I545" s="7" t="s">
        <v>138</v>
      </c>
      <c r="J545" s="8"/>
      <c r="K545" s="8"/>
      <c r="L545" s="8"/>
      <c r="M545" s="8"/>
      <c r="N545" s="8"/>
      <c r="O545" s="8">
        <v>0</v>
      </c>
      <c r="P545" s="8"/>
      <c r="Q545" t="s">
        <v>137</v>
      </c>
    </row>
    <row r="546" spans="1:17" hidden="1" x14ac:dyDescent="0.25">
      <c r="A546" s="7" t="s">
        <v>17</v>
      </c>
      <c r="B546" s="7" t="s">
        <v>18</v>
      </c>
      <c r="C546" s="7" t="s">
        <v>19</v>
      </c>
      <c r="D546" s="7"/>
      <c r="E546" s="7"/>
      <c r="F546" s="7" t="s">
        <v>93</v>
      </c>
      <c r="G546" s="7" t="s">
        <v>94</v>
      </c>
      <c r="H546" s="7" t="s">
        <v>135</v>
      </c>
      <c r="I546" s="7" t="s">
        <v>138</v>
      </c>
      <c r="J546" s="8"/>
      <c r="K546" s="8"/>
      <c r="L546" s="8"/>
      <c r="M546" s="8"/>
      <c r="N546" s="8"/>
      <c r="O546" s="8">
        <v>0</v>
      </c>
      <c r="P546" s="8"/>
      <c r="Q546" t="s">
        <v>137</v>
      </c>
    </row>
    <row r="547" spans="1:17" hidden="1" x14ac:dyDescent="0.25">
      <c r="A547" s="7" t="s">
        <v>17</v>
      </c>
      <c r="B547" s="7" t="s">
        <v>18</v>
      </c>
      <c r="C547" s="7" t="s">
        <v>19</v>
      </c>
      <c r="D547" s="7"/>
      <c r="E547" s="7"/>
      <c r="F547" s="7" t="s">
        <v>95</v>
      </c>
      <c r="G547" s="7" t="s">
        <v>96</v>
      </c>
      <c r="H547" s="7" t="s">
        <v>135</v>
      </c>
      <c r="I547" s="7" t="s">
        <v>138</v>
      </c>
      <c r="J547" s="8"/>
      <c r="K547" s="8"/>
      <c r="L547" s="8"/>
      <c r="M547" s="8"/>
      <c r="N547" s="8"/>
      <c r="O547" s="8">
        <v>2.5985721408159472</v>
      </c>
      <c r="P547" s="8"/>
      <c r="Q547" t="s">
        <v>137</v>
      </c>
    </row>
    <row r="548" spans="1:17" hidden="1" x14ac:dyDescent="0.25">
      <c r="A548" s="7" t="s">
        <v>17</v>
      </c>
      <c r="B548" s="7" t="s">
        <v>18</v>
      </c>
      <c r="C548" s="7" t="s">
        <v>19</v>
      </c>
      <c r="D548" s="7"/>
      <c r="E548" s="7"/>
      <c r="F548" s="7" t="s">
        <v>97</v>
      </c>
      <c r="G548" s="7" t="s">
        <v>98</v>
      </c>
      <c r="H548" s="7" t="s">
        <v>135</v>
      </c>
      <c r="I548" s="7" t="s">
        <v>138</v>
      </c>
      <c r="J548" s="8"/>
      <c r="K548" s="8"/>
      <c r="L548" s="8"/>
      <c r="M548" s="8"/>
      <c r="N548" s="8"/>
      <c r="O548" s="8">
        <v>4.1536692616703199</v>
      </c>
      <c r="P548" s="8"/>
      <c r="Q548" t="s">
        <v>137</v>
      </c>
    </row>
    <row r="549" spans="1:17" hidden="1" x14ac:dyDescent="0.25">
      <c r="A549" s="7" t="s">
        <v>17</v>
      </c>
      <c r="B549" s="7" t="s">
        <v>18</v>
      </c>
      <c r="C549" s="7" t="s">
        <v>19</v>
      </c>
      <c r="D549" s="7"/>
      <c r="E549" s="7"/>
      <c r="F549" s="7" t="s">
        <v>99</v>
      </c>
      <c r="G549" s="7" t="s">
        <v>100</v>
      </c>
      <c r="H549" s="7" t="s">
        <v>135</v>
      </c>
      <c r="I549" s="7" t="s">
        <v>138</v>
      </c>
      <c r="J549" s="8"/>
      <c r="K549" s="8"/>
      <c r="L549" s="8"/>
      <c r="M549" s="8"/>
      <c r="N549" s="8"/>
      <c r="O549" s="8">
        <v>135.22237028387147</v>
      </c>
      <c r="P549" s="8"/>
      <c r="Q549" t="s">
        <v>137</v>
      </c>
    </row>
    <row r="550" spans="1:17" hidden="1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21</v>
      </c>
      <c r="F550" s="7" t="s">
        <v>101</v>
      </c>
      <c r="G550" s="7" t="s">
        <v>21</v>
      </c>
      <c r="H550" s="7" t="s">
        <v>135</v>
      </c>
      <c r="I550" s="7" t="s">
        <v>138</v>
      </c>
      <c r="J550" s="8"/>
      <c r="K550" s="8"/>
      <c r="L550" s="8"/>
      <c r="M550" s="8"/>
      <c r="N550" s="8"/>
      <c r="O550" s="8">
        <v>656.56427494360855</v>
      </c>
      <c r="P550" s="8"/>
      <c r="Q550" t="s">
        <v>137</v>
      </c>
    </row>
    <row r="551" spans="1:17" hidden="1" x14ac:dyDescent="0.25">
      <c r="A551" s="7" t="s">
        <v>17</v>
      </c>
      <c r="B551" s="7" t="s">
        <v>18</v>
      </c>
      <c r="C551" s="7" t="s">
        <v>19</v>
      </c>
      <c r="D551" s="7"/>
      <c r="E551" s="7"/>
      <c r="F551" s="7" t="s">
        <v>102</v>
      </c>
      <c r="G551" s="7" t="s">
        <v>103</v>
      </c>
      <c r="H551" s="7" t="s">
        <v>135</v>
      </c>
      <c r="I551" s="7" t="s">
        <v>138</v>
      </c>
      <c r="J551" s="8"/>
      <c r="K551" s="8"/>
      <c r="L551" s="8"/>
      <c r="M551" s="8"/>
      <c r="N551" s="8"/>
      <c r="O551" s="8">
        <v>11.895025664352826</v>
      </c>
      <c r="P551" s="8"/>
      <c r="Q551" t="s">
        <v>137</v>
      </c>
    </row>
    <row r="552" spans="1:17" hidden="1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21</v>
      </c>
      <c r="F552" s="7" t="s">
        <v>104</v>
      </c>
      <c r="G552" s="7" t="s">
        <v>105</v>
      </c>
      <c r="H552" s="7" t="s">
        <v>135</v>
      </c>
      <c r="I552" s="7" t="s">
        <v>138</v>
      </c>
      <c r="J552" s="8"/>
      <c r="K552" s="8"/>
      <c r="L552" s="8"/>
      <c r="M552" s="8"/>
      <c r="N552" s="8"/>
      <c r="O552" s="8">
        <v>6.1161254194934083</v>
      </c>
      <c r="P552" s="8"/>
      <c r="Q552" t="s">
        <v>137</v>
      </c>
    </row>
    <row r="553" spans="1:17" hidden="1" x14ac:dyDescent="0.25">
      <c r="A553" s="7" t="s">
        <v>17</v>
      </c>
      <c r="B553" s="7" t="s">
        <v>18</v>
      </c>
      <c r="C553" s="7" t="s">
        <v>19</v>
      </c>
      <c r="D553" s="7"/>
      <c r="E553" s="7"/>
      <c r="F553" s="7" t="s">
        <v>106</v>
      </c>
      <c r="G553" s="7" t="s">
        <v>107</v>
      </c>
      <c r="H553" s="7" t="s">
        <v>135</v>
      </c>
      <c r="I553" s="7" t="s">
        <v>138</v>
      </c>
      <c r="J553" s="8"/>
      <c r="K553" s="8"/>
      <c r="L553" s="8"/>
      <c r="M553" s="8"/>
      <c r="N553" s="8"/>
      <c r="O553" s="8">
        <v>3.6759192539544387</v>
      </c>
      <c r="P553" s="8"/>
      <c r="Q553" t="s">
        <v>137</v>
      </c>
    </row>
    <row r="554" spans="1:17" hidden="1" x14ac:dyDescent="0.25">
      <c r="A554" s="7" t="s">
        <v>17</v>
      </c>
      <c r="B554" s="7" t="s">
        <v>18</v>
      </c>
      <c r="C554" s="7" t="s">
        <v>19</v>
      </c>
      <c r="D554" s="7"/>
      <c r="E554" s="7"/>
      <c r="F554" s="7" t="s">
        <v>108</v>
      </c>
      <c r="G554" s="7" t="s">
        <v>109</v>
      </c>
      <c r="H554" s="7" t="s">
        <v>135</v>
      </c>
      <c r="I554" s="7" t="s">
        <v>138</v>
      </c>
      <c r="J554" s="8"/>
      <c r="K554" s="8"/>
      <c r="L554" s="8"/>
      <c r="M554" s="8"/>
      <c r="N554" s="8"/>
      <c r="O554" s="8">
        <v>0.24150172583199414</v>
      </c>
      <c r="P554" s="8"/>
      <c r="Q554" t="s">
        <v>137</v>
      </c>
    </row>
    <row r="555" spans="1:17" hidden="1" x14ac:dyDescent="0.25">
      <c r="A555" s="7" t="s">
        <v>17</v>
      </c>
      <c r="B555" s="7" t="s">
        <v>18</v>
      </c>
      <c r="C555" s="7" t="s">
        <v>19</v>
      </c>
      <c r="D555" s="7"/>
      <c r="E555" s="7"/>
      <c r="F555" s="7" t="s">
        <v>110</v>
      </c>
      <c r="G555" s="7" t="s">
        <v>111</v>
      </c>
      <c r="H555" s="7" t="s">
        <v>135</v>
      </c>
      <c r="I555" s="7" t="s">
        <v>138</v>
      </c>
      <c r="J555" s="8"/>
      <c r="K555" s="8"/>
      <c r="L555" s="8"/>
      <c r="M555" s="8"/>
      <c r="N555" s="8"/>
      <c r="O555" s="8">
        <v>34.793830462219908</v>
      </c>
      <c r="P555" s="8"/>
      <c r="Q555" t="s">
        <v>137</v>
      </c>
    </row>
    <row r="556" spans="1:17" hidden="1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21</v>
      </c>
      <c r="F556" s="7" t="s">
        <v>112</v>
      </c>
      <c r="G556" s="7" t="s">
        <v>113</v>
      </c>
      <c r="H556" s="7" t="s">
        <v>135</v>
      </c>
      <c r="I556" s="7" t="s">
        <v>138</v>
      </c>
      <c r="J556" s="8"/>
      <c r="K556" s="8"/>
      <c r="L556" s="8"/>
      <c r="M556" s="8"/>
      <c r="N556" s="8"/>
      <c r="O556" s="8">
        <v>0</v>
      </c>
      <c r="P556" s="8"/>
      <c r="Q556" t="s">
        <v>137</v>
      </c>
    </row>
    <row r="557" spans="1:17" hidden="1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21</v>
      </c>
      <c r="F557" s="7" t="s">
        <v>114</v>
      </c>
      <c r="G557" s="7" t="s">
        <v>115</v>
      </c>
      <c r="H557" s="7" t="s">
        <v>135</v>
      </c>
      <c r="I557" s="7" t="s">
        <v>138</v>
      </c>
      <c r="J557" s="8"/>
      <c r="K557" s="8"/>
      <c r="L557" s="8"/>
      <c r="M557" s="8"/>
      <c r="N557" s="8"/>
      <c r="O557" s="8">
        <v>200.20064100377652</v>
      </c>
      <c r="P557" s="8"/>
      <c r="Q557" t="s">
        <v>137</v>
      </c>
    </row>
    <row r="558" spans="1:17" hidden="1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21</v>
      </c>
      <c r="F558" s="7" t="s">
        <v>116</v>
      </c>
      <c r="G558" s="7" t="s">
        <v>117</v>
      </c>
      <c r="H558" s="7" t="s">
        <v>135</v>
      </c>
      <c r="I558" s="7" t="s">
        <v>138</v>
      </c>
      <c r="J558" s="8"/>
      <c r="K558" s="8"/>
      <c r="L558" s="8"/>
      <c r="M558" s="8"/>
      <c r="N558" s="8"/>
      <c r="O558" s="8">
        <v>7.9461503634575879</v>
      </c>
      <c r="P558" s="8"/>
      <c r="Q558" t="s">
        <v>137</v>
      </c>
    </row>
    <row r="559" spans="1:17" hidden="1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21</v>
      </c>
      <c r="F559" s="7" t="s">
        <v>118</v>
      </c>
      <c r="G559" s="7" t="s">
        <v>119</v>
      </c>
      <c r="H559" s="7" t="s">
        <v>135</v>
      </c>
      <c r="I559" s="7" t="s">
        <v>138</v>
      </c>
      <c r="J559" s="8"/>
      <c r="K559" s="8"/>
      <c r="L559" s="8"/>
      <c r="M559" s="8"/>
      <c r="N559" s="8"/>
      <c r="O559" s="8">
        <v>101.45478561568243</v>
      </c>
      <c r="P559" s="8"/>
      <c r="Q559" t="s">
        <v>137</v>
      </c>
    </row>
    <row r="560" spans="1:17" hidden="1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21</v>
      </c>
      <c r="F560" s="7" t="s">
        <v>120</v>
      </c>
      <c r="G560" s="7" t="s">
        <v>121</v>
      </c>
      <c r="H560" s="7" t="s">
        <v>135</v>
      </c>
      <c r="I560" s="7" t="s">
        <v>138</v>
      </c>
      <c r="J560" s="8"/>
      <c r="K560" s="8"/>
      <c r="L560" s="8"/>
      <c r="M560" s="8"/>
      <c r="N560" s="8"/>
      <c r="O560" s="8">
        <v>26.784525097412885</v>
      </c>
      <c r="P560" s="8"/>
      <c r="Q560" t="s">
        <v>137</v>
      </c>
    </row>
    <row r="561" spans="1:17" hidden="1" x14ac:dyDescent="0.25">
      <c r="A561" s="7" t="s">
        <v>17</v>
      </c>
      <c r="B561" s="7" t="s">
        <v>18</v>
      </c>
      <c r="C561" s="7" t="s">
        <v>19</v>
      </c>
      <c r="D561" s="7"/>
      <c r="E561" s="7"/>
      <c r="F561" s="7" t="s">
        <v>122</v>
      </c>
      <c r="G561" s="7" t="s">
        <v>123</v>
      </c>
      <c r="H561" s="7" t="s">
        <v>135</v>
      </c>
      <c r="I561" s="7" t="s">
        <v>138</v>
      </c>
      <c r="J561" s="8"/>
      <c r="K561" s="8"/>
      <c r="L561" s="8"/>
      <c r="M561" s="8"/>
      <c r="N561" s="8"/>
      <c r="O561" s="8">
        <v>3.7958750030844484</v>
      </c>
      <c r="P561" s="8"/>
      <c r="Q561" t="s">
        <v>137</v>
      </c>
    </row>
    <row r="562" spans="1:17" hidden="1" x14ac:dyDescent="0.25">
      <c r="A562" s="7" t="s">
        <v>17</v>
      </c>
      <c r="B562" s="7" t="s">
        <v>18</v>
      </c>
      <c r="C562" s="7" t="s">
        <v>19</v>
      </c>
      <c r="D562" s="7"/>
      <c r="E562" s="7"/>
      <c r="F562" s="7" t="s">
        <v>124</v>
      </c>
      <c r="G562" s="7" t="s">
        <v>125</v>
      </c>
      <c r="H562" s="7" t="s">
        <v>135</v>
      </c>
      <c r="I562" s="7" t="s">
        <v>138</v>
      </c>
      <c r="J562" s="8"/>
      <c r="K562" s="8"/>
      <c r="L562" s="8"/>
      <c r="M562" s="8"/>
      <c r="N562" s="8"/>
      <c r="O562" s="8">
        <v>4.4006838049014174</v>
      </c>
      <c r="P562" s="8"/>
      <c r="Q562" t="s">
        <v>137</v>
      </c>
    </row>
    <row r="563" spans="1:17" hidden="1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21</v>
      </c>
      <c r="F563" s="7" t="s">
        <v>22</v>
      </c>
      <c r="G563" s="7" t="s">
        <v>23</v>
      </c>
      <c r="H563" s="7" t="s">
        <v>139</v>
      </c>
      <c r="I563" s="7" t="s">
        <v>140</v>
      </c>
      <c r="J563" s="8">
        <v>0</v>
      </c>
      <c r="K563" s="8">
        <v>0</v>
      </c>
      <c r="L563" s="8"/>
      <c r="M563" s="8"/>
      <c r="N563" s="8"/>
      <c r="O563" s="8"/>
      <c r="P563" s="8"/>
      <c r="Q563" t="s">
        <v>26</v>
      </c>
    </row>
    <row r="564" spans="1:17" hidden="1" x14ac:dyDescent="0.25">
      <c r="A564" s="7" t="s">
        <v>17</v>
      </c>
      <c r="B564" s="7" t="s">
        <v>18</v>
      </c>
      <c r="C564" s="7" t="s">
        <v>19</v>
      </c>
      <c r="D564" s="7"/>
      <c r="E564" s="7"/>
      <c r="F564" s="7" t="s">
        <v>27</v>
      </c>
      <c r="G564" s="7" t="s">
        <v>28</v>
      </c>
      <c r="H564" s="7" t="s">
        <v>139</v>
      </c>
      <c r="I564" s="7" t="s">
        <v>140</v>
      </c>
      <c r="J564" s="8">
        <v>0</v>
      </c>
      <c r="K564" s="8">
        <v>0</v>
      </c>
      <c r="L564" s="8"/>
      <c r="M564" s="8"/>
      <c r="N564" s="8"/>
      <c r="O564" s="8"/>
      <c r="P564" s="8"/>
      <c r="Q564" t="s">
        <v>26</v>
      </c>
    </row>
    <row r="565" spans="1:17" hidden="1" x14ac:dyDescent="0.25">
      <c r="A565" s="7" t="s">
        <v>17</v>
      </c>
      <c r="B565" s="7" t="s">
        <v>18</v>
      </c>
      <c r="C565" s="7" t="s">
        <v>19</v>
      </c>
      <c r="D565" s="7"/>
      <c r="E565" s="7"/>
      <c r="F565" s="7" t="s">
        <v>29</v>
      </c>
      <c r="G565" s="7" t="s">
        <v>30</v>
      </c>
      <c r="H565" s="7" t="s">
        <v>139</v>
      </c>
      <c r="I565" s="7" t="s">
        <v>140</v>
      </c>
      <c r="J565" s="8">
        <v>0</v>
      </c>
      <c r="K565" s="8">
        <v>0</v>
      </c>
      <c r="L565" s="8"/>
      <c r="M565" s="8"/>
      <c r="N565" s="8"/>
      <c r="O565" s="8"/>
      <c r="P565" s="8"/>
      <c r="Q565" t="s">
        <v>26</v>
      </c>
    </row>
    <row r="566" spans="1:17" hidden="1" x14ac:dyDescent="0.25">
      <c r="A566" s="7" t="s">
        <v>17</v>
      </c>
      <c r="B566" s="7" t="s">
        <v>18</v>
      </c>
      <c r="C566" s="7" t="s">
        <v>19</v>
      </c>
      <c r="D566" s="7"/>
      <c r="E566" s="7"/>
      <c r="F566" s="7" t="s">
        <v>31</v>
      </c>
      <c r="G566" s="7" t="s">
        <v>32</v>
      </c>
      <c r="H566" s="7" t="s">
        <v>139</v>
      </c>
      <c r="I566" s="7" t="s">
        <v>140</v>
      </c>
      <c r="J566" s="8">
        <v>0</v>
      </c>
      <c r="K566" s="8">
        <v>0</v>
      </c>
      <c r="L566" s="8"/>
      <c r="M566" s="8"/>
      <c r="N566" s="8"/>
      <c r="O566" s="8"/>
      <c r="P566" s="8"/>
      <c r="Q566" t="s">
        <v>26</v>
      </c>
    </row>
    <row r="567" spans="1:17" hidden="1" x14ac:dyDescent="0.25">
      <c r="A567" s="7" t="s">
        <v>17</v>
      </c>
      <c r="B567" s="7" t="s">
        <v>18</v>
      </c>
      <c r="C567" s="7" t="s">
        <v>19</v>
      </c>
      <c r="D567" s="7"/>
      <c r="E567" s="7"/>
      <c r="F567" s="7" t="s">
        <v>33</v>
      </c>
      <c r="G567" s="7" t="s">
        <v>34</v>
      </c>
      <c r="H567" s="7" t="s">
        <v>139</v>
      </c>
      <c r="I567" s="7" t="s">
        <v>140</v>
      </c>
      <c r="J567" s="8">
        <v>0</v>
      </c>
      <c r="K567" s="8">
        <v>0</v>
      </c>
      <c r="L567" s="8"/>
      <c r="M567" s="8"/>
      <c r="N567" s="8"/>
      <c r="O567" s="8"/>
      <c r="P567" s="8"/>
      <c r="Q567" t="s">
        <v>26</v>
      </c>
    </row>
    <row r="568" spans="1:17" hidden="1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21</v>
      </c>
      <c r="F568" s="7" t="s">
        <v>35</v>
      </c>
      <c r="G568" s="7" t="s">
        <v>36</v>
      </c>
      <c r="H568" s="7" t="s">
        <v>139</v>
      </c>
      <c r="I568" s="7" t="s">
        <v>140</v>
      </c>
      <c r="J568" s="8">
        <v>0</v>
      </c>
      <c r="K568" s="8">
        <v>0</v>
      </c>
      <c r="L568" s="8"/>
      <c r="M568" s="8"/>
      <c r="N568" s="8"/>
      <c r="O568" s="8"/>
      <c r="P568" s="8"/>
      <c r="Q568" t="s">
        <v>26</v>
      </c>
    </row>
    <row r="569" spans="1:17" hidden="1" x14ac:dyDescent="0.25">
      <c r="A569" s="7" t="s">
        <v>17</v>
      </c>
      <c r="B569" s="7" t="s">
        <v>18</v>
      </c>
      <c r="C569" s="7" t="s">
        <v>19</v>
      </c>
      <c r="D569" s="7"/>
      <c r="E569" s="7"/>
      <c r="F569" s="7" t="s">
        <v>37</v>
      </c>
      <c r="G569" s="7" t="s">
        <v>38</v>
      </c>
      <c r="H569" s="7" t="s">
        <v>139</v>
      </c>
      <c r="I569" s="7" t="s">
        <v>140</v>
      </c>
      <c r="J569" s="8">
        <v>200.2034679370523</v>
      </c>
      <c r="K569" s="8">
        <v>20.020346793705233</v>
      </c>
      <c r="L569" s="8"/>
      <c r="M569" s="8"/>
      <c r="N569" s="8"/>
      <c r="O569" s="8"/>
      <c r="P569" s="8"/>
      <c r="Q569" t="s">
        <v>26</v>
      </c>
    </row>
    <row r="570" spans="1:17" hidden="1" x14ac:dyDescent="0.25">
      <c r="A570" s="7" t="s">
        <v>17</v>
      </c>
      <c r="B570" s="7" t="s">
        <v>18</v>
      </c>
      <c r="C570" s="7" t="s">
        <v>19</v>
      </c>
      <c r="D570" s="7"/>
      <c r="E570" s="7"/>
      <c r="F570" s="7" t="s">
        <v>39</v>
      </c>
      <c r="G570" s="7" t="s">
        <v>40</v>
      </c>
      <c r="H570" s="7" t="s">
        <v>139</v>
      </c>
      <c r="I570" s="7" t="s">
        <v>140</v>
      </c>
      <c r="J570" s="8">
        <v>0</v>
      </c>
      <c r="K570" s="8">
        <v>0</v>
      </c>
      <c r="L570" s="8"/>
      <c r="M570" s="8"/>
      <c r="N570" s="8"/>
      <c r="O570" s="8"/>
      <c r="P570" s="8"/>
      <c r="Q570" t="s">
        <v>26</v>
      </c>
    </row>
    <row r="571" spans="1:17" hidden="1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21</v>
      </c>
      <c r="F571" s="7" t="s">
        <v>41</v>
      </c>
      <c r="G571" s="7" t="s">
        <v>42</v>
      </c>
      <c r="H571" s="7" t="s">
        <v>139</v>
      </c>
      <c r="I571" s="7" t="s">
        <v>140</v>
      </c>
      <c r="J571" s="8">
        <v>0</v>
      </c>
      <c r="K571" s="8">
        <v>0</v>
      </c>
      <c r="L571" s="8"/>
      <c r="M571" s="8"/>
      <c r="N571" s="8"/>
      <c r="O571" s="8"/>
      <c r="P571" s="8"/>
      <c r="Q571" t="s">
        <v>26</v>
      </c>
    </row>
    <row r="572" spans="1:17" hidden="1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21</v>
      </c>
      <c r="F572" s="7" t="s">
        <v>43</v>
      </c>
      <c r="G572" s="7" t="s">
        <v>44</v>
      </c>
      <c r="H572" s="7" t="s">
        <v>139</v>
      </c>
      <c r="I572" s="7" t="s">
        <v>140</v>
      </c>
      <c r="J572" s="8">
        <v>0</v>
      </c>
      <c r="K572" s="8">
        <v>0</v>
      </c>
      <c r="L572" s="8"/>
      <c r="M572" s="8"/>
      <c r="N572" s="8"/>
      <c r="O572" s="8"/>
      <c r="P572" s="8"/>
      <c r="Q572" t="s">
        <v>26</v>
      </c>
    </row>
    <row r="573" spans="1:17" hidden="1" x14ac:dyDescent="0.25">
      <c r="A573" s="7" t="s">
        <v>17</v>
      </c>
      <c r="B573" s="7" t="s">
        <v>18</v>
      </c>
      <c r="C573" s="7" t="s">
        <v>19</v>
      </c>
      <c r="D573" s="7"/>
      <c r="E573" s="7"/>
      <c r="F573" s="7" t="s">
        <v>45</v>
      </c>
      <c r="G573" s="7" t="s">
        <v>46</v>
      </c>
      <c r="H573" s="7" t="s">
        <v>139</v>
      </c>
      <c r="I573" s="7" t="s">
        <v>140</v>
      </c>
      <c r="J573" s="8">
        <v>10.092799324258532</v>
      </c>
      <c r="K573" s="8">
        <v>1.0092799324258532</v>
      </c>
      <c r="L573" s="8"/>
      <c r="M573" s="8"/>
      <c r="N573" s="8"/>
      <c r="O573" s="8"/>
      <c r="P573" s="8"/>
      <c r="Q573" t="s">
        <v>26</v>
      </c>
    </row>
    <row r="574" spans="1:17" hidden="1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21</v>
      </c>
      <c r="F574" s="7" t="s">
        <v>47</v>
      </c>
      <c r="G574" s="7" t="s">
        <v>48</v>
      </c>
      <c r="H574" s="7" t="s">
        <v>139</v>
      </c>
      <c r="I574" s="7" t="s">
        <v>140</v>
      </c>
      <c r="J574" s="8">
        <v>0</v>
      </c>
      <c r="K574" s="8">
        <v>0</v>
      </c>
      <c r="L574" s="8"/>
      <c r="M574" s="8"/>
      <c r="N574" s="8"/>
      <c r="O574" s="8"/>
      <c r="P574" s="8"/>
      <c r="Q574" t="s">
        <v>26</v>
      </c>
    </row>
    <row r="575" spans="1:17" hidden="1" x14ac:dyDescent="0.25">
      <c r="A575" s="7" t="s">
        <v>17</v>
      </c>
      <c r="B575" s="7" t="s">
        <v>18</v>
      </c>
      <c r="C575" s="7" t="s">
        <v>19</v>
      </c>
      <c r="D575" s="7"/>
      <c r="E575" s="7"/>
      <c r="F575" s="7" t="s">
        <v>49</v>
      </c>
      <c r="G575" s="7" t="s">
        <v>50</v>
      </c>
      <c r="H575" s="7" t="s">
        <v>139</v>
      </c>
      <c r="I575" s="7" t="s">
        <v>140</v>
      </c>
      <c r="J575" s="8">
        <v>0</v>
      </c>
      <c r="K575" s="8">
        <v>0</v>
      </c>
      <c r="L575" s="8"/>
      <c r="M575" s="8"/>
      <c r="N575" s="8"/>
      <c r="O575" s="8"/>
      <c r="P575" s="8"/>
      <c r="Q575" t="s">
        <v>26</v>
      </c>
    </row>
    <row r="576" spans="1:17" hidden="1" x14ac:dyDescent="0.25">
      <c r="A576" s="7" t="s">
        <v>17</v>
      </c>
      <c r="B576" s="7" t="s">
        <v>18</v>
      </c>
      <c r="C576" s="7" t="s">
        <v>19</v>
      </c>
      <c r="D576" s="7"/>
      <c r="E576" s="7"/>
      <c r="F576" s="7" t="s">
        <v>51</v>
      </c>
      <c r="G576" s="7" t="s">
        <v>52</v>
      </c>
      <c r="H576" s="7" t="s">
        <v>139</v>
      </c>
      <c r="I576" s="7" t="s">
        <v>140</v>
      </c>
      <c r="J576" s="8">
        <v>0</v>
      </c>
      <c r="K576" s="8">
        <v>0</v>
      </c>
      <c r="L576" s="8"/>
      <c r="M576" s="8"/>
      <c r="N576" s="8"/>
      <c r="O576" s="8"/>
      <c r="P576" s="8"/>
      <c r="Q576" t="s">
        <v>26</v>
      </c>
    </row>
    <row r="577" spans="1:17" hidden="1" x14ac:dyDescent="0.25">
      <c r="A577" s="7" t="s">
        <v>17</v>
      </c>
      <c r="B577" s="7" t="s">
        <v>18</v>
      </c>
      <c r="C577" s="7" t="s">
        <v>19</v>
      </c>
      <c r="D577" s="7"/>
      <c r="E577" s="7"/>
      <c r="F577" s="7" t="s">
        <v>53</v>
      </c>
      <c r="G577" s="7" t="s">
        <v>54</v>
      </c>
      <c r="H577" s="7" t="s">
        <v>139</v>
      </c>
      <c r="I577" s="7" t="s">
        <v>140</v>
      </c>
      <c r="J577" s="8">
        <v>0</v>
      </c>
      <c r="K577" s="8">
        <v>0</v>
      </c>
      <c r="L577" s="8"/>
      <c r="M577" s="8"/>
      <c r="N577" s="8"/>
      <c r="O577" s="8"/>
      <c r="P577" s="8"/>
      <c r="Q577" t="s">
        <v>26</v>
      </c>
    </row>
    <row r="578" spans="1:17" hidden="1" x14ac:dyDescent="0.25">
      <c r="A578" s="7" t="s">
        <v>17</v>
      </c>
      <c r="B578" s="7" t="s">
        <v>18</v>
      </c>
      <c r="C578" s="7" t="s">
        <v>19</v>
      </c>
      <c r="D578" s="7"/>
      <c r="E578" s="7"/>
      <c r="F578" s="7" t="s">
        <v>55</v>
      </c>
      <c r="G578" s="7" t="s">
        <v>56</v>
      </c>
      <c r="H578" s="7" t="s">
        <v>139</v>
      </c>
      <c r="I578" s="7" t="s">
        <v>140</v>
      </c>
      <c r="J578" s="8">
        <v>0</v>
      </c>
      <c r="K578" s="8">
        <v>0</v>
      </c>
      <c r="L578" s="8"/>
      <c r="M578" s="8"/>
      <c r="N578" s="8"/>
      <c r="O578" s="8"/>
      <c r="P578" s="8"/>
      <c r="Q578" t="s">
        <v>26</v>
      </c>
    </row>
    <row r="579" spans="1:17" hidden="1" x14ac:dyDescent="0.25">
      <c r="A579" s="7" t="s">
        <v>17</v>
      </c>
      <c r="B579" s="7" t="s">
        <v>18</v>
      </c>
      <c r="C579" s="7" t="s">
        <v>19</v>
      </c>
      <c r="D579" s="7"/>
      <c r="E579" s="7"/>
      <c r="F579" s="7" t="s">
        <v>57</v>
      </c>
      <c r="G579" s="7" t="s">
        <v>58</v>
      </c>
      <c r="H579" s="7" t="s">
        <v>139</v>
      </c>
      <c r="I579" s="7" t="s">
        <v>140</v>
      </c>
      <c r="J579" s="8">
        <v>0</v>
      </c>
      <c r="K579" s="8">
        <v>0</v>
      </c>
      <c r="L579" s="8"/>
      <c r="M579" s="8"/>
      <c r="N579" s="8"/>
      <c r="O579" s="8"/>
      <c r="P579" s="8"/>
      <c r="Q579" t="s">
        <v>26</v>
      </c>
    </row>
    <row r="580" spans="1:17" hidden="1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21</v>
      </c>
      <c r="F580" s="7" t="s">
        <v>59</v>
      </c>
      <c r="G580" s="7" t="s">
        <v>60</v>
      </c>
      <c r="H580" s="7" t="s">
        <v>139</v>
      </c>
      <c r="I580" s="7" t="s">
        <v>140</v>
      </c>
      <c r="J580" s="8">
        <v>0</v>
      </c>
      <c r="K580" s="8">
        <v>0</v>
      </c>
      <c r="L580" s="8"/>
      <c r="M580" s="8"/>
      <c r="N580" s="8"/>
      <c r="O580" s="8"/>
      <c r="P580" s="8"/>
      <c r="Q580" t="s">
        <v>26</v>
      </c>
    </row>
    <row r="581" spans="1:17" hidden="1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21</v>
      </c>
      <c r="F581" s="7" t="s">
        <v>61</v>
      </c>
      <c r="G581" s="7" t="s">
        <v>62</v>
      </c>
      <c r="H581" s="7" t="s">
        <v>139</v>
      </c>
      <c r="I581" s="7" t="s">
        <v>140</v>
      </c>
      <c r="J581" s="8">
        <v>0</v>
      </c>
      <c r="K581" s="8">
        <v>0</v>
      </c>
      <c r="L581" s="8"/>
      <c r="M581" s="8"/>
      <c r="N581" s="8"/>
      <c r="O581" s="8"/>
      <c r="P581" s="8"/>
      <c r="Q581" t="s">
        <v>26</v>
      </c>
    </row>
    <row r="582" spans="1:17" hidden="1" x14ac:dyDescent="0.25">
      <c r="A582" s="7" t="s">
        <v>17</v>
      </c>
      <c r="B582" s="7" t="s">
        <v>18</v>
      </c>
      <c r="C582" s="7" t="s">
        <v>19</v>
      </c>
      <c r="D582" s="7"/>
      <c r="E582" s="7"/>
      <c r="F582" s="7" t="s">
        <v>63</v>
      </c>
      <c r="G582" s="7" t="s">
        <v>64</v>
      </c>
      <c r="H582" s="7" t="s">
        <v>139</v>
      </c>
      <c r="I582" s="7" t="s">
        <v>140</v>
      </c>
      <c r="J582" s="8">
        <v>47.961349829419312</v>
      </c>
      <c r="K582" s="8">
        <v>4.7961349829419309</v>
      </c>
      <c r="L582" s="8"/>
      <c r="M582" s="8"/>
      <c r="N582" s="8"/>
      <c r="O582" s="8"/>
      <c r="P582" s="8"/>
      <c r="Q582" t="s">
        <v>26</v>
      </c>
    </row>
    <row r="583" spans="1:17" hidden="1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21</v>
      </c>
      <c r="F583" s="7" t="s">
        <v>65</v>
      </c>
      <c r="G583" s="7" t="s">
        <v>66</v>
      </c>
      <c r="H583" s="7" t="s">
        <v>139</v>
      </c>
      <c r="I583" s="7" t="s">
        <v>140</v>
      </c>
      <c r="J583" s="8">
        <v>83.394875592562983</v>
      </c>
      <c r="K583" s="8">
        <v>8.3394875592562983</v>
      </c>
      <c r="L583" s="8"/>
      <c r="M583" s="8"/>
      <c r="N583" s="8"/>
      <c r="O583" s="8"/>
      <c r="P583" s="8"/>
      <c r="Q583" t="s">
        <v>26</v>
      </c>
    </row>
    <row r="584" spans="1:17" hidden="1" x14ac:dyDescent="0.25">
      <c r="A584" s="7" t="s">
        <v>17</v>
      </c>
      <c r="B584" s="7" t="s">
        <v>18</v>
      </c>
      <c r="C584" s="7" t="s">
        <v>19</v>
      </c>
      <c r="D584" s="7"/>
      <c r="E584" s="7"/>
      <c r="F584" s="7" t="s">
        <v>67</v>
      </c>
      <c r="G584" s="7" t="s">
        <v>68</v>
      </c>
      <c r="H584" s="7" t="s">
        <v>139</v>
      </c>
      <c r="I584" s="7" t="s">
        <v>140</v>
      </c>
      <c r="J584" s="8">
        <v>0</v>
      </c>
      <c r="K584" s="8">
        <v>0</v>
      </c>
      <c r="L584" s="8"/>
      <c r="M584" s="8"/>
      <c r="N584" s="8"/>
      <c r="O584" s="8"/>
      <c r="P584" s="8"/>
      <c r="Q584" t="s">
        <v>26</v>
      </c>
    </row>
    <row r="585" spans="1:17" hidden="1" x14ac:dyDescent="0.25">
      <c r="A585" s="7" t="s">
        <v>17</v>
      </c>
      <c r="B585" s="7" t="s">
        <v>18</v>
      </c>
      <c r="C585" s="7" t="s">
        <v>19</v>
      </c>
      <c r="D585" s="7"/>
      <c r="E585" s="7"/>
      <c r="F585" s="7" t="s">
        <v>69</v>
      </c>
      <c r="G585" s="7" t="s">
        <v>70</v>
      </c>
      <c r="H585" s="7" t="s">
        <v>139</v>
      </c>
      <c r="I585" s="7" t="s">
        <v>140</v>
      </c>
      <c r="J585" s="8">
        <v>198.62099763639716</v>
      </c>
      <c r="K585" s="8">
        <v>19.862099763639719</v>
      </c>
      <c r="L585" s="8"/>
      <c r="M585" s="8"/>
      <c r="N585" s="8"/>
      <c r="O585" s="8"/>
      <c r="P585" s="8"/>
      <c r="Q585" t="s">
        <v>26</v>
      </c>
    </row>
    <row r="586" spans="1:17" hidden="1" x14ac:dyDescent="0.25">
      <c r="A586" s="7" t="s">
        <v>17</v>
      </c>
      <c r="B586" s="7" t="s">
        <v>18</v>
      </c>
      <c r="C586" s="7" t="s">
        <v>19</v>
      </c>
      <c r="D586" s="7"/>
      <c r="E586" s="7"/>
      <c r="F586" s="7" t="s">
        <v>71</v>
      </c>
      <c r="G586" s="7" t="s">
        <v>72</v>
      </c>
      <c r="H586" s="7" t="s">
        <v>139</v>
      </c>
      <c r="I586" s="7" t="s">
        <v>140</v>
      </c>
      <c r="J586" s="8">
        <v>0</v>
      </c>
      <c r="K586" s="8">
        <v>0</v>
      </c>
      <c r="L586" s="8"/>
      <c r="M586" s="8"/>
      <c r="N586" s="8"/>
      <c r="O586" s="8"/>
      <c r="P586" s="8"/>
      <c r="Q586" t="s">
        <v>26</v>
      </c>
    </row>
    <row r="587" spans="1:17" hidden="1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21</v>
      </c>
      <c r="F587" s="7" t="s">
        <v>73</v>
      </c>
      <c r="G587" s="7" t="s">
        <v>74</v>
      </c>
      <c r="H587" s="7" t="s">
        <v>139</v>
      </c>
      <c r="I587" s="7" t="s">
        <v>140</v>
      </c>
      <c r="J587" s="8">
        <v>0</v>
      </c>
      <c r="K587" s="8">
        <v>0</v>
      </c>
      <c r="L587" s="8"/>
      <c r="M587" s="8"/>
      <c r="N587" s="8"/>
      <c r="O587" s="8"/>
      <c r="P587" s="8"/>
      <c r="Q587" t="s">
        <v>26</v>
      </c>
    </row>
    <row r="588" spans="1:17" hidden="1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21</v>
      </c>
      <c r="F588" s="7" t="s">
        <v>75</v>
      </c>
      <c r="G588" s="7" t="s">
        <v>76</v>
      </c>
      <c r="H588" s="7" t="s">
        <v>139</v>
      </c>
      <c r="I588" s="7" t="s">
        <v>140</v>
      </c>
      <c r="J588" s="8">
        <v>0</v>
      </c>
      <c r="K588" s="8">
        <v>0</v>
      </c>
      <c r="L588" s="8"/>
      <c r="M588" s="8"/>
      <c r="N588" s="8"/>
      <c r="O588" s="8"/>
      <c r="P588" s="8"/>
      <c r="Q588" t="s">
        <v>26</v>
      </c>
    </row>
    <row r="589" spans="1:17" hidden="1" x14ac:dyDescent="0.25">
      <c r="A589" s="7" t="s">
        <v>17</v>
      </c>
      <c r="B589" s="7" t="s">
        <v>18</v>
      </c>
      <c r="C589" s="7" t="s">
        <v>19</v>
      </c>
      <c r="D589" s="7"/>
      <c r="E589" s="7"/>
      <c r="F589" s="7" t="s">
        <v>77</v>
      </c>
      <c r="G589" s="7" t="s">
        <v>78</v>
      </c>
      <c r="H589" s="7" t="s">
        <v>139</v>
      </c>
      <c r="I589" s="7" t="s">
        <v>140</v>
      </c>
      <c r="J589" s="8">
        <v>0</v>
      </c>
      <c r="K589" s="8">
        <v>0</v>
      </c>
      <c r="L589" s="8"/>
      <c r="M589" s="8"/>
      <c r="N589" s="8"/>
      <c r="O589" s="8"/>
      <c r="P589" s="8"/>
      <c r="Q589" t="s">
        <v>26</v>
      </c>
    </row>
    <row r="590" spans="1:17" hidden="1" x14ac:dyDescent="0.25">
      <c r="A590" s="7" t="s">
        <v>17</v>
      </c>
      <c r="B590" s="7" t="s">
        <v>18</v>
      </c>
      <c r="C590" s="7" t="s">
        <v>19</v>
      </c>
      <c r="D590" s="7"/>
      <c r="E590" s="7"/>
      <c r="F590" s="7" t="s">
        <v>79</v>
      </c>
      <c r="G590" s="7" t="s">
        <v>80</v>
      </c>
      <c r="H590" s="7" t="s">
        <v>139</v>
      </c>
      <c r="I590" s="7" t="s">
        <v>140</v>
      </c>
      <c r="J590" s="8">
        <v>48.121731344432654</v>
      </c>
      <c r="K590" s="8">
        <v>4.8121731344432641</v>
      </c>
      <c r="L590" s="8"/>
      <c r="M590" s="8"/>
      <c r="N590" s="8"/>
      <c r="O590" s="8"/>
      <c r="P590" s="8"/>
      <c r="Q590" t="s">
        <v>26</v>
      </c>
    </row>
    <row r="591" spans="1:17" hidden="1" x14ac:dyDescent="0.25">
      <c r="A591" s="7" t="s">
        <v>17</v>
      </c>
      <c r="B591" s="7" t="s">
        <v>18</v>
      </c>
      <c r="C591" s="7" t="s">
        <v>19</v>
      </c>
      <c r="D591" s="7"/>
      <c r="E591" s="7"/>
      <c r="F591" s="7" t="s">
        <v>81</v>
      </c>
      <c r="G591" s="7" t="s">
        <v>82</v>
      </c>
      <c r="H591" s="7" t="s">
        <v>139</v>
      </c>
      <c r="I591" s="7" t="s">
        <v>140</v>
      </c>
      <c r="J591" s="8">
        <v>0</v>
      </c>
      <c r="K591" s="8">
        <v>0</v>
      </c>
      <c r="L591" s="8"/>
      <c r="M591" s="8"/>
      <c r="N591" s="8"/>
      <c r="O591" s="8"/>
      <c r="P591" s="8"/>
      <c r="Q591" t="s">
        <v>26</v>
      </c>
    </row>
    <row r="592" spans="1:17" hidden="1" x14ac:dyDescent="0.25">
      <c r="A592" s="7" t="s">
        <v>17</v>
      </c>
      <c r="B592" s="7" t="s">
        <v>18</v>
      </c>
      <c r="C592" s="7" t="s">
        <v>19</v>
      </c>
      <c r="D592" s="7"/>
      <c r="E592" s="7"/>
      <c r="F592" s="7" t="s">
        <v>83</v>
      </c>
      <c r="G592" s="7" t="s">
        <v>84</v>
      </c>
      <c r="H592" s="7" t="s">
        <v>139</v>
      </c>
      <c r="I592" s="7" t="s">
        <v>140</v>
      </c>
      <c r="J592" s="8">
        <v>0</v>
      </c>
      <c r="K592" s="8">
        <v>0</v>
      </c>
      <c r="L592" s="8"/>
      <c r="M592" s="8"/>
      <c r="N592" s="8"/>
      <c r="O592" s="8"/>
      <c r="P592" s="8"/>
      <c r="Q592" t="s">
        <v>26</v>
      </c>
    </row>
    <row r="593" spans="1:17" hidden="1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21</v>
      </c>
      <c r="F593" s="7" t="s">
        <v>85</v>
      </c>
      <c r="G593" s="7" t="s">
        <v>86</v>
      </c>
      <c r="H593" s="7" t="s">
        <v>139</v>
      </c>
      <c r="I593" s="7" t="s">
        <v>140</v>
      </c>
      <c r="J593" s="8">
        <v>0</v>
      </c>
      <c r="K593" s="8">
        <v>0</v>
      </c>
      <c r="L593" s="8"/>
      <c r="M593" s="8"/>
      <c r="N593" s="8"/>
      <c r="O593" s="8"/>
      <c r="P593" s="8"/>
      <c r="Q593" t="s">
        <v>26</v>
      </c>
    </row>
    <row r="594" spans="1:17" hidden="1" x14ac:dyDescent="0.25">
      <c r="A594" s="7" t="s">
        <v>17</v>
      </c>
      <c r="B594" s="7" t="s">
        <v>18</v>
      </c>
      <c r="C594" s="7" t="s">
        <v>19</v>
      </c>
      <c r="D594" s="7"/>
      <c r="E594" s="7"/>
      <c r="F594" s="7" t="s">
        <v>87</v>
      </c>
      <c r="G594" s="7" t="s">
        <v>88</v>
      </c>
      <c r="H594" s="7" t="s">
        <v>139</v>
      </c>
      <c r="I594" s="7" t="s">
        <v>140</v>
      </c>
      <c r="J594" s="8">
        <v>0</v>
      </c>
      <c r="K594" s="8">
        <v>0</v>
      </c>
      <c r="L594" s="8"/>
      <c r="M594" s="8"/>
      <c r="N594" s="8"/>
      <c r="O594" s="8"/>
      <c r="P594" s="8"/>
      <c r="Q594" t="s">
        <v>26</v>
      </c>
    </row>
    <row r="595" spans="1:17" hidden="1" x14ac:dyDescent="0.25">
      <c r="A595" s="7" t="s">
        <v>17</v>
      </c>
      <c r="B595" s="7" t="s">
        <v>18</v>
      </c>
      <c r="C595" s="7" t="s">
        <v>19</v>
      </c>
      <c r="D595" s="7"/>
      <c r="E595" s="7"/>
      <c r="F595" s="7" t="s">
        <v>89</v>
      </c>
      <c r="G595" s="7" t="s">
        <v>90</v>
      </c>
      <c r="H595" s="7" t="s">
        <v>139</v>
      </c>
      <c r="I595" s="7" t="s">
        <v>140</v>
      </c>
      <c r="J595" s="8">
        <v>0</v>
      </c>
      <c r="K595" s="8">
        <v>0</v>
      </c>
      <c r="L595" s="8"/>
      <c r="M595" s="8"/>
      <c r="N595" s="8"/>
      <c r="O595" s="8"/>
      <c r="P595" s="8"/>
      <c r="Q595" t="s">
        <v>26</v>
      </c>
    </row>
    <row r="596" spans="1:17" hidden="1" x14ac:dyDescent="0.25">
      <c r="A596" s="7" t="s">
        <v>17</v>
      </c>
      <c r="B596" s="7" t="s">
        <v>18</v>
      </c>
      <c r="C596" s="7" t="s">
        <v>19</v>
      </c>
      <c r="D596" s="7"/>
      <c r="E596" s="7"/>
      <c r="F596" s="7" t="s">
        <v>91</v>
      </c>
      <c r="G596" s="7" t="s">
        <v>92</v>
      </c>
      <c r="H596" s="7" t="s">
        <v>139</v>
      </c>
      <c r="I596" s="7" t="s">
        <v>140</v>
      </c>
      <c r="J596" s="8">
        <v>0</v>
      </c>
      <c r="K596" s="8">
        <v>0</v>
      </c>
      <c r="L596" s="8"/>
      <c r="M596" s="8"/>
      <c r="N596" s="8"/>
      <c r="O596" s="8"/>
      <c r="P596" s="8"/>
      <c r="Q596" t="s">
        <v>26</v>
      </c>
    </row>
    <row r="597" spans="1:17" hidden="1" x14ac:dyDescent="0.25">
      <c r="A597" s="7" t="s">
        <v>17</v>
      </c>
      <c r="B597" s="7" t="s">
        <v>18</v>
      </c>
      <c r="C597" s="7" t="s">
        <v>19</v>
      </c>
      <c r="D597" s="7"/>
      <c r="E597" s="7"/>
      <c r="F597" s="7" t="s">
        <v>93</v>
      </c>
      <c r="G597" s="7" t="s">
        <v>94</v>
      </c>
      <c r="H597" s="7" t="s">
        <v>139</v>
      </c>
      <c r="I597" s="7" t="s">
        <v>140</v>
      </c>
      <c r="J597" s="8">
        <v>0</v>
      </c>
      <c r="K597" s="8">
        <v>0</v>
      </c>
      <c r="L597" s="8"/>
      <c r="M597" s="8"/>
      <c r="N597" s="8"/>
      <c r="O597" s="8"/>
      <c r="P597" s="8"/>
      <c r="Q597" t="s">
        <v>26</v>
      </c>
    </row>
    <row r="598" spans="1:17" hidden="1" x14ac:dyDescent="0.25">
      <c r="A598" s="7" t="s">
        <v>17</v>
      </c>
      <c r="B598" s="7" t="s">
        <v>18</v>
      </c>
      <c r="C598" s="7" t="s">
        <v>19</v>
      </c>
      <c r="D598" s="7"/>
      <c r="E598" s="7"/>
      <c r="F598" s="7" t="s">
        <v>95</v>
      </c>
      <c r="G598" s="7" t="s">
        <v>96</v>
      </c>
      <c r="H598" s="7" t="s">
        <v>139</v>
      </c>
      <c r="I598" s="7" t="s">
        <v>140</v>
      </c>
      <c r="J598" s="8">
        <v>0</v>
      </c>
      <c r="K598" s="8">
        <v>0</v>
      </c>
      <c r="L598" s="8"/>
      <c r="M598" s="8"/>
      <c r="N598" s="8"/>
      <c r="O598" s="8"/>
      <c r="P598" s="8"/>
      <c r="Q598" t="s">
        <v>26</v>
      </c>
    </row>
    <row r="599" spans="1:17" hidden="1" x14ac:dyDescent="0.25">
      <c r="A599" s="7" t="s">
        <v>17</v>
      </c>
      <c r="B599" s="7" t="s">
        <v>18</v>
      </c>
      <c r="C599" s="7" t="s">
        <v>19</v>
      </c>
      <c r="D599" s="7"/>
      <c r="E599" s="7"/>
      <c r="F599" s="7" t="s">
        <v>97</v>
      </c>
      <c r="G599" s="7" t="s">
        <v>98</v>
      </c>
      <c r="H599" s="7" t="s">
        <v>139</v>
      </c>
      <c r="I599" s="7" t="s">
        <v>140</v>
      </c>
      <c r="J599" s="8">
        <v>0</v>
      </c>
      <c r="K599" s="8">
        <v>0</v>
      </c>
      <c r="L599" s="8"/>
      <c r="M599" s="8"/>
      <c r="N599" s="8"/>
      <c r="O599" s="8"/>
      <c r="P599" s="8"/>
      <c r="Q599" t="s">
        <v>26</v>
      </c>
    </row>
    <row r="600" spans="1:17" hidden="1" x14ac:dyDescent="0.25">
      <c r="A600" s="7" t="s">
        <v>17</v>
      </c>
      <c r="B600" s="7" t="s">
        <v>18</v>
      </c>
      <c r="C600" s="7" t="s">
        <v>19</v>
      </c>
      <c r="D600" s="7"/>
      <c r="E600" s="7"/>
      <c r="F600" s="7" t="s">
        <v>99</v>
      </c>
      <c r="G600" s="7" t="s">
        <v>100</v>
      </c>
      <c r="H600" s="7" t="s">
        <v>139</v>
      </c>
      <c r="I600" s="7" t="s">
        <v>140</v>
      </c>
      <c r="J600" s="8">
        <v>532.25521229061201</v>
      </c>
      <c r="K600" s="8">
        <v>53.225521229061215</v>
      </c>
      <c r="L600" s="8"/>
      <c r="M600" s="8"/>
      <c r="N600" s="8"/>
      <c r="O600" s="8"/>
      <c r="P600" s="8"/>
      <c r="Q600" t="s">
        <v>26</v>
      </c>
    </row>
    <row r="601" spans="1:17" hidden="1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21</v>
      </c>
      <c r="F601" s="7" t="s">
        <v>101</v>
      </c>
      <c r="G601" s="7" t="s">
        <v>21</v>
      </c>
      <c r="H601" s="7" t="s">
        <v>139</v>
      </c>
      <c r="I601" s="7" t="s">
        <v>140</v>
      </c>
      <c r="J601" s="8">
        <v>0</v>
      </c>
      <c r="K601" s="8">
        <v>0</v>
      </c>
      <c r="L601" s="8"/>
      <c r="M601" s="8"/>
      <c r="N601" s="8"/>
      <c r="O601" s="8"/>
      <c r="P601" s="8"/>
      <c r="Q601" t="s">
        <v>26</v>
      </c>
    </row>
    <row r="602" spans="1:17" hidden="1" x14ac:dyDescent="0.25">
      <c r="A602" s="7" t="s">
        <v>17</v>
      </c>
      <c r="B602" s="7" t="s">
        <v>18</v>
      </c>
      <c r="C602" s="7" t="s">
        <v>19</v>
      </c>
      <c r="D602" s="7"/>
      <c r="E602" s="7"/>
      <c r="F602" s="7" t="s">
        <v>102</v>
      </c>
      <c r="G602" s="7" t="s">
        <v>103</v>
      </c>
      <c r="H602" s="7" t="s">
        <v>139</v>
      </c>
      <c r="I602" s="7" t="s">
        <v>140</v>
      </c>
      <c r="J602" s="8">
        <v>0</v>
      </c>
      <c r="K602" s="8">
        <v>0</v>
      </c>
      <c r="L602" s="8"/>
      <c r="M602" s="8"/>
      <c r="N602" s="8"/>
      <c r="O602" s="8"/>
      <c r="P602" s="8"/>
      <c r="Q602" t="s">
        <v>26</v>
      </c>
    </row>
    <row r="603" spans="1:17" hidden="1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21</v>
      </c>
      <c r="F603" s="7" t="s">
        <v>104</v>
      </c>
      <c r="G603" s="7" t="s">
        <v>105</v>
      </c>
      <c r="H603" s="7" t="s">
        <v>139</v>
      </c>
      <c r="I603" s="7" t="s">
        <v>140</v>
      </c>
      <c r="J603" s="8">
        <v>0</v>
      </c>
      <c r="K603" s="8">
        <v>0</v>
      </c>
      <c r="L603" s="8"/>
      <c r="M603" s="8"/>
      <c r="N603" s="8"/>
      <c r="O603" s="8"/>
      <c r="P603" s="8"/>
      <c r="Q603" t="s">
        <v>26</v>
      </c>
    </row>
    <row r="604" spans="1:17" hidden="1" x14ac:dyDescent="0.25">
      <c r="A604" s="7" t="s">
        <v>17</v>
      </c>
      <c r="B604" s="7" t="s">
        <v>18</v>
      </c>
      <c r="C604" s="7" t="s">
        <v>19</v>
      </c>
      <c r="D604" s="7"/>
      <c r="E604" s="7"/>
      <c r="F604" s="7" t="s">
        <v>106</v>
      </c>
      <c r="G604" s="7" t="s">
        <v>107</v>
      </c>
      <c r="H604" s="7" t="s">
        <v>139</v>
      </c>
      <c r="I604" s="7" t="s">
        <v>140</v>
      </c>
      <c r="J604" s="8">
        <v>0</v>
      </c>
      <c r="K604" s="8">
        <v>0</v>
      </c>
      <c r="L604" s="8"/>
      <c r="M604" s="8"/>
      <c r="N604" s="8"/>
      <c r="O604" s="8"/>
      <c r="P604" s="8"/>
      <c r="Q604" t="s">
        <v>26</v>
      </c>
    </row>
    <row r="605" spans="1:17" hidden="1" x14ac:dyDescent="0.25">
      <c r="A605" s="7" t="s">
        <v>17</v>
      </c>
      <c r="B605" s="7" t="s">
        <v>18</v>
      </c>
      <c r="C605" s="7" t="s">
        <v>19</v>
      </c>
      <c r="D605" s="7"/>
      <c r="E605" s="7"/>
      <c r="F605" s="7" t="s">
        <v>108</v>
      </c>
      <c r="G605" s="7" t="s">
        <v>109</v>
      </c>
      <c r="H605" s="7" t="s">
        <v>139</v>
      </c>
      <c r="I605" s="7" t="s">
        <v>140</v>
      </c>
      <c r="J605" s="8">
        <v>0</v>
      </c>
      <c r="K605" s="8">
        <v>0</v>
      </c>
      <c r="L605" s="8"/>
      <c r="M605" s="8"/>
      <c r="N605" s="8"/>
      <c r="O605" s="8"/>
      <c r="P605" s="8"/>
      <c r="Q605" t="s">
        <v>26</v>
      </c>
    </row>
    <row r="606" spans="1:17" hidden="1" x14ac:dyDescent="0.25">
      <c r="A606" s="7" t="s">
        <v>17</v>
      </c>
      <c r="B606" s="7" t="s">
        <v>18</v>
      </c>
      <c r="C606" s="7" t="s">
        <v>19</v>
      </c>
      <c r="D606" s="7"/>
      <c r="E606" s="7"/>
      <c r="F606" s="7" t="s">
        <v>110</v>
      </c>
      <c r="G606" s="7" t="s">
        <v>111</v>
      </c>
      <c r="H606" s="7" t="s">
        <v>139</v>
      </c>
      <c r="I606" s="7" t="s">
        <v>140</v>
      </c>
      <c r="J606" s="8">
        <v>0</v>
      </c>
      <c r="K606" s="8">
        <v>0</v>
      </c>
      <c r="L606" s="8"/>
      <c r="M606" s="8"/>
      <c r="N606" s="8"/>
      <c r="O606" s="8"/>
      <c r="P606" s="8"/>
      <c r="Q606" t="s">
        <v>26</v>
      </c>
    </row>
    <row r="607" spans="1:17" hidden="1" x14ac:dyDescent="0.25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21</v>
      </c>
      <c r="F607" s="7" t="s">
        <v>112</v>
      </c>
      <c r="G607" s="7" t="s">
        <v>113</v>
      </c>
      <c r="H607" s="7" t="s">
        <v>139</v>
      </c>
      <c r="I607" s="7" t="s">
        <v>140</v>
      </c>
      <c r="J607" s="8">
        <v>0</v>
      </c>
      <c r="K607" s="8">
        <v>0</v>
      </c>
      <c r="L607" s="8"/>
      <c r="M607" s="8"/>
      <c r="N607" s="8"/>
      <c r="O607" s="8"/>
      <c r="P607" s="8"/>
      <c r="Q607" t="s">
        <v>26</v>
      </c>
    </row>
    <row r="608" spans="1:17" hidden="1" x14ac:dyDescent="0.25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21</v>
      </c>
      <c r="F608" s="7" t="s">
        <v>114</v>
      </c>
      <c r="G608" s="7" t="s">
        <v>115</v>
      </c>
      <c r="H608" s="7" t="s">
        <v>139</v>
      </c>
      <c r="I608" s="7" t="s">
        <v>140</v>
      </c>
      <c r="J608" s="8">
        <v>43.39326744539494</v>
      </c>
      <c r="K608" s="8">
        <v>4.3393267445394939</v>
      </c>
      <c r="L608" s="8"/>
      <c r="M608" s="8"/>
      <c r="N608" s="8"/>
      <c r="O608" s="8"/>
      <c r="P608" s="8"/>
      <c r="Q608" t="s">
        <v>26</v>
      </c>
    </row>
    <row r="609" spans="1:17" hidden="1" x14ac:dyDescent="0.25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21</v>
      </c>
      <c r="F609" s="7" t="s">
        <v>116</v>
      </c>
      <c r="G609" s="7" t="s">
        <v>117</v>
      </c>
      <c r="H609" s="7" t="s">
        <v>139</v>
      </c>
      <c r="I609" s="7" t="s">
        <v>140</v>
      </c>
      <c r="J609" s="8">
        <v>0</v>
      </c>
      <c r="K609" s="8">
        <v>0</v>
      </c>
      <c r="L609" s="8"/>
      <c r="M609" s="8"/>
      <c r="N609" s="8"/>
      <c r="O609" s="8"/>
      <c r="P609" s="8"/>
      <c r="Q609" t="s">
        <v>26</v>
      </c>
    </row>
    <row r="610" spans="1:17" hidden="1" x14ac:dyDescent="0.25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21</v>
      </c>
      <c r="F610" s="7" t="s">
        <v>118</v>
      </c>
      <c r="G610" s="7" t="s">
        <v>119</v>
      </c>
      <c r="H610" s="7" t="s">
        <v>139</v>
      </c>
      <c r="I610" s="7" t="s">
        <v>140</v>
      </c>
      <c r="J610" s="8">
        <v>114.46344581357947</v>
      </c>
      <c r="K610" s="8">
        <v>11.446344581357948</v>
      </c>
      <c r="L610" s="8"/>
      <c r="M610" s="8"/>
      <c r="N610" s="8"/>
      <c r="O610" s="8"/>
      <c r="P610" s="8"/>
      <c r="Q610" t="s">
        <v>26</v>
      </c>
    </row>
    <row r="611" spans="1:17" hidden="1" x14ac:dyDescent="0.25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21</v>
      </c>
      <c r="F611" s="7" t="s">
        <v>120</v>
      </c>
      <c r="G611" s="7" t="s">
        <v>121</v>
      </c>
      <c r="H611" s="7" t="s">
        <v>139</v>
      </c>
      <c r="I611" s="7" t="s">
        <v>140</v>
      </c>
      <c r="J611" s="8">
        <v>0</v>
      </c>
      <c r="K611" s="8">
        <v>0</v>
      </c>
      <c r="L611" s="8"/>
      <c r="M611" s="8"/>
      <c r="N611" s="8"/>
      <c r="O611" s="8"/>
      <c r="P611" s="8"/>
      <c r="Q611" t="s">
        <v>26</v>
      </c>
    </row>
    <row r="612" spans="1:17" hidden="1" x14ac:dyDescent="0.25">
      <c r="A612" s="7" t="s">
        <v>17</v>
      </c>
      <c r="B612" s="7" t="s">
        <v>18</v>
      </c>
      <c r="C612" s="7" t="s">
        <v>19</v>
      </c>
      <c r="D612" s="7"/>
      <c r="E612" s="7"/>
      <c r="F612" s="7" t="s">
        <v>122</v>
      </c>
      <c r="G612" s="7" t="s">
        <v>123</v>
      </c>
      <c r="H612" s="7" t="s">
        <v>139</v>
      </c>
      <c r="I612" s="7" t="s">
        <v>140</v>
      </c>
      <c r="J612" s="8">
        <v>0</v>
      </c>
      <c r="K612" s="8">
        <v>0</v>
      </c>
      <c r="L612" s="8"/>
      <c r="M612" s="8"/>
      <c r="N612" s="8"/>
      <c r="O612" s="8"/>
      <c r="P612" s="8"/>
      <c r="Q612" t="s">
        <v>26</v>
      </c>
    </row>
    <row r="613" spans="1:17" hidden="1" x14ac:dyDescent="0.25">
      <c r="A613" s="7" t="s">
        <v>17</v>
      </c>
      <c r="B613" s="7" t="s">
        <v>18</v>
      </c>
      <c r="C613" s="7" t="s">
        <v>19</v>
      </c>
      <c r="D613" s="7"/>
      <c r="E613" s="7"/>
      <c r="F613" s="7" t="s">
        <v>124</v>
      </c>
      <c r="G613" s="7" t="s">
        <v>125</v>
      </c>
      <c r="H613" s="7" t="s">
        <v>139</v>
      </c>
      <c r="I613" s="7" t="s">
        <v>140</v>
      </c>
      <c r="J613" s="8">
        <v>0</v>
      </c>
      <c r="K613" s="8">
        <v>0</v>
      </c>
      <c r="L613" s="8"/>
      <c r="M613" s="8"/>
      <c r="N613" s="8"/>
      <c r="O613" s="8"/>
      <c r="P613" s="8"/>
      <c r="Q613" t="s">
        <v>26</v>
      </c>
    </row>
    <row r="614" spans="1:17" hidden="1" x14ac:dyDescent="0.25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21</v>
      </c>
      <c r="F614" s="7" t="s">
        <v>22</v>
      </c>
      <c r="G614" s="7" t="s">
        <v>23</v>
      </c>
      <c r="H614" s="7" t="s">
        <v>139</v>
      </c>
      <c r="I614" s="7" t="s">
        <v>141</v>
      </c>
      <c r="J614" s="8">
        <v>0.16469700000000001</v>
      </c>
      <c r="K614" s="8">
        <v>0.13144467569999999</v>
      </c>
      <c r="L614" s="8">
        <v>0</v>
      </c>
      <c r="M614" s="8">
        <v>0.32789019999999997</v>
      </c>
      <c r="N614" s="8">
        <v>6.0358000000000009E-3</v>
      </c>
      <c r="O614" s="8">
        <v>2.11562E-2</v>
      </c>
      <c r="P614" s="8">
        <v>0</v>
      </c>
      <c r="Q614" t="s">
        <v>26</v>
      </c>
    </row>
    <row r="615" spans="1:17" hidden="1" x14ac:dyDescent="0.25">
      <c r="A615" s="7" t="s">
        <v>17</v>
      </c>
      <c r="B615" s="7" t="s">
        <v>18</v>
      </c>
      <c r="C615" s="7" t="s">
        <v>19</v>
      </c>
      <c r="D615" s="7"/>
      <c r="E615" s="7"/>
      <c r="F615" s="7" t="s">
        <v>27</v>
      </c>
      <c r="G615" s="7" t="s">
        <v>28</v>
      </c>
      <c r="H615" s="7" t="s">
        <v>139</v>
      </c>
      <c r="I615" s="7" t="s">
        <v>141</v>
      </c>
      <c r="J615" s="8">
        <v>0.12320295000000003</v>
      </c>
      <c r="K615" s="8">
        <v>9.8328274394999984E-2</v>
      </c>
      <c r="L615" s="8">
        <v>0</v>
      </c>
      <c r="M615" s="8">
        <v>0.24528096999999999</v>
      </c>
      <c r="N615" s="8">
        <v>4.5151300000000009E-3</v>
      </c>
      <c r="O615" s="8">
        <v>1.5826070000000001E-2</v>
      </c>
      <c r="P615" s="8">
        <v>0</v>
      </c>
      <c r="Q615" t="s">
        <v>26</v>
      </c>
    </row>
    <row r="616" spans="1:17" hidden="1" x14ac:dyDescent="0.25">
      <c r="A616" s="7" t="s">
        <v>17</v>
      </c>
      <c r="B616" s="7" t="s">
        <v>18</v>
      </c>
      <c r="C616" s="7" t="s">
        <v>19</v>
      </c>
      <c r="D616" s="7"/>
      <c r="E616" s="7"/>
      <c r="F616" s="7" t="s">
        <v>29</v>
      </c>
      <c r="G616" s="7" t="s">
        <v>30</v>
      </c>
      <c r="H616" s="7" t="s">
        <v>139</v>
      </c>
      <c r="I616" s="7" t="s">
        <v>141</v>
      </c>
      <c r="J616" s="8">
        <v>4.6610850000000002E-2</v>
      </c>
      <c r="K616" s="8">
        <v>3.7200119384999994E-2</v>
      </c>
      <c r="L616" s="8">
        <v>0</v>
      </c>
      <c r="M616" s="8">
        <v>9.2796109999999987E-2</v>
      </c>
      <c r="N616" s="8">
        <v>1.7081900000000001E-3</v>
      </c>
      <c r="O616" s="8">
        <v>5.9874100000000003E-3</v>
      </c>
      <c r="P616" s="8">
        <v>0</v>
      </c>
      <c r="Q616" t="s">
        <v>26</v>
      </c>
    </row>
    <row r="617" spans="1:17" hidden="1" x14ac:dyDescent="0.25">
      <c r="A617" s="7" t="s">
        <v>17</v>
      </c>
      <c r="B617" s="7" t="s">
        <v>18</v>
      </c>
      <c r="C617" s="7" t="s">
        <v>19</v>
      </c>
      <c r="D617" s="7"/>
      <c r="E617" s="7"/>
      <c r="F617" s="7" t="s">
        <v>31</v>
      </c>
      <c r="G617" s="7" t="s">
        <v>32</v>
      </c>
      <c r="H617" s="7" t="s">
        <v>139</v>
      </c>
      <c r="I617" s="7" t="s">
        <v>141</v>
      </c>
      <c r="J617" s="8">
        <v>2.3845087500000002</v>
      </c>
      <c r="K617" s="8">
        <v>1.9030764333749999</v>
      </c>
      <c r="L617" s="8">
        <v>0</v>
      </c>
      <c r="M617" s="8">
        <v>4.7472452500000006</v>
      </c>
      <c r="N617" s="8">
        <v>8.7387249999999986E-2</v>
      </c>
      <c r="O617" s="8">
        <v>0.30630275000000001</v>
      </c>
      <c r="P617" s="8">
        <v>0</v>
      </c>
      <c r="Q617" t="s">
        <v>26</v>
      </c>
    </row>
    <row r="618" spans="1:17" hidden="1" x14ac:dyDescent="0.25">
      <c r="A618" s="7" t="s">
        <v>17</v>
      </c>
      <c r="B618" s="7" t="s">
        <v>18</v>
      </c>
      <c r="C618" s="7" t="s">
        <v>19</v>
      </c>
      <c r="D618" s="7"/>
      <c r="E618" s="7"/>
      <c r="F618" s="7" t="s">
        <v>33</v>
      </c>
      <c r="G618" s="7" t="s">
        <v>34</v>
      </c>
      <c r="H618" s="7" t="s">
        <v>139</v>
      </c>
      <c r="I618" s="7" t="s">
        <v>141</v>
      </c>
      <c r="J618" s="8">
        <v>1.4201518500000003</v>
      </c>
      <c r="K618" s="8">
        <v>1.1334231914849999</v>
      </c>
      <c r="L618" s="8">
        <v>0</v>
      </c>
      <c r="M618" s="8">
        <v>2.8273367099999995</v>
      </c>
      <c r="N618" s="8">
        <v>5.2045590000000017E-2</v>
      </c>
      <c r="O618" s="8">
        <v>0.18242601000000006</v>
      </c>
      <c r="P618" s="8">
        <v>0</v>
      </c>
      <c r="Q618" t="s">
        <v>26</v>
      </c>
    </row>
    <row r="619" spans="1:17" hidden="1" x14ac:dyDescent="0.25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21</v>
      </c>
      <c r="F619" s="7" t="s">
        <v>35</v>
      </c>
      <c r="G619" s="7" t="s">
        <v>36</v>
      </c>
      <c r="H619" s="7" t="s">
        <v>139</v>
      </c>
      <c r="I619" s="7" t="s">
        <v>141</v>
      </c>
      <c r="J619" s="8">
        <v>50.80630620000003</v>
      </c>
      <c r="K619" s="8">
        <v>40.548512978219989</v>
      </c>
      <c r="L619" s="8">
        <v>0</v>
      </c>
      <c r="M619" s="8">
        <v>101.14871491999986</v>
      </c>
      <c r="N619" s="8">
        <v>1.8619446799999981</v>
      </c>
      <c r="O619" s="8">
        <v>6.5263385199999933</v>
      </c>
      <c r="P619" s="8">
        <v>0</v>
      </c>
      <c r="Q619" t="s">
        <v>26</v>
      </c>
    </row>
    <row r="620" spans="1:17" hidden="1" x14ac:dyDescent="0.25">
      <c r="A620" s="7" t="s">
        <v>17</v>
      </c>
      <c r="B620" s="7" t="s">
        <v>18</v>
      </c>
      <c r="C620" s="7" t="s">
        <v>19</v>
      </c>
      <c r="D620" s="7"/>
      <c r="E620" s="7"/>
      <c r="F620" s="7" t="s">
        <v>37</v>
      </c>
      <c r="G620" s="7" t="s">
        <v>38</v>
      </c>
      <c r="H620" s="7" t="s">
        <v>139</v>
      </c>
      <c r="I620" s="7" t="s">
        <v>141</v>
      </c>
      <c r="J620" s="8">
        <v>0.48169875000000012</v>
      </c>
      <c r="K620" s="8">
        <v>0.38444377237499994</v>
      </c>
      <c r="L620" s="8">
        <v>0</v>
      </c>
      <c r="M620" s="8">
        <v>0.95899924999999975</v>
      </c>
      <c r="N620" s="8">
        <v>1.7653250000000006E-2</v>
      </c>
      <c r="O620" s="8">
        <v>6.1876749999999994E-2</v>
      </c>
      <c r="P620" s="8">
        <v>0</v>
      </c>
      <c r="Q620" t="s">
        <v>26</v>
      </c>
    </row>
    <row r="621" spans="1:17" hidden="1" x14ac:dyDescent="0.25">
      <c r="A621" s="7" t="s">
        <v>17</v>
      </c>
      <c r="B621" s="7" t="s">
        <v>18</v>
      </c>
      <c r="C621" s="7" t="s">
        <v>19</v>
      </c>
      <c r="D621" s="7"/>
      <c r="E621" s="7"/>
      <c r="F621" s="7" t="s">
        <v>39</v>
      </c>
      <c r="G621" s="7" t="s">
        <v>40</v>
      </c>
      <c r="H621" s="7" t="s">
        <v>139</v>
      </c>
      <c r="I621" s="7" t="s">
        <v>141</v>
      </c>
      <c r="J621" s="8">
        <v>0.32979375</v>
      </c>
      <c r="K621" s="8">
        <v>0.26320839187499995</v>
      </c>
      <c r="L621" s="8">
        <v>0</v>
      </c>
      <c r="M621" s="8">
        <v>0.65657624999999986</v>
      </c>
      <c r="N621" s="8">
        <v>1.208625E-2</v>
      </c>
      <c r="O621" s="8">
        <v>4.2363750000000006E-2</v>
      </c>
      <c r="P621" s="8">
        <v>0</v>
      </c>
      <c r="Q621" t="s">
        <v>26</v>
      </c>
    </row>
    <row r="622" spans="1:17" hidden="1" x14ac:dyDescent="0.25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21</v>
      </c>
      <c r="F622" s="7" t="s">
        <v>41</v>
      </c>
      <c r="G622" s="7" t="s">
        <v>42</v>
      </c>
      <c r="H622" s="7" t="s">
        <v>139</v>
      </c>
      <c r="I622" s="7" t="s">
        <v>141</v>
      </c>
      <c r="J622" s="8">
        <v>6.4438100999999985</v>
      </c>
      <c r="K622" s="8">
        <v>5.1428048408099984</v>
      </c>
      <c r="L622" s="8">
        <v>0</v>
      </c>
      <c r="M622" s="8">
        <v>12.828783659999999</v>
      </c>
      <c r="N622" s="8">
        <v>0.23615214000000004</v>
      </c>
      <c r="O622" s="8">
        <v>0.82774145999999982</v>
      </c>
      <c r="P622" s="8">
        <v>0</v>
      </c>
      <c r="Q622" t="s">
        <v>26</v>
      </c>
    </row>
    <row r="623" spans="1:17" hidden="1" x14ac:dyDescent="0.25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21</v>
      </c>
      <c r="F623" s="7" t="s">
        <v>43</v>
      </c>
      <c r="G623" s="7" t="s">
        <v>44</v>
      </c>
      <c r="H623" s="7" t="s">
        <v>139</v>
      </c>
      <c r="I623" s="7" t="s">
        <v>141</v>
      </c>
      <c r="J623" s="8">
        <v>2.9783773500000001</v>
      </c>
      <c r="K623" s="8">
        <v>2.3770429630350001</v>
      </c>
      <c r="L623" s="8">
        <v>0</v>
      </c>
      <c r="M623" s="8">
        <v>5.9295600099999985</v>
      </c>
      <c r="N623" s="8">
        <v>0.10915129000000001</v>
      </c>
      <c r="O623" s="8">
        <v>0.38258830999999999</v>
      </c>
      <c r="P623" s="8">
        <v>0</v>
      </c>
      <c r="Q623" t="s">
        <v>26</v>
      </c>
    </row>
    <row r="624" spans="1:17" hidden="1" x14ac:dyDescent="0.25">
      <c r="A624" s="7" t="s">
        <v>17</v>
      </c>
      <c r="B624" s="7" t="s">
        <v>18</v>
      </c>
      <c r="C624" s="7" t="s">
        <v>19</v>
      </c>
      <c r="D624" s="7"/>
      <c r="E624" s="7"/>
      <c r="F624" s="7" t="s">
        <v>45</v>
      </c>
      <c r="G624" s="7" t="s">
        <v>46</v>
      </c>
      <c r="H624" s="7" t="s">
        <v>139</v>
      </c>
      <c r="I624" s="7" t="s">
        <v>141</v>
      </c>
      <c r="J624" s="8">
        <v>0.60738015000000001</v>
      </c>
      <c r="K624" s="8">
        <v>0.48475009771500011</v>
      </c>
      <c r="L624" s="8">
        <v>0</v>
      </c>
      <c r="M624" s="8">
        <v>1.2092144899999999</v>
      </c>
      <c r="N624" s="8">
        <v>2.2259210000000005E-2</v>
      </c>
      <c r="O624" s="8">
        <v>7.802118999999999E-2</v>
      </c>
      <c r="P624" s="8">
        <v>0</v>
      </c>
      <c r="Q624" t="s">
        <v>26</v>
      </c>
    </row>
    <row r="625" spans="1:17" hidden="1" x14ac:dyDescent="0.25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21</v>
      </c>
      <c r="F625" s="7" t="s">
        <v>47</v>
      </c>
      <c r="G625" s="7" t="s">
        <v>48</v>
      </c>
      <c r="H625" s="7" t="s">
        <v>139</v>
      </c>
      <c r="I625" s="7" t="s">
        <v>141</v>
      </c>
      <c r="J625" s="8">
        <v>3.6870541499999985</v>
      </c>
      <c r="K625" s="8">
        <v>2.9426379171150012</v>
      </c>
      <c r="L625" s="8">
        <v>0</v>
      </c>
      <c r="M625" s="8">
        <v>7.3404428900000038</v>
      </c>
      <c r="N625" s="8">
        <v>0.13512281000000004</v>
      </c>
      <c r="O625" s="8">
        <v>0.47362159000000015</v>
      </c>
      <c r="P625" s="8">
        <v>0</v>
      </c>
      <c r="Q625" t="s">
        <v>26</v>
      </c>
    </row>
    <row r="626" spans="1:17" hidden="1" x14ac:dyDescent="0.25">
      <c r="A626" s="7" t="s">
        <v>17</v>
      </c>
      <c r="B626" s="7" t="s">
        <v>18</v>
      </c>
      <c r="C626" s="7" t="s">
        <v>19</v>
      </c>
      <c r="D626" s="7"/>
      <c r="E626" s="7"/>
      <c r="F626" s="7" t="s">
        <v>49</v>
      </c>
      <c r="G626" s="7" t="s">
        <v>50</v>
      </c>
      <c r="H626" s="7" t="s">
        <v>139</v>
      </c>
      <c r="I626" s="7" t="s">
        <v>141</v>
      </c>
      <c r="J626" s="8">
        <v>0.77935259999999984</v>
      </c>
      <c r="K626" s="8">
        <v>0.62200131005999992</v>
      </c>
      <c r="L626" s="8">
        <v>0</v>
      </c>
      <c r="M626" s="8">
        <v>1.55158916</v>
      </c>
      <c r="N626" s="8">
        <v>2.8561639999999996E-2</v>
      </c>
      <c r="O626" s="8">
        <v>0.10011195999999999</v>
      </c>
      <c r="P626" s="8">
        <v>0</v>
      </c>
      <c r="Q626" t="s">
        <v>26</v>
      </c>
    </row>
    <row r="627" spans="1:17" hidden="1" x14ac:dyDescent="0.25">
      <c r="A627" s="7" t="s">
        <v>17</v>
      </c>
      <c r="B627" s="7" t="s">
        <v>18</v>
      </c>
      <c r="C627" s="7" t="s">
        <v>19</v>
      </c>
      <c r="D627" s="7"/>
      <c r="E627" s="7"/>
      <c r="F627" s="7" t="s">
        <v>51</v>
      </c>
      <c r="G627" s="7" t="s">
        <v>52</v>
      </c>
      <c r="H627" s="7" t="s">
        <v>139</v>
      </c>
      <c r="I627" s="7" t="s">
        <v>141</v>
      </c>
      <c r="J627" s="8">
        <v>0.86234070000000018</v>
      </c>
      <c r="K627" s="8">
        <v>0.68823411267000001</v>
      </c>
      <c r="L627" s="8">
        <v>0</v>
      </c>
      <c r="M627" s="8">
        <v>1.71680762</v>
      </c>
      <c r="N627" s="8">
        <v>3.160298000000001E-2</v>
      </c>
      <c r="O627" s="8">
        <v>0.11077222000000003</v>
      </c>
      <c r="P627" s="8">
        <v>0</v>
      </c>
      <c r="Q627" t="s">
        <v>26</v>
      </c>
    </row>
    <row r="628" spans="1:17" hidden="1" x14ac:dyDescent="0.25">
      <c r="A628" s="7" t="s">
        <v>17</v>
      </c>
      <c r="B628" s="7" t="s">
        <v>18</v>
      </c>
      <c r="C628" s="7" t="s">
        <v>19</v>
      </c>
      <c r="D628" s="7"/>
      <c r="E628" s="7"/>
      <c r="F628" s="7" t="s">
        <v>53</v>
      </c>
      <c r="G628" s="7" t="s">
        <v>54</v>
      </c>
      <c r="H628" s="7" t="s">
        <v>139</v>
      </c>
      <c r="I628" s="7" t="s">
        <v>141</v>
      </c>
      <c r="J628" s="8">
        <v>6.6598350000000001E-2</v>
      </c>
      <c r="K628" s="8">
        <v>5.3152143134999996E-2</v>
      </c>
      <c r="L628" s="8">
        <v>0</v>
      </c>
      <c r="M628" s="8">
        <v>0.13258861</v>
      </c>
      <c r="N628" s="8">
        <v>2.4406900000000006E-3</v>
      </c>
      <c r="O628" s="8">
        <v>8.5549099999999989E-3</v>
      </c>
      <c r="P628" s="8">
        <v>0</v>
      </c>
      <c r="Q628" t="s">
        <v>26</v>
      </c>
    </row>
    <row r="629" spans="1:17" hidden="1" x14ac:dyDescent="0.25">
      <c r="A629" s="7" t="s">
        <v>17</v>
      </c>
      <c r="B629" s="7" t="s">
        <v>18</v>
      </c>
      <c r="C629" s="7" t="s">
        <v>19</v>
      </c>
      <c r="D629" s="7"/>
      <c r="E629" s="7"/>
      <c r="F629" s="7" t="s">
        <v>55</v>
      </c>
      <c r="G629" s="7" t="s">
        <v>56</v>
      </c>
      <c r="H629" s="7" t="s">
        <v>139</v>
      </c>
      <c r="I629" s="7" t="s">
        <v>141</v>
      </c>
      <c r="J629" s="8">
        <v>0.16309800000000002</v>
      </c>
      <c r="K629" s="8">
        <v>0.1301685138</v>
      </c>
      <c r="L629" s="8">
        <v>0</v>
      </c>
      <c r="M629" s="8">
        <v>0.32470680000000002</v>
      </c>
      <c r="N629" s="8">
        <v>5.9771999999999994E-3</v>
      </c>
      <c r="O629" s="8">
        <v>2.0950799999999999E-2</v>
      </c>
      <c r="P629" s="8">
        <v>0</v>
      </c>
      <c r="Q629" t="s">
        <v>26</v>
      </c>
    </row>
    <row r="630" spans="1:17" hidden="1" x14ac:dyDescent="0.25">
      <c r="A630" s="7" t="s">
        <v>17</v>
      </c>
      <c r="B630" s="7" t="s">
        <v>18</v>
      </c>
      <c r="C630" s="7" t="s">
        <v>19</v>
      </c>
      <c r="D630" s="7"/>
      <c r="E630" s="7"/>
      <c r="F630" s="7" t="s">
        <v>57</v>
      </c>
      <c r="G630" s="7" t="s">
        <v>58</v>
      </c>
      <c r="H630" s="7" t="s">
        <v>139</v>
      </c>
      <c r="I630" s="7" t="s">
        <v>141</v>
      </c>
      <c r="J630" s="8">
        <v>0.62001225000000004</v>
      </c>
      <c r="K630" s="8">
        <v>0.49483177672500001</v>
      </c>
      <c r="L630" s="8">
        <v>0</v>
      </c>
      <c r="M630" s="8">
        <v>1.23436335</v>
      </c>
      <c r="N630" s="8">
        <v>2.2722150000000003E-2</v>
      </c>
      <c r="O630" s="8">
        <v>7.9643849999999974E-2</v>
      </c>
      <c r="P630" s="8">
        <v>0</v>
      </c>
      <c r="Q630" t="s">
        <v>26</v>
      </c>
    </row>
    <row r="631" spans="1:17" hidden="1" x14ac:dyDescent="0.25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21</v>
      </c>
      <c r="F631" s="7" t="s">
        <v>59</v>
      </c>
      <c r="G631" s="7" t="s">
        <v>60</v>
      </c>
      <c r="H631" s="7" t="s">
        <v>139</v>
      </c>
      <c r="I631" s="7" t="s">
        <v>141</v>
      </c>
      <c r="J631" s="8">
        <v>21.18938834999998</v>
      </c>
      <c r="K631" s="8">
        <v>16.911250842135015</v>
      </c>
      <c r="L631" s="8">
        <v>0</v>
      </c>
      <c r="M631" s="8">
        <v>42.185302609999994</v>
      </c>
      <c r="N631" s="8">
        <v>0.77654668999999943</v>
      </c>
      <c r="O631" s="8">
        <v>2.7218889100000014</v>
      </c>
      <c r="P631" s="8">
        <v>0</v>
      </c>
      <c r="Q631" t="s">
        <v>26</v>
      </c>
    </row>
    <row r="632" spans="1:17" hidden="1" x14ac:dyDescent="0.25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21</v>
      </c>
      <c r="F632" s="7" t="s">
        <v>61</v>
      </c>
      <c r="G632" s="7" t="s">
        <v>62</v>
      </c>
      <c r="H632" s="7" t="s">
        <v>139</v>
      </c>
      <c r="I632" s="7" t="s">
        <v>141</v>
      </c>
      <c r="J632" s="8">
        <v>10.831146300000002</v>
      </c>
      <c r="K632" s="8">
        <v>8.6443378620299995</v>
      </c>
      <c r="L632" s="8">
        <v>0</v>
      </c>
      <c r="M632" s="8">
        <v>21.563396579999999</v>
      </c>
      <c r="N632" s="8">
        <v>0.39693881999999997</v>
      </c>
      <c r="O632" s="8">
        <v>1.3913179800000002</v>
      </c>
      <c r="P632" s="8">
        <v>0</v>
      </c>
      <c r="Q632" t="s">
        <v>26</v>
      </c>
    </row>
    <row r="633" spans="1:17" hidden="1" x14ac:dyDescent="0.25">
      <c r="A633" s="7" t="s">
        <v>17</v>
      </c>
      <c r="B633" s="7" t="s">
        <v>18</v>
      </c>
      <c r="C633" s="7" t="s">
        <v>19</v>
      </c>
      <c r="D633" s="7"/>
      <c r="E633" s="7"/>
      <c r="F633" s="7" t="s">
        <v>63</v>
      </c>
      <c r="G633" s="7" t="s">
        <v>64</v>
      </c>
      <c r="H633" s="7" t="s">
        <v>139</v>
      </c>
      <c r="I633" s="7" t="s">
        <v>141</v>
      </c>
      <c r="J633" s="8">
        <v>0.34090680000000001</v>
      </c>
      <c r="K633" s="8">
        <v>0.27207771708</v>
      </c>
      <c r="L633" s="8">
        <v>0</v>
      </c>
      <c r="M633" s="8">
        <v>0.67870087999999973</v>
      </c>
      <c r="N633" s="8">
        <v>1.2493519999999999E-2</v>
      </c>
      <c r="O633" s="8">
        <v>4.3791279999999988E-2</v>
      </c>
      <c r="P633" s="8">
        <v>0</v>
      </c>
      <c r="Q633" t="s">
        <v>26</v>
      </c>
    </row>
    <row r="634" spans="1:17" hidden="1" x14ac:dyDescent="0.25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21</v>
      </c>
      <c r="F634" s="7" t="s">
        <v>65</v>
      </c>
      <c r="G634" s="7" t="s">
        <v>66</v>
      </c>
      <c r="H634" s="7" t="s">
        <v>139</v>
      </c>
      <c r="I634" s="7" t="s">
        <v>141</v>
      </c>
      <c r="J634" s="8">
        <v>35.514989250000006</v>
      </c>
      <c r="K634" s="8">
        <v>28.344512920425011</v>
      </c>
      <c r="L634" s="8">
        <v>0</v>
      </c>
      <c r="M634" s="8">
        <v>70.705701550000001</v>
      </c>
      <c r="N634" s="8">
        <v>1.3015499500000007</v>
      </c>
      <c r="O634" s="8">
        <v>4.5620880499999981</v>
      </c>
      <c r="P634" s="8">
        <v>0</v>
      </c>
      <c r="Q634" t="s">
        <v>26</v>
      </c>
    </row>
    <row r="635" spans="1:17" hidden="1" x14ac:dyDescent="0.25">
      <c r="A635" s="7" t="s">
        <v>17</v>
      </c>
      <c r="B635" s="7" t="s">
        <v>18</v>
      </c>
      <c r="C635" s="7" t="s">
        <v>19</v>
      </c>
      <c r="D635" s="7"/>
      <c r="E635" s="7"/>
      <c r="F635" s="7" t="s">
        <v>67</v>
      </c>
      <c r="G635" s="7" t="s">
        <v>68</v>
      </c>
      <c r="H635" s="7" t="s">
        <v>139</v>
      </c>
      <c r="I635" s="7" t="s">
        <v>141</v>
      </c>
      <c r="J635" s="8">
        <v>0.56012970000000006</v>
      </c>
      <c r="K635" s="8">
        <v>0.44703951357000005</v>
      </c>
      <c r="L635" s="8">
        <v>0</v>
      </c>
      <c r="M635" s="8">
        <v>1.1151450199999999</v>
      </c>
      <c r="N635" s="8">
        <v>2.052758E-2</v>
      </c>
      <c r="O635" s="8">
        <v>7.1951620000000008E-2</v>
      </c>
      <c r="P635" s="8">
        <v>0</v>
      </c>
      <c r="Q635" t="s">
        <v>26</v>
      </c>
    </row>
    <row r="636" spans="1:17" hidden="1" x14ac:dyDescent="0.25">
      <c r="A636" s="7" t="s">
        <v>17</v>
      </c>
      <c r="B636" s="7" t="s">
        <v>18</v>
      </c>
      <c r="C636" s="7" t="s">
        <v>19</v>
      </c>
      <c r="D636" s="7"/>
      <c r="E636" s="7"/>
      <c r="F636" s="7" t="s">
        <v>69</v>
      </c>
      <c r="G636" s="7" t="s">
        <v>70</v>
      </c>
      <c r="H636" s="7" t="s">
        <v>139</v>
      </c>
      <c r="I636" s="7" t="s">
        <v>141</v>
      </c>
      <c r="J636" s="8">
        <v>7.6592099999999996E-2</v>
      </c>
      <c r="K636" s="8">
        <v>6.112815500999999E-2</v>
      </c>
      <c r="L636" s="8">
        <v>0</v>
      </c>
      <c r="M636" s="8">
        <v>0.15248486</v>
      </c>
      <c r="N636" s="8">
        <v>2.8069400000000004E-3</v>
      </c>
      <c r="O636" s="8">
        <v>9.8386599999999991E-3</v>
      </c>
      <c r="P636" s="8">
        <v>0</v>
      </c>
      <c r="Q636" t="s">
        <v>26</v>
      </c>
    </row>
    <row r="637" spans="1:17" hidden="1" x14ac:dyDescent="0.25">
      <c r="A637" s="7" t="s">
        <v>17</v>
      </c>
      <c r="B637" s="7" t="s">
        <v>18</v>
      </c>
      <c r="C637" s="7" t="s">
        <v>19</v>
      </c>
      <c r="D637" s="7"/>
      <c r="E637" s="7"/>
      <c r="F637" s="7" t="s">
        <v>71</v>
      </c>
      <c r="G637" s="7" t="s">
        <v>72</v>
      </c>
      <c r="H637" s="7" t="s">
        <v>139</v>
      </c>
      <c r="I637" s="7" t="s">
        <v>141</v>
      </c>
      <c r="J637" s="8">
        <v>0.16941405000000001</v>
      </c>
      <c r="K637" s="8">
        <v>0.135209353305</v>
      </c>
      <c r="L637" s="8">
        <v>0</v>
      </c>
      <c r="M637" s="8">
        <v>0.33728122999999999</v>
      </c>
      <c r="N637" s="8">
        <v>6.2086700000000012E-3</v>
      </c>
      <c r="O637" s="8">
        <v>2.1762129999999998E-2</v>
      </c>
      <c r="P637" s="8">
        <v>0</v>
      </c>
      <c r="Q637" t="s">
        <v>26</v>
      </c>
    </row>
    <row r="638" spans="1:17" hidden="1" x14ac:dyDescent="0.25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21</v>
      </c>
      <c r="F638" s="7" t="s">
        <v>73</v>
      </c>
      <c r="G638" s="7" t="s">
        <v>74</v>
      </c>
      <c r="H638" s="7" t="s">
        <v>139</v>
      </c>
      <c r="I638" s="7" t="s">
        <v>141</v>
      </c>
      <c r="J638" s="8">
        <v>6.6589555500000008</v>
      </c>
      <c r="K638" s="8">
        <v>5.3145124244550015</v>
      </c>
      <c r="L638" s="8">
        <v>0</v>
      </c>
      <c r="M638" s="8">
        <v>13.257110129999996</v>
      </c>
      <c r="N638" s="8">
        <v>0.24403677000000004</v>
      </c>
      <c r="O638" s="8">
        <v>0.85537802999999979</v>
      </c>
      <c r="P638" s="8">
        <v>0</v>
      </c>
      <c r="Q638" t="s">
        <v>26</v>
      </c>
    </row>
    <row r="639" spans="1:17" hidden="1" x14ac:dyDescent="0.25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21</v>
      </c>
      <c r="F639" s="7" t="s">
        <v>75</v>
      </c>
      <c r="G639" s="7" t="s">
        <v>76</v>
      </c>
      <c r="H639" s="7" t="s">
        <v>139</v>
      </c>
      <c r="I639" s="7" t="s">
        <v>141</v>
      </c>
      <c r="J639" s="8">
        <v>56.151683250000026</v>
      </c>
      <c r="K639" s="8">
        <v>44.814658401825028</v>
      </c>
      <c r="L639" s="8">
        <v>0</v>
      </c>
      <c r="M639" s="8">
        <v>111.79066194999993</v>
      </c>
      <c r="N639" s="8">
        <v>2.0578415499999987</v>
      </c>
      <c r="O639" s="8">
        <v>7.2129804499999999</v>
      </c>
      <c r="P639" s="8">
        <v>0</v>
      </c>
      <c r="Q639" t="s">
        <v>26</v>
      </c>
    </row>
    <row r="640" spans="1:17" hidden="1" x14ac:dyDescent="0.25">
      <c r="A640" s="7" t="s">
        <v>17</v>
      </c>
      <c r="B640" s="7" t="s">
        <v>18</v>
      </c>
      <c r="C640" s="7" t="s">
        <v>19</v>
      </c>
      <c r="D640" s="7"/>
      <c r="E640" s="7"/>
      <c r="F640" s="7" t="s">
        <v>77</v>
      </c>
      <c r="G640" s="7" t="s">
        <v>78</v>
      </c>
      <c r="H640" s="7" t="s">
        <v>139</v>
      </c>
      <c r="I640" s="7" t="s">
        <v>141</v>
      </c>
      <c r="J640" s="8">
        <v>0.12216360000000001</v>
      </c>
      <c r="K640" s="8">
        <v>9.7498769159999985E-2</v>
      </c>
      <c r="L640" s="8">
        <v>0</v>
      </c>
      <c r="M640" s="8">
        <v>0.24321175999999997</v>
      </c>
      <c r="N640" s="8">
        <v>4.4770399999999998E-3</v>
      </c>
      <c r="O640" s="8">
        <v>1.5692559999999998E-2</v>
      </c>
      <c r="P640" s="8">
        <v>0</v>
      </c>
      <c r="Q640" t="s">
        <v>26</v>
      </c>
    </row>
    <row r="641" spans="1:17" hidden="1" x14ac:dyDescent="0.25">
      <c r="A641" s="7" t="s">
        <v>17</v>
      </c>
      <c r="B641" s="7" t="s">
        <v>18</v>
      </c>
      <c r="C641" s="7" t="s">
        <v>19</v>
      </c>
      <c r="D641" s="7"/>
      <c r="E641" s="7"/>
      <c r="F641" s="7" t="s">
        <v>79</v>
      </c>
      <c r="G641" s="7" t="s">
        <v>80</v>
      </c>
      <c r="H641" s="7" t="s">
        <v>139</v>
      </c>
      <c r="I641" s="7" t="s">
        <v>141</v>
      </c>
      <c r="J641" s="8">
        <v>0.12352275000000001</v>
      </c>
      <c r="K641" s="8">
        <v>9.858350677500001E-2</v>
      </c>
      <c r="L641" s="8">
        <v>0</v>
      </c>
      <c r="M641" s="8">
        <v>0.24591764999999996</v>
      </c>
      <c r="N641" s="8">
        <v>4.5268500000000007E-3</v>
      </c>
      <c r="O641" s="8">
        <v>1.586715E-2</v>
      </c>
      <c r="P641" s="8">
        <v>0</v>
      </c>
      <c r="Q641" t="s">
        <v>26</v>
      </c>
    </row>
    <row r="642" spans="1:17" hidden="1" x14ac:dyDescent="0.25">
      <c r="A642" s="7" t="s">
        <v>17</v>
      </c>
      <c r="B642" s="7" t="s">
        <v>18</v>
      </c>
      <c r="C642" s="7" t="s">
        <v>19</v>
      </c>
      <c r="D642" s="7"/>
      <c r="E642" s="7"/>
      <c r="F642" s="7" t="s">
        <v>81</v>
      </c>
      <c r="G642" s="7" t="s">
        <v>82</v>
      </c>
      <c r="H642" s="7" t="s">
        <v>139</v>
      </c>
      <c r="I642" s="7" t="s">
        <v>141</v>
      </c>
      <c r="J642" s="8">
        <v>0.49896794999999999</v>
      </c>
      <c r="K642" s="8">
        <v>0.39822632089499987</v>
      </c>
      <c r="L642" s="8">
        <v>0</v>
      </c>
      <c r="M642" s="8">
        <v>0.99337997</v>
      </c>
      <c r="N642" s="8">
        <v>1.8286130000000001E-2</v>
      </c>
      <c r="O642" s="8">
        <v>6.4095070000000004E-2</v>
      </c>
      <c r="P642" s="8">
        <v>0</v>
      </c>
      <c r="Q642" t="s">
        <v>26</v>
      </c>
    </row>
    <row r="643" spans="1:17" hidden="1" x14ac:dyDescent="0.25">
      <c r="A643" s="7" t="s">
        <v>17</v>
      </c>
      <c r="B643" s="7" t="s">
        <v>18</v>
      </c>
      <c r="C643" s="7" t="s">
        <v>19</v>
      </c>
      <c r="D643" s="7"/>
      <c r="E643" s="7"/>
      <c r="F643" s="7" t="s">
        <v>83</v>
      </c>
      <c r="G643" s="7" t="s">
        <v>84</v>
      </c>
      <c r="H643" s="7" t="s">
        <v>139</v>
      </c>
      <c r="I643" s="7" t="s">
        <v>141</v>
      </c>
      <c r="J643" s="8">
        <v>0.16621605</v>
      </c>
      <c r="K643" s="8">
        <v>0.132657029505</v>
      </c>
      <c r="L643" s="8">
        <v>0</v>
      </c>
      <c r="M643" s="8">
        <v>0.33091442999999998</v>
      </c>
      <c r="N643" s="8">
        <v>6.0914699999999999E-3</v>
      </c>
      <c r="O643" s="8">
        <v>2.1351330000000002E-2</v>
      </c>
      <c r="P643" s="8">
        <v>0</v>
      </c>
      <c r="Q643" t="s">
        <v>26</v>
      </c>
    </row>
    <row r="644" spans="1:17" hidden="1" x14ac:dyDescent="0.25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21</v>
      </c>
      <c r="F644" s="7" t="s">
        <v>85</v>
      </c>
      <c r="G644" s="7" t="s">
        <v>86</v>
      </c>
      <c r="H644" s="7" t="s">
        <v>139</v>
      </c>
      <c r="I644" s="7" t="s">
        <v>141</v>
      </c>
      <c r="J644" s="8">
        <v>28.579086900000039</v>
      </c>
      <c r="K644" s="8">
        <v>22.80896925488997</v>
      </c>
      <c r="L644" s="8">
        <v>0</v>
      </c>
      <c r="M644" s="8">
        <v>56.89722653999997</v>
      </c>
      <c r="N644" s="8">
        <v>1.0473636600000009</v>
      </c>
      <c r="O644" s="8">
        <v>3.6711347400000043</v>
      </c>
      <c r="P644" s="8">
        <v>0</v>
      </c>
      <c r="Q644" t="s">
        <v>26</v>
      </c>
    </row>
    <row r="645" spans="1:17" hidden="1" x14ac:dyDescent="0.25">
      <c r="A645" s="7" t="s">
        <v>17</v>
      </c>
      <c r="B645" s="7" t="s">
        <v>18</v>
      </c>
      <c r="C645" s="7" t="s">
        <v>19</v>
      </c>
      <c r="D645" s="7"/>
      <c r="E645" s="7"/>
      <c r="F645" s="7" t="s">
        <v>87</v>
      </c>
      <c r="G645" s="7" t="s">
        <v>88</v>
      </c>
      <c r="H645" s="7" t="s">
        <v>139</v>
      </c>
      <c r="I645" s="7" t="s">
        <v>141</v>
      </c>
      <c r="J645" s="8">
        <v>0.42525405000000005</v>
      </c>
      <c r="K645" s="8">
        <v>0.33939525730499998</v>
      </c>
      <c r="L645" s="8">
        <v>0</v>
      </c>
      <c r="M645" s="8">
        <v>0.8466252299999999</v>
      </c>
      <c r="N645" s="8">
        <v>1.5584670000000004E-2</v>
      </c>
      <c r="O645" s="8">
        <v>5.4626130000000009E-2</v>
      </c>
      <c r="P645" s="8">
        <v>0</v>
      </c>
      <c r="Q645" t="s">
        <v>26</v>
      </c>
    </row>
    <row r="646" spans="1:17" hidden="1" x14ac:dyDescent="0.25">
      <c r="A646" s="7" t="s">
        <v>17</v>
      </c>
      <c r="B646" s="7" t="s">
        <v>18</v>
      </c>
      <c r="C646" s="7" t="s">
        <v>19</v>
      </c>
      <c r="D646" s="7"/>
      <c r="E646" s="7"/>
      <c r="F646" s="7" t="s">
        <v>89</v>
      </c>
      <c r="G646" s="7" t="s">
        <v>90</v>
      </c>
      <c r="H646" s="7" t="s">
        <v>139</v>
      </c>
      <c r="I646" s="7" t="s">
        <v>141</v>
      </c>
      <c r="J646" s="8">
        <v>5.5614819000000004</v>
      </c>
      <c r="K646" s="8">
        <v>4.4386187043900005</v>
      </c>
      <c r="L646" s="8">
        <v>0</v>
      </c>
      <c r="M646" s="8">
        <v>11.072183539999999</v>
      </c>
      <c r="N646" s="8">
        <v>0.20381666000000007</v>
      </c>
      <c r="O646" s="8">
        <v>0.7144017399999999</v>
      </c>
      <c r="P646" s="8">
        <v>0</v>
      </c>
      <c r="Q646" t="s">
        <v>26</v>
      </c>
    </row>
    <row r="647" spans="1:17" hidden="1" x14ac:dyDescent="0.25">
      <c r="A647" s="7" t="s">
        <v>17</v>
      </c>
      <c r="B647" s="7" t="s">
        <v>18</v>
      </c>
      <c r="C647" s="7" t="s">
        <v>19</v>
      </c>
      <c r="D647" s="7"/>
      <c r="E647" s="7"/>
      <c r="F647" s="7" t="s">
        <v>91</v>
      </c>
      <c r="G647" s="7" t="s">
        <v>92</v>
      </c>
      <c r="H647" s="7" t="s">
        <v>139</v>
      </c>
      <c r="I647" s="7" t="s">
        <v>141</v>
      </c>
      <c r="J647" s="8">
        <v>0.27342900000000003</v>
      </c>
      <c r="K647" s="8">
        <v>0.21822368489999999</v>
      </c>
      <c r="L647" s="8">
        <v>0</v>
      </c>
      <c r="M647" s="8">
        <v>0.5443614</v>
      </c>
      <c r="N647" s="8">
        <v>1.0020600000000003E-2</v>
      </c>
      <c r="O647" s="8">
        <v>3.5123399999999999E-2</v>
      </c>
      <c r="P647" s="8">
        <v>0</v>
      </c>
      <c r="Q647" t="s">
        <v>26</v>
      </c>
    </row>
    <row r="648" spans="1:17" hidden="1" x14ac:dyDescent="0.25">
      <c r="A648" s="7" t="s">
        <v>17</v>
      </c>
      <c r="B648" s="7" t="s">
        <v>18</v>
      </c>
      <c r="C648" s="7" t="s">
        <v>19</v>
      </c>
      <c r="D648" s="7"/>
      <c r="E648" s="7"/>
      <c r="F648" s="7" t="s">
        <v>93</v>
      </c>
      <c r="G648" s="7" t="s">
        <v>94</v>
      </c>
      <c r="H648" s="7" t="s">
        <v>139</v>
      </c>
      <c r="I648" s="7" t="s">
        <v>141</v>
      </c>
      <c r="J648" s="8">
        <v>5.6204850000000001E-2</v>
      </c>
      <c r="K648" s="8">
        <v>4.4857090784999998E-2</v>
      </c>
      <c r="L648" s="8">
        <v>0</v>
      </c>
      <c r="M648" s="8">
        <v>0.11189650999999999</v>
      </c>
      <c r="N648" s="8">
        <v>2.0597900000000001E-3</v>
      </c>
      <c r="O648" s="8">
        <v>7.2198100000000001E-3</v>
      </c>
      <c r="P648" s="8">
        <v>0</v>
      </c>
      <c r="Q648" t="s">
        <v>26</v>
      </c>
    </row>
    <row r="649" spans="1:17" hidden="1" x14ac:dyDescent="0.25">
      <c r="A649" s="7" t="s">
        <v>17</v>
      </c>
      <c r="B649" s="7" t="s">
        <v>18</v>
      </c>
      <c r="C649" s="7" t="s">
        <v>19</v>
      </c>
      <c r="D649" s="7"/>
      <c r="E649" s="7"/>
      <c r="F649" s="7" t="s">
        <v>95</v>
      </c>
      <c r="G649" s="7" t="s">
        <v>96</v>
      </c>
      <c r="H649" s="7" t="s">
        <v>139</v>
      </c>
      <c r="I649" s="7" t="s">
        <v>141</v>
      </c>
      <c r="J649" s="8">
        <v>0.10289564999999999</v>
      </c>
      <c r="K649" s="8">
        <v>8.2121018264999998E-2</v>
      </c>
      <c r="L649" s="8">
        <v>0</v>
      </c>
      <c r="M649" s="8">
        <v>0.20485178999999998</v>
      </c>
      <c r="N649" s="8">
        <v>3.7709100000000001E-3</v>
      </c>
      <c r="O649" s="8">
        <v>1.3217490000000002E-2</v>
      </c>
      <c r="P649" s="8">
        <v>0</v>
      </c>
      <c r="Q649" t="s">
        <v>26</v>
      </c>
    </row>
    <row r="650" spans="1:17" hidden="1" x14ac:dyDescent="0.25">
      <c r="A650" s="7" t="s">
        <v>17</v>
      </c>
      <c r="B650" s="7" t="s">
        <v>18</v>
      </c>
      <c r="C650" s="7" t="s">
        <v>19</v>
      </c>
      <c r="D650" s="7"/>
      <c r="E650" s="7"/>
      <c r="F650" s="7" t="s">
        <v>97</v>
      </c>
      <c r="G650" s="7" t="s">
        <v>98</v>
      </c>
      <c r="H650" s="7" t="s">
        <v>139</v>
      </c>
      <c r="I650" s="7" t="s">
        <v>141</v>
      </c>
      <c r="J650" s="8">
        <v>0.38368005000000005</v>
      </c>
      <c r="K650" s="8">
        <v>0.30621504790499998</v>
      </c>
      <c r="L650" s="8">
        <v>0</v>
      </c>
      <c r="M650" s="8">
        <v>0.76385682999999982</v>
      </c>
      <c r="N650" s="8">
        <v>1.4061070000000004E-2</v>
      </c>
      <c r="O650" s="8">
        <v>4.928573E-2</v>
      </c>
      <c r="P650" s="8">
        <v>0</v>
      </c>
      <c r="Q650" t="s">
        <v>26</v>
      </c>
    </row>
    <row r="651" spans="1:17" hidden="1" x14ac:dyDescent="0.25">
      <c r="A651" s="7" t="s">
        <v>17</v>
      </c>
      <c r="B651" s="7" t="s">
        <v>18</v>
      </c>
      <c r="C651" s="7" t="s">
        <v>19</v>
      </c>
      <c r="D651" s="7"/>
      <c r="E651" s="7"/>
      <c r="F651" s="7" t="s">
        <v>99</v>
      </c>
      <c r="G651" s="7" t="s">
        <v>100</v>
      </c>
      <c r="H651" s="7" t="s">
        <v>139</v>
      </c>
      <c r="I651" s="7" t="s">
        <v>141</v>
      </c>
      <c r="J651" s="8">
        <v>4.0295599500000021</v>
      </c>
      <c r="K651" s="8">
        <v>3.2159917960949995</v>
      </c>
      <c r="L651" s="8">
        <v>0</v>
      </c>
      <c r="M651" s="8">
        <v>8.0223271699999987</v>
      </c>
      <c r="N651" s="8">
        <v>0.14767492999999998</v>
      </c>
      <c r="O651" s="8">
        <v>0.51761827000000016</v>
      </c>
      <c r="P651" s="8">
        <v>0</v>
      </c>
      <c r="Q651" t="s">
        <v>26</v>
      </c>
    </row>
    <row r="652" spans="1:17" hidden="1" x14ac:dyDescent="0.25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21</v>
      </c>
      <c r="F652" s="7" t="s">
        <v>101</v>
      </c>
      <c r="G652" s="7" t="s">
        <v>21</v>
      </c>
      <c r="H652" s="7" t="s">
        <v>139</v>
      </c>
      <c r="I652" s="7" t="s">
        <v>141</v>
      </c>
      <c r="J652" s="8">
        <v>88.487060999999983</v>
      </c>
      <c r="K652" s="8">
        <v>70.621523384099831</v>
      </c>
      <c r="L652" s="8">
        <v>0</v>
      </c>
      <c r="M652" s="8">
        <v>176.16617260000012</v>
      </c>
      <c r="N652" s="8">
        <v>3.2428653999999995</v>
      </c>
      <c r="O652" s="8">
        <v>11.366630600000002</v>
      </c>
      <c r="P652" s="8">
        <v>0</v>
      </c>
      <c r="Q652" t="s">
        <v>26</v>
      </c>
    </row>
    <row r="653" spans="1:17" hidden="1" x14ac:dyDescent="0.25">
      <c r="A653" s="7" t="s">
        <v>17</v>
      </c>
      <c r="B653" s="7" t="s">
        <v>18</v>
      </c>
      <c r="C653" s="7" t="s">
        <v>19</v>
      </c>
      <c r="D653" s="7"/>
      <c r="E653" s="7"/>
      <c r="F653" s="7" t="s">
        <v>102</v>
      </c>
      <c r="G653" s="7" t="s">
        <v>103</v>
      </c>
      <c r="H653" s="7" t="s">
        <v>139</v>
      </c>
      <c r="I653" s="7" t="s">
        <v>141</v>
      </c>
      <c r="J653" s="8">
        <v>6.5718899999999997E-2</v>
      </c>
      <c r="K653" s="8">
        <v>5.2450254089999995E-2</v>
      </c>
      <c r="L653" s="8">
        <v>0</v>
      </c>
      <c r="M653" s="8">
        <v>0.13083773999999998</v>
      </c>
      <c r="N653" s="8">
        <v>2.4084600000000003E-3</v>
      </c>
      <c r="O653" s="8">
        <v>8.4419399999999985E-3</v>
      </c>
      <c r="P653" s="8">
        <v>0</v>
      </c>
      <c r="Q653" t="s">
        <v>26</v>
      </c>
    </row>
    <row r="654" spans="1:17" hidden="1" x14ac:dyDescent="0.25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21</v>
      </c>
      <c r="F654" s="7" t="s">
        <v>104</v>
      </c>
      <c r="G654" s="7" t="s">
        <v>105</v>
      </c>
      <c r="H654" s="7" t="s">
        <v>139</v>
      </c>
      <c r="I654" s="7" t="s">
        <v>141</v>
      </c>
      <c r="J654" s="8">
        <v>3.7084008000000015</v>
      </c>
      <c r="K654" s="8">
        <v>2.9596746784800008</v>
      </c>
      <c r="L654" s="8">
        <v>0</v>
      </c>
      <c r="M654" s="8">
        <v>7.3829412799999989</v>
      </c>
      <c r="N654" s="8">
        <v>0.13590511999999999</v>
      </c>
      <c r="O654" s="8">
        <v>0.4763636799999999</v>
      </c>
      <c r="P654" s="8">
        <v>0</v>
      </c>
      <c r="Q654" t="s">
        <v>26</v>
      </c>
    </row>
    <row r="655" spans="1:17" hidden="1" x14ac:dyDescent="0.25">
      <c r="A655" s="7" t="s">
        <v>17</v>
      </c>
      <c r="B655" s="7" t="s">
        <v>18</v>
      </c>
      <c r="C655" s="7" t="s">
        <v>19</v>
      </c>
      <c r="D655" s="7"/>
      <c r="E655" s="7"/>
      <c r="F655" s="7" t="s">
        <v>106</v>
      </c>
      <c r="G655" s="7" t="s">
        <v>107</v>
      </c>
      <c r="H655" s="7" t="s">
        <v>139</v>
      </c>
      <c r="I655" s="7" t="s">
        <v>141</v>
      </c>
      <c r="J655" s="8">
        <v>9.0983099999999997E-2</v>
      </c>
      <c r="K655" s="8">
        <v>7.2613612110000003E-2</v>
      </c>
      <c r="L655" s="8">
        <v>0</v>
      </c>
      <c r="M655" s="8">
        <v>0.18113545999999997</v>
      </c>
      <c r="N655" s="8">
        <v>3.3343400000000003E-3</v>
      </c>
      <c r="O655" s="8">
        <v>1.168726E-2</v>
      </c>
      <c r="P655" s="8">
        <v>0</v>
      </c>
      <c r="Q655" t="s">
        <v>26</v>
      </c>
    </row>
    <row r="656" spans="1:17" hidden="1" x14ac:dyDescent="0.25">
      <c r="A656" s="7" t="s">
        <v>17</v>
      </c>
      <c r="B656" s="7" t="s">
        <v>18</v>
      </c>
      <c r="C656" s="7" t="s">
        <v>19</v>
      </c>
      <c r="D656" s="7"/>
      <c r="E656" s="7"/>
      <c r="F656" s="7" t="s">
        <v>108</v>
      </c>
      <c r="G656" s="7" t="s">
        <v>109</v>
      </c>
      <c r="H656" s="7" t="s">
        <v>139</v>
      </c>
      <c r="I656" s="7" t="s">
        <v>141</v>
      </c>
      <c r="J656" s="8">
        <v>3.1980000000000001E-2</v>
      </c>
      <c r="K656" s="8">
        <v>2.5523237999999997E-2</v>
      </c>
      <c r="L656" s="8">
        <v>0</v>
      </c>
      <c r="M656" s="8">
        <v>6.3667999999999988E-2</v>
      </c>
      <c r="N656" s="8">
        <v>1.1720000000000001E-3</v>
      </c>
      <c r="O656" s="8">
        <v>4.1079999999999997E-3</v>
      </c>
      <c r="P656" s="8">
        <v>0</v>
      </c>
      <c r="Q656" t="s">
        <v>26</v>
      </c>
    </row>
    <row r="657" spans="1:17" hidden="1" x14ac:dyDescent="0.25">
      <c r="A657" s="7" t="s">
        <v>17</v>
      </c>
      <c r="B657" s="7" t="s">
        <v>18</v>
      </c>
      <c r="C657" s="7" t="s">
        <v>19</v>
      </c>
      <c r="D657" s="7"/>
      <c r="E657" s="7"/>
      <c r="F657" s="7" t="s">
        <v>110</v>
      </c>
      <c r="G657" s="7" t="s">
        <v>111</v>
      </c>
      <c r="H657" s="7" t="s">
        <v>139</v>
      </c>
      <c r="I657" s="7" t="s">
        <v>141</v>
      </c>
      <c r="J657" s="8">
        <v>2.9240113499999998</v>
      </c>
      <c r="K657" s="8">
        <v>2.3336534584350002</v>
      </c>
      <c r="L657" s="8">
        <v>0</v>
      </c>
      <c r="M657" s="8">
        <v>5.8213244100000008</v>
      </c>
      <c r="N657" s="8">
        <v>0.10715888999999998</v>
      </c>
      <c r="O657" s="8">
        <v>0.37560471000000001</v>
      </c>
      <c r="P657" s="8">
        <v>0</v>
      </c>
      <c r="Q657" t="s">
        <v>26</v>
      </c>
    </row>
    <row r="658" spans="1:17" hidden="1" x14ac:dyDescent="0.25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21</v>
      </c>
      <c r="F658" s="7" t="s">
        <v>112</v>
      </c>
      <c r="G658" s="7" t="s">
        <v>113</v>
      </c>
      <c r="H658" s="7" t="s">
        <v>139</v>
      </c>
      <c r="I658" s="7" t="s">
        <v>141</v>
      </c>
      <c r="J658" s="8">
        <v>3.8271265500000009</v>
      </c>
      <c r="K658" s="8">
        <v>3.0544296995549995</v>
      </c>
      <c r="L658" s="8">
        <v>0</v>
      </c>
      <c r="M658" s="8">
        <v>7.6193087299999984</v>
      </c>
      <c r="N658" s="8">
        <v>0.14025616999999999</v>
      </c>
      <c r="O658" s="8">
        <v>0.49161463</v>
      </c>
      <c r="P658" s="8">
        <v>0</v>
      </c>
      <c r="Q658" t="s">
        <v>26</v>
      </c>
    </row>
    <row r="659" spans="1:17" hidden="1" x14ac:dyDescent="0.25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21</v>
      </c>
      <c r="F659" s="7" t="s">
        <v>114</v>
      </c>
      <c r="G659" s="7" t="s">
        <v>115</v>
      </c>
      <c r="H659" s="7" t="s">
        <v>139</v>
      </c>
      <c r="I659" s="7" t="s">
        <v>141</v>
      </c>
      <c r="J659" s="8">
        <v>37.843293150000001</v>
      </c>
      <c r="K659" s="8">
        <v>30.202732263015012</v>
      </c>
      <c r="L659" s="8">
        <v>0</v>
      </c>
      <c r="M659" s="8">
        <v>75.341050289999998</v>
      </c>
      <c r="N659" s="8">
        <v>1.3868774100000003</v>
      </c>
      <c r="O659" s="8">
        <v>4.8611709899999989</v>
      </c>
      <c r="P659" s="8">
        <v>0</v>
      </c>
      <c r="Q659" t="s">
        <v>26</v>
      </c>
    </row>
    <row r="660" spans="1:17" hidden="1" x14ac:dyDescent="0.25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21</v>
      </c>
      <c r="F660" s="7" t="s">
        <v>116</v>
      </c>
      <c r="G660" s="7" t="s">
        <v>117</v>
      </c>
      <c r="H660" s="7" t="s">
        <v>139</v>
      </c>
      <c r="I660" s="7" t="s">
        <v>141</v>
      </c>
      <c r="J660" s="8">
        <v>1.2626503500000001</v>
      </c>
      <c r="K660" s="8">
        <v>1.0077212443350001</v>
      </c>
      <c r="L660" s="8">
        <v>0</v>
      </c>
      <c r="M660" s="8">
        <v>2.5137718099999997</v>
      </c>
      <c r="N660" s="8">
        <v>4.6273490000000007E-2</v>
      </c>
      <c r="O660" s="8">
        <v>0.16219410999999997</v>
      </c>
      <c r="P660" s="8">
        <v>0</v>
      </c>
      <c r="Q660" t="s">
        <v>26</v>
      </c>
    </row>
    <row r="661" spans="1:17" hidden="1" x14ac:dyDescent="0.25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21</v>
      </c>
      <c r="F661" s="7" t="s">
        <v>118</v>
      </c>
      <c r="G661" s="7" t="s">
        <v>119</v>
      </c>
      <c r="H661" s="7" t="s">
        <v>139</v>
      </c>
      <c r="I661" s="7" t="s">
        <v>141</v>
      </c>
      <c r="J661" s="8">
        <v>25.13188275000001</v>
      </c>
      <c r="K661" s="8">
        <v>20.057755622774994</v>
      </c>
      <c r="L661" s="8">
        <v>0</v>
      </c>
      <c r="M661" s="8">
        <v>50.034293649999974</v>
      </c>
      <c r="N661" s="8">
        <v>0.92103085000000062</v>
      </c>
      <c r="O661" s="8">
        <v>3.2283231500000023</v>
      </c>
      <c r="P661" s="8">
        <v>0</v>
      </c>
      <c r="Q661" t="s">
        <v>26</v>
      </c>
    </row>
    <row r="662" spans="1:17" hidden="1" x14ac:dyDescent="0.25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21</v>
      </c>
      <c r="F662" s="7" t="s">
        <v>120</v>
      </c>
      <c r="G662" s="7" t="s">
        <v>121</v>
      </c>
      <c r="H662" s="7" t="s">
        <v>139</v>
      </c>
      <c r="I662" s="7" t="s">
        <v>141</v>
      </c>
      <c r="J662" s="8">
        <v>3.342869400000001</v>
      </c>
      <c r="K662" s="8">
        <v>2.6679440681400002</v>
      </c>
      <c r="L662" s="8">
        <v>0</v>
      </c>
      <c r="M662" s="8">
        <v>6.65521604</v>
      </c>
      <c r="N662" s="8">
        <v>0.12250915999999998</v>
      </c>
      <c r="O662" s="8">
        <v>0.42940924000000008</v>
      </c>
      <c r="P662" s="8">
        <v>0</v>
      </c>
      <c r="Q662" t="s">
        <v>26</v>
      </c>
    </row>
    <row r="663" spans="1:17" hidden="1" x14ac:dyDescent="0.25">
      <c r="A663" s="7" t="s">
        <v>17</v>
      </c>
      <c r="B663" s="7" t="s">
        <v>18</v>
      </c>
      <c r="C663" s="7" t="s">
        <v>19</v>
      </c>
      <c r="D663" s="7"/>
      <c r="E663" s="7"/>
      <c r="F663" s="7" t="s">
        <v>122</v>
      </c>
      <c r="G663" s="7" t="s">
        <v>123</v>
      </c>
      <c r="H663" s="7" t="s">
        <v>139</v>
      </c>
      <c r="I663" s="7" t="s">
        <v>141</v>
      </c>
      <c r="J663" s="8">
        <v>4.8129900000000003E-2</v>
      </c>
      <c r="K663" s="8">
        <v>3.8412473189999997E-2</v>
      </c>
      <c r="L663" s="8">
        <v>0</v>
      </c>
      <c r="M663" s="8">
        <v>9.5820339999999976E-2</v>
      </c>
      <c r="N663" s="8">
        <v>1.7638600000000003E-3</v>
      </c>
      <c r="O663" s="8">
        <v>6.1825400000000003E-3</v>
      </c>
      <c r="P663" s="8">
        <v>0</v>
      </c>
      <c r="Q663" t="s">
        <v>26</v>
      </c>
    </row>
    <row r="664" spans="1:17" hidden="1" x14ac:dyDescent="0.25">
      <c r="A664" s="7" t="s">
        <v>17</v>
      </c>
      <c r="B664" s="7" t="s">
        <v>18</v>
      </c>
      <c r="C664" s="7" t="s">
        <v>19</v>
      </c>
      <c r="D664" s="7"/>
      <c r="E664" s="7"/>
      <c r="F664" s="7" t="s">
        <v>124</v>
      </c>
      <c r="G664" s="7" t="s">
        <v>125</v>
      </c>
      <c r="H664" s="7" t="s">
        <v>139</v>
      </c>
      <c r="I664" s="7" t="s">
        <v>141</v>
      </c>
      <c r="J664" s="8">
        <v>0.25472070000000002</v>
      </c>
      <c r="K664" s="8">
        <v>0.20329259066999997</v>
      </c>
      <c r="L664" s="8">
        <v>0</v>
      </c>
      <c r="M664" s="8">
        <v>0.50711561999999988</v>
      </c>
      <c r="N664" s="8">
        <v>9.3349799999999979E-3</v>
      </c>
      <c r="O664" s="8">
        <v>3.2720219999999994E-2</v>
      </c>
      <c r="P664" s="8">
        <v>0</v>
      </c>
      <c r="Q664" t="s">
        <v>26</v>
      </c>
    </row>
    <row r="665" spans="1:17" hidden="1" x14ac:dyDescent="0.25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21</v>
      </c>
      <c r="F665" s="7" t="s">
        <v>22</v>
      </c>
      <c r="G665" s="7" t="s">
        <v>23</v>
      </c>
      <c r="H665" s="7" t="s">
        <v>139</v>
      </c>
      <c r="I665" s="7" t="s">
        <v>142</v>
      </c>
      <c r="J665" s="8"/>
      <c r="K665" s="8"/>
      <c r="L665" s="8"/>
      <c r="M665" s="8"/>
      <c r="N665" s="8"/>
      <c r="O665" s="8">
        <v>0</v>
      </c>
      <c r="P665" s="8"/>
      <c r="Q665" t="s">
        <v>26</v>
      </c>
    </row>
    <row r="666" spans="1:17" hidden="1" x14ac:dyDescent="0.25">
      <c r="A666" s="7" t="s">
        <v>17</v>
      </c>
      <c r="B666" s="7" t="s">
        <v>18</v>
      </c>
      <c r="C666" s="7" t="s">
        <v>19</v>
      </c>
      <c r="D666" s="7"/>
      <c r="E666" s="7"/>
      <c r="F666" s="7" t="s">
        <v>27</v>
      </c>
      <c r="G666" s="7" t="s">
        <v>28</v>
      </c>
      <c r="H666" s="7" t="s">
        <v>139</v>
      </c>
      <c r="I666" s="7" t="s">
        <v>142</v>
      </c>
      <c r="J666" s="8"/>
      <c r="K666" s="8"/>
      <c r="L666" s="8"/>
      <c r="M666" s="8"/>
      <c r="N666" s="8"/>
      <c r="O666" s="8">
        <v>8.352363479351424E-2</v>
      </c>
      <c r="P666" s="8"/>
      <c r="Q666" t="s">
        <v>26</v>
      </c>
    </row>
    <row r="667" spans="1:17" hidden="1" x14ac:dyDescent="0.25">
      <c r="A667" s="7" t="s">
        <v>17</v>
      </c>
      <c r="B667" s="7" t="s">
        <v>18</v>
      </c>
      <c r="C667" s="7" t="s">
        <v>19</v>
      </c>
      <c r="D667" s="7"/>
      <c r="E667" s="7"/>
      <c r="F667" s="7" t="s">
        <v>29</v>
      </c>
      <c r="G667" s="7" t="s">
        <v>30</v>
      </c>
      <c r="H667" s="7" t="s">
        <v>139</v>
      </c>
      <c r="I667" s="7" t="s">
        <v>142</v>
      </c>
      <c r="J667" s="8"/>
      <c r="K667" s="8"/>
      <c r="L667" s="8"/>
      <c r="M667" s="8"/>
      <c r="N667" s="8"/>
      <c r="O667" s="8">
        <v>0</v>
      </c>
      <c r="P667" s="8"/>
      <c r="Q667" t="s">
        <v>26</v>
      </c>
    </row>
    <row r="668" spans="1:17" hidden="1" x14ac:dyDescent="0.25">
      <c r="A668" s="7" t="s">
        <v>17</v>
      </c>
      <c r="B668" s="7" t="s">
        <v>18</v>
      </c>
      <c r="C668" s="7" t="s">
        <v>19</v>
      </c>
      <c r="D668" s="7"/>
      <c r="E668" s="7"/>
      <c r="F668" s="7" t="s">
        <v>31</v>
      </c>
      <c r="G668" s="7" t="s">
        <v>32</v>
      </c>
      <c r="H668" s="7" t="s">
        <v>139</v>
      </c>
      <c r="I668" s="7" t="s">
        <v>142</v>
      </c>
      <c r="J668" s="8"/>
      <c r="K668" s="8"/>
      <c r="L668" s="8"/>
      <c r="M668" s="8"/>
      <c r="N668" s="8"/>
      <c r="O668" s="8">
        <v>1.3781399740929852</v>
      </c>
      <c r="P668" s="8"/>
      <c r="Q668" t="s">
        <v>26</v>
      </c>
    </row>
    <row r="669" spans="1:17" hidden="1" x14ac:dyDescent="0.25">
      <c r="A669" s="7" t="s">
        <v>17</v>
      </c>
      <c r="B669" s="7" t="s">
        <v>18</v>
      </c>
      <c r="C669" s="7" t="s">
        <v>19</v>
      </c>
      <c r="D669" s="7"/>
      <c r="E669" s="7"/>
      <c r="F669" s="7" t="s">
        <v>33</v>
      </c>
      <c r="G669" s="7" t="s">
        <v>34</v>
      </c>
      <c r="H669" s="7" t="s">
        <v>139</v>
      </c>
      <c r="I669" s="7" t="s">
        <v>142</v>
      </c>
      <c r="J669" s="8"/>
      <c r="K669" s="8"/>
      <c r="L669" s="8"/>
      <c r="M669" s="8"/>
      <c r="N669" s="8"/>
      <c r="O669" s="8">
        <v>1.6913536045686635</v>
      </c>
      <c r="P669" s="8"/>
      <c r="Q669" t="s">
        <v>26</v>
      </c>
    </row>
    <row r="670" spans="1:17" hidden="1" x14ac:dyDescent="0.25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21</v>
      </c>
      <c r="F670" s="7" t="s">
        <v>35</v>
      </c>
      <c r="G670" s="7" t="s">
        <v>36</v>
      </c>
      <c r="H670" s="7" t="s">
        <v>139</v>
      </c>
      <c r="I670" s="7" t="s">
        <v>142</v>
      </c>
      <c r="J670" s="8"/>
      <c r="K670" s="8"/>
      <c r="L670" s="8"/>
      <c r="M670" s="8"/>
      <c r="N670" s="8"/>
      <c r="O670" s="8">
        <v>8.4985298402400744</v>
      </c>
      <c r="P670" s="8"/>
      <c r="Q670" t="s">
        <v>26</v>
      </c>
    </row>
    <row r="671" spans="1:17" hidden="1" x14ac:dyDescent="0.25">
      <c r="A671" s="7" t="s">
        <v>17</v>
      </c>
      <c r="B671" s="7" t="s">
        <v>18</v>
      </c>
      <c r="C671" s="7" t="s">
        <v>19</v>
      </c>
      <c r="D671" s="7"/>
      <c r="E671" s="7"/>
      <c r="F671" s="7" t="s">
        <v>37</v>
      </c>
      <c r="G671" s="7" t="s">
        <v>38</v>
      </c>
      <c r="H671" s="7" t="s">
        <v>139</v>
      </c>
      <c r="I671" s="7" t="s">
        <v>142</v>
      </c>
      <c r="J671" s="8"/>
      <c r="K671" s="8"/>
      <c r="L671" s="8"/>
      <c r="M671" s="8"/>
      <c r="N671" s="8"/>
      <c r="O671" s="8">
        <v>1.0440454349189281</v>
      </c>
      <c r="P671" s="8"/>
      <c r="Q671" t="s">
        <v>26</v>
      </c>
    </row>
    <row r="672" spans="1:17" hidden="1" x14ac:dyDescent="0.25">
      <c r="A672" s="7" t="s">
        <v>17</v>
      </c>
      <c r="B672" s="7" t="s">
        <v>18</v>
      </c>
      <c r="C672" s="7" t="s">
        <v>19</v>
      </c>
      <c r="D672" s="7"/>
      <c r="E672" s="7"/>
      <c r="F672" s="7" t="s">
        <v>39</v>
      </c>
      <c r="G672" s="7" t="s">
        <v>40</v>
      </c>
      <c r="H672" s="7" t="s">
        <v>139</v>
      </c>
      <c r="I672" s="7" t="s">
        <v>142</v>
      </c>
      <c r="J672" s="8"/>
      <c r="K672" s="8"/>
      <c r="L672" s="8"/>
      <c r="M672" s="8"/>
      <c r="N672" s="8"/>
      <c r="O672" s="8">
        <v>1.5451872436800134</v>
      </c>
      <c r="P672" s="8"/>
      <c r="Q672" t="s">
        <v>26</v>
      </c>
    </row>
    <row r="673" spans="1:17" hidden="1" x14ac:dyDescent="0.25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21</v>
      </c>
      <c r="F673" s="7" t="s">
        <v>41</v>
      </c>
      <c r="G673" s="7" t="s">
        <v>42</v>
      </c>
      <c r="H673" s="7" t="s">
        <v>139</v>
      </c>
      <c r="I673" s="7" t="s">
        <v>142</v>
      </c>
      <c r="J673" s="8"/>
      <c r="K673" s="8"/>
      <c r="L673" s="8"/>
      <c r="M673" s="8"/>
      <c r="N673" s="8"/>
      <c r="O673" s="8">
        <v>1.5869490610767705</v>
      </c>
      <c r="P673" s="8"/>
      <c r="Q673" t="s">
        <v>26</v>
      </c>
    </row>
    <row r="674" spans="1:17" hidden="1" x14ac:dyDescent="0.25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21</v>
      </c>
      <c r="F674" s="7" t="s">
        <v>43</v>
      </c>
      <c r="G674" s="7" t="s">
        <v>44</v>
      </c>
      <c r="H674" s="7" t="s">
        <v>139</v>
      </c>
      <c r="I674" s="7" t="s">
        <v>142</v>
      </c>
      <c r="J674" s="8"/>
      <c r="K674" s="8"/>
      <c r="L674" s="8"/>
      <c r="M674" s="8"/>
      <c r="N674" s="8"/>
      <c r="O674" s="8">
        <v>0.25057090438054275</v>
      </c>
      <c r="P674" s="8"/>
      <c r="Q674" t="s">
        <v>26</v>
      </c>
    </row>
    <row r="675" spans="1:17" hidden="1" x14ac:dyDescent="0.25">
      <c r="A675" s="7" t="s">
        <v>17</v>
      </c>
      <c r="B675" s="7" t="s">
        <v>18</v>
      </c>
      <c r="C675" s="7" t="s">
        <v>19</v>
      </c>
      <c r="D675" s="7"/>
      <c r="E675" s="7"/>
      <c r="F675" s="7" t="s">
        <v>45</v>
      </c>
      <c r="G675" s="7" t="s">
        <v>46</v>
      </c>
      <c r="H675" s="7" t="s">
        <v>139</v>
      </c>
      <c r="I675" s="7" t="s">
        <v>142</v>
      </c>
      <c r="J675" s="8"/>
      <c r="K675" s="8"/>
      <c r="L675" s="8"/>
      <c r="M675" s="8"/>
      <c r="N675" s="8"/>
      <c r="O675" s="8">
        <v>0.33409453917405696</v>
      </c>
      <c r="P675" s="8"/>
      <c r="Q675" t="s">
        <v>26</v>
      </c>
    </row>
    <row r="676" spans="1:17" hidden="1" x14ac:dyDescent="0.25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21</v>
      </c>
      <c r="F676" s="7" t="s">
        <v>47</v>
      </c>
      <c r="G676" s="7" t="s">
        <v>48</v>
      </c>
      <c r="H676" s="7" t="s">
        <v>139</v>
      </c>
      <c r="I676" s="7" t="s">
        <v>142</v>
      </c>
      <c r="J676" s="8"/>
      <c r="K676" s="8"/>
      <c r="L676" s="8"/>
      <c r="M676" s="8"/>
      <c r="N676" s="8"/>
      <c r="O676" s="8">
        <v>0.66818907834811392</v>
      </c>
      <c r="P676" s="8"/>
      <c r="Q676" t="s">
        <v>26</v>
      </c>
    </row>
    <row r="677" spans="1:17" hidden="1" x14ac:dyDescent="0.25">
      <c r="A677" s="7" t="s">
        <v>17</v>
      </c>
      <c r="B677" s="7" t="s">
        <v>18</v>
      </c>
      <c r="C677" s="7" t="s">
        <v>19</v>
      </c>
      <c r="D677" s="7"/>
      <c r="E677" s="7"/>
      <c r="F677" s="7" t="s">
        <v>49</v>
      </c>
      <c r="G677" s="7" t="s">
        <v>50</v>
      </c>
      <c r="H677" s="7" t="s">
        <v>139</v>
      </c>
      <c r="I677" s="7" t="s">
        <v>142</v>
      </c>
      <c r="J677" s="8"/>
      <c r="K677" s="8"/>
      <c r="L677" s="8"/>
      <c r="M677" s="8"/>
      <c r="N677" s="8"/>
      <c r="O677" s="8">
        <v>0.50114180876108538</v>
      </c>
      <c r="P677" s="8"/>
      <c r="Q677" t="s">
        <v>26</v>
      </c>
    </row>
    <row r="678" spans="1:17" hidden="1" x14ac:dyDescent="0.25">
      <c r="A678" s="7" t="s">
        <v>17</v>
      </c>
      <c r="B678" s="7" t="s">
        <v>18</v>
      </c>
      <c r="C678" s="7" t="s">
        <v>19</v>
      </c>
      <c r="D678" s="7"/>
      <c r="E678" s="7"/>
      <c r="F678" s="7" t="s">
        <v>51</v>
      </c>
      <c r="G678" s="7" t="s">
        <v>52</v>
      </c>
      <c r="H678" s="7" t="s">
        <v>139</v>
      </c>
      <c r="I678" s="7" t="s">
        <v>142</v>
      </c>
      <c r="J678" s="8"/>
      <c r="K678" s="8"/>
      <c r="L678" s="8"/>
      <c r="M678" s="8"/>
      <c r="N678" s="8"/>
      <c r="O678" s="8">
        <v>0.96052180012541377</v>
      </c>
      <c r="P678" s="8"/>
      <c r="Q678" t="s">
        <v>26</v>
      </c>
    </row>
    <row r="679" spans="1:17" hidden="1" x14ac:dyDescent="0.25">
      <c r="A679" s="7" t="s">
        <v>17</v>
      </c>
      <c r="B679" s="7" t="s">
        <v>18</v>
      </c>
      <c r="C679" s="7" t="s">
        <v>19</v>
      </c>
      <c r="D679" s="7"/>
      <c r="E679" s="7"/>
      <c r="F679" s="7" t="s">
        <v>53</v>
      </c>
      <c r="G679" s="7" t="s">
        <v>54</v>
      </c>
      <c r="H679" s="7" t="s">
        <v>139</v>
      </c>
      <c r="I679" s="7" t="s">
        <v>142</v>
      </c>
      <c r="J679" s="8"/>
      <c r="K679" s="8"/>
      <c r="L679" s="8"/>
      <c r="M679" s="8"/>
      <c r="N679" s="8"/>
      <c r="O679" s="8">
        <v>0</v>
      </c>
      <c r="P679" s="8"/>
      <c r="Q679" t="s">
        <v>26</v>
      </c>
    </row>
    <row r="680" spans="1:17" hidden="1" x14ac:dyDescent="0.25">
      <c r="A680" s="7" t="s">
        <v>17</v>
      </c>
      <c r="B680" s="7" t="s">
        <v>18</v>
      </c>
      <c r="C680" s="7" t="s">
        <v>19</v>
      </c>
      <c r="D680" s="7"/>
      <c r="E680" s="7"/>
      <c r="F680" s="7" t="s">
        <v>55</v>
      </c>
      <c r="G680" s="7" t="s">
        <v>56</v>
      </c>
      <c r="H680" s="7" t="s">
        <v>139</v>
      </c>
      <c r="I680" s="7" t="s">
        <v>142</v>
      </c>
      <c r="J680" s="8"/>
      <c r="K680" s="8"/>
      <c r="L680" s="8"/>
      <c r="M680" s="8"/>
      <c r="N680" s="8"/>
      <c r="O680" s="8">
        <v>0</v>
      </c>
      <c r="P680" s="8"/>
      <c r="Q680" t="s">
        <v>26</v>
      </c>
    </row>
    <row r="681" spans="1:17" hidden="1" x14ac:dyDescent="0.25">
      <c r="A681" s="7" t="s">
        <v>17</v>
      </c>
      <c r="B681" s="7" t="s">
        <v>18</v>
      </c>
      <c r="C681" s="7" t="s">
        <v>19</v>
      </c>
      <c r="D681" s="7"/>
      <c r="E681" s="7"/>
      <c r="F681" s="7" t="s">
        <v>57</v>
      </c>
      <c r="G681" s="7" t="s">
        <v>58</v>
      </c>
      <c r="H681" s="7" t="s">
        <v>139</v>
      </c>
      <c r="I681" s="7" t="s">
        <v>142</v>
      </c>
      <c r="J681" s="8"/>
      <c r="K681" s="8"/>
      <c r="L681" s="8"/>
      <c r="M681" s="8"/>
      <c r="N681" s="8"/>
      <c r="O681" s="8">
        <v>0.58466544355459971</v>
      </c>
      <c r="P681" s="8"/>
      <c r="Q681" t="s">
        <v>26</v>
      </c>
    </row>
    <row r="682" spans="1:17" hidden="1" x14ac:dyDescent="0.25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21</v>
      </c>
      <c r="F682" s="7" t="s">
        <v>59</v>
      </c>
      <c r="G682" s="7" t="s">
        <v>60</v>
      </c>
      <c r="H682" s="7" t="s">
        <v>139</v>
      </c>
      <c r="I682" s="7" t="s">
        <v>142</v>
      </c>
      <c r="J682" s="8"/>
      <c r="K682" s="8"/>
      <c r="L682" s="8"/>
      <c r="M682" s="8"/>
      <c r="N682" s="8"/>
      <c r="O682" s="8">
        <v>2.5265899525038056</v>
      </c>
      <c r="P682" s="8"/>
      <c r="Q682" t="s">
        <v>26</v>
      </c>
    </row>
    <row r="683" spans="1:17" hidden="1" x14ac:dyDescent="0.25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21</v>
      </c>
      <c r="F683" s="7" t="s">
        <v>61</v>
      </c>
      <c r="G683" s="7" t="s">
        <v>62</v>
      </c>
      <c r="H683" s="7" t="s">
        <v>139</v>
      </c>
      <c r="I683" s="7" t="s">
        <v>142</v>
      </c>
      <c r="J683" s="8"/>
      <c r="K683" s="8"/>
      <c r="L683" s="8"/>
      <c r="M683" s="8"/>
      <c r="N683" s="8"/>
      <c r="O683" s="8">
        <v>4.5729190049449047</v>
      </c>
      <c r="P683" s="8"/>
      <c r="Q683" t="s">
        <v>26</v>
      </c>
    </row>
    <row r="684" spans="1:17" hidden="1" x14ac:dyDescent="0.25">
      <c r="A684" s="7" t="s">
        <v>17</v>
      </c>
      <c r="B684" s="7" t="s">
        <v>18</v>
      </c>
      <c r="C684" s="7" t="s">
        <v>19</v>
      </c>
      <c r="D684" s="7"/>
      <c r="E684" s="7"/>
      <c r="F684" s="7" t="s">
        <v>63</v>
      </c>
      <c r="G684" s="7" t="s">
        <v>64</v>
      </c>
      <c r="H684" s="7" t="s">
        <v>139</v>
      </c>
      <c r="I684" s="7" t="s">
        <v>142</v>
      </c>
      <c r="J684" s="8"/>
      <c r="K684" s="8"/>
      <c r="L684" s="8"/>
      <c r="M684" s="8"/>
      <c r="N684" s="8"/>
      <c r="O684" s="8">
        <v>0.16704726958702848</v>
      </c>
      <c r="P684" s="8"/>
      <c r="Q684" t="s">
        <v>26</v>
      </c>
    </row>
    <row r="685" spans="1:17" hidden="1" x14ac:dyDescent="0.25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21</v>
      </c>
      <c r="F685" s="7" t="s">
        <v>65</v>
      </c>
      <c r="G685" s="7" t="s">
        <v>66</v>
      </c>
      <c r="H685" s="7" t="s">
        <v>139</v>
      </c>
      <c r="I685" s="7" t="s">
        <v>142</v>
      </c>
      <c r="J685" s="8"/>
      <c r="K685" s="8"/>
      <c r="L685" s="8"/>
      <c r="M685" s="8"/>
      <c r="N685" s="8"/>
      <c r="O685" s="8">
        <v>5.7422498920541036</v>
      </c>
      <c r="P685" s="8"/>
      <c r="Q685" t="s">
        <v>26</v>
      </c>
    </row>
    <row r="686" spans="1:17" hidden="1" x14ac:dyDescent="0.25">
      <c r="A686" s="7" t="s">
        <v>17</v>
      </c>
      <c r="B686" s="7" t="s">
        <v>18</v>
      </c>
      <c r="C686" s="7" t="s">
        <v>19</v>
      </c>
      <c r="D686" s="7"/>
      <c r="E686" s="7"/>
      <c r="F686" s="7" t="s">
        <v>67</v>
      </c>
      <c r="G686" s="7" t="s">
        <v>68</v>
      </c>
      <c r="H686" s="7" t="s">
        <v>139</v>
      </c>
      <c r="I686" s="7" t="s">
        <v>142</v>
      </c>
      <c r="J686" s="8"/>
      <c r="K686" s="8"/>
      <c r="L686" s="8"/>
      <c r="M686" s="8"/>
      <c r="N686" s="8"/>
      <c r="O686" s="8">
        <v>0.41761817396757117</v>
      </c>
      <c r="P686" s="8"/>
      <c r="Q686" t="s">
        <v>26</v>
      </c>
    </row>
    <row r="687" spans="1:17" hidden="1" x14ac:dyDescent="0.25">
      <c r="A687" s="7" t="s">
        <v>17</v>
      </c>
      <c r="B687" s="7" t="s">
        <v>18</v>
      </c>
      <c r="C687" s="7" t="s">
        <v>19</v>
      </c>
      <c r="D687" s="7"/>
      <c r="E687" s="7"/>
      <c r="F687" s="7" t="s">
        <v>69</v>
      </c>
      <c r="G687" s="7" t="s">
        <v>70</v>
      </c>
      <c r="H687" s="7" t="s">
        <v>139</v>
      </c>
      <c r="I687" s="7" t="s">
        <v>142</v>
      </c>
      <c r="J687" s="8"/>
      <c r="K687" s="8"/>
      <c r="L687" s="8"/>
      <c r="M687" s="8"/>
      <c r="N687" s="8"/>
      <c r="O687" s="8">
        <v>0</v>
      </c>
      <c r="P687" s="8"/>
      <c r="Q687" t="s">
        <v>26</v>
      </c>
    </row>
    <row r="688" spans="1:17" hidden="1" x14ac:dyDescent="0.25">
      <c r="A688" s="7" t="s">
        <v>17</v>
      </c>
      <c r="B688" s="7" t="s">
        <v>18</v>
      </c>
      <c r="C688" s="7" t="s">
        <v>19</v>
      </c>
      <c r="D688" s="7"/>
      <c r="E688" s="7"/>
      <c r="F688" s="7" t="s">
        <v>71</v>
      </c>
      <c r="G688" s="7" t="s">
        <v>72</v>
      </c>
      <c r="H688" s="7" t="s">
        <v>139</v>
      </c>
      <c r="I688" s="7" t="s">
        <v>142</v>
      </c>
      <c r="J688" s="8"/>
      <c r="K688" s="8"/>
      <c r="L688" s="8"/>
      <c r="M688" s="8"/>
      <c r="N688" s="8"/>
      <c r="O688" s="8">
        <v>0.2714518130789213</v>
      </c>
      <c r="P688" s="8"/>
      <c r="Q688" t="s">
        <v>26</v>
      </c>
    </row>
    <row r="689" spans="1:17" hidden="1" x14ac:dyDescent="0.25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21</v>
      </c>
      <c r="F689" s="7" t="s">
        <v>73</v>
      </c>
      <c r="G689" s="7" t="s">
        <v>74</v>
      </c>
      <c r="H689" s="7" t="s">
        <v>139</v>
      </c>
      <c r="I689" s="7" t="s">
        <v>142</v>
      </c>
      <c r="J689" s="8"/>
      <c r="K689" s="8"/>
      <c r="L689" s="8"/>
      <c r="M689" s="8"/>
      <c r="N689" s="8"/>
      <c r="O689" s="8">
        <v>0.66818907834811392</v>
      </c>
      <c r="P689" s="8"/>
      <c r="Q689" t="s">
        <v>26</v>
      </c>
    </row>
    <row r="690" spans="1:17" hidden="1" x14ac:dyDescent="0.25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21</v>
      </c>
      <c r="F690" s="7" t="s">
        <v>75</v>
      </c>
      <c r="G690" s="7" t="s">
        <v>76</v>
      </c>
      <c r="H690" s="7" t="s">
        <v>139</v>
      </c>
      <c r="I690" s="7" t="s">
        <v>142</v>
      </c>
      <c r="J690" s="8"/>
      <c r="K690" s="8"/>
      <c r="L690" s="8"/>
      <c r="M690" s="8"/>
      <c r="N690" s="8"/>
      <c r="O690" s="8">
        <v>20.400647798315887</v>
      </c>
      <c r="P690" s="8"/>
      <c r="Q690" t="s">
        <v>26</v>
      </c>
    </row>
    <row r="691" spans="1:17" hidden="1" x14ac:dyDescent="0.25">
      <c r="A691" s="7" t="s">
        <v>17</v>
      </c>
      <c r="B691" s="7" t="s">
        <v>18</v>
      </c>
      <c r="C691" s="7" t="s">
        <v>19</v>
      </c>
      <c r="D691" s="7"/>
      <c r="E691" s="7"/>
      <c r="F691" s="7" t="s">
        <v>77</v>
      </c>
      <c r="G691" s="7" t="s">
        <v>78</v>
      </c>
      <c r="H691" s="7" t="s">
        <v>139</v>
      </c>
      <c r="I691" s="7" t="s">
        <v>142</v>
      </c>
      <c r="J691" s="8"/>
      <c r="K691" s="8"/>
      <c r="L691" s="8"/>
      <c r="M691" s="8"/>
      <c r="N691" s="8"/>
      <c r="O691" s="8">
        <v>0.41761817396757128</v>
      </c>
      <c r="P691" s="8"/>
      <c r="Q691" t="s">
        <v>26</v>
      </c>
    </row>
    <row r="692" spans="1:17" hidden="1" x14ac:dyDescent="0.25">
      <c r="A692" s="7" t="s">
        <v>17</v>
      </c>
      <c r="B692" s="7" t="s">
        <v>18</v>
      </c>
      <c r="C692" s="7" t="s">
        <v>19</v>
      </c>
      <c r="D692" s="7"/>
      <c r="E692" s="7"/>
      <c r="F692" s="7" t="s">
        <v>79</v>
      </c>
      <c r="G692" s="7" t="s">
        <v>80</v>
      </c>
      <c r="H692" s="7" t="s">
        <v>139</v>
      </c>
      <c r="I692" s="7" t="s">
        <v>142</v>
      </c>
      <c r="J692" s="8"/>
      <c r="K692" s="8"/>
      <c r="L692" s="8"/>
      <c r="M692" s="8"/>
      <c r="N692" s="8"/>
      <c r="O692" s="8">
        <v>0.16704726958702848</v>
      </c>
      <c r="P692" s="8"/>
      <c r="Q692" t="s">
        <v>26</v>
      </c>
    </row>
    <row r="693" spans="1:17" hidden="1" x14ac:dyDescent="0.25">
      <c r="A693" s="7" t="s">
        <v>17</v>
      </c>
      <c r="B693" s="7" t="s">
        <v>18</v>
      </c>
      <c r="C693" s="7" t="s">
        <v>19</v>
      </c>
      <c r="D693" s="7"/>
      <c r="E693" s="7"/>
      <c r="F693" s="7" t="s">
        <v>81</v>
      </c>
      <c r="G693" s="7" t="s">
        <v>82</v>
      </c>
      <c r="H693" s="7" t="s">
        <v>139</v>
      </c>
      <c r="I693" s="7" t="s">
        <v>142</v>
      </c>
      <c r="J693" s="8"/>
      <c r="K693" s="8"/>
      <c r="L693" s="8"/>
      <c r="M693" s="8"/>
      <c r="N693" s="8"/>
      <c r="O693" s="8">
        <v>0.16704726958702848</v>
      </c>
      <c r="P693" s="8"/>
      <c r="Q693" t="s">
        <v>26</v>
      </c>
    </row>
    <row r="694" spans="1:17" hidden="1" x14ac:dyDescent="0.25">
      <c r="A694" s="7" t="s">
        <v>17</v>
      </c>
      <c r="B694" s="7" t="s">
        <v>18</v>
      </c>
      <c r="C694" s="7" t="s">
        <v>19</v>
      </c>
      <c r="D694" s="7"/>
      <c r="E694" s="7"/>
      <c r="F694" s="7" t="s">
        <v>83</v>
      </c>
      <c r="G694" s="7" t="s">
        <v>84</v>
      </c>
      <c r="H694" s="7" t="s">
        <v>139</v>
      </c>
      <c r="I694" s="7" t="s">
        <v>142</v>
      </c>
      <c r="J694" s="8"/>
      <c r="K694" s="8"/>
      <c r="L694" s="8"/>
      <c r="M694" s="8"/>
      <c r="N694" s="8"/>
      <c r="O694" s="8">
        <v>0</v>
      </c>
      <c r="P694" s="8"/>
      <c r="Q694" t="s">
        <v>26</v>
      </c>
    </row>
    <row r="695" spans="1:17" hidden="1" x14ac:dyDescent="0.25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21</v>
      </c>
      <c r="F695" s="7" t="s">
        <v>85</v>
      </c>
      <c r="G695" s="7" t="s">
        <v>86</v>
      </c>
      <c r="H695" s="7" t="s">
        <v>139</v>
      </c>
      <c r="I695" s="7" t="s">
        <v>142</v>
      </c>
      <c r="J695" s="8"/>
      <c r="K695" s="8"/>
      <c r="L695" s="8"/>
      <c r="M695" s="8"/>
      <c r="N695" s="8"/>
      <c r="O695" s="8">
        <v>5.074060813705989</v>
      </c>
      <c r="P695" s="8"/>
      <c r="Q695" t="s">
        <v>26</v>
      </c>
    </row>
    <row r="696" spans="1:17" hidden="1" x14ac:dyDescent="0.25">
      <c r="A696" s="7" t="s">
        <v>17</v>
      </c>
      <c r="B696" s="7" t="s">
        <v>18</v>
      </c>
      <c r="C696" s="7" t="s">
        <v>19</v>
      </c>
      <c r="D696" s="7"/>
      <c r="E696" s="7"/>
      <c r="F696" s="7" t="s">
        <v>87</v>
      </c>
      <c r="G696" s="7" t="s">
        <v>88</v>
      </c>
      <c r="H696" s="7" t="s">
        <v>139</v>
      </c>
      <c r="I696" s="7" t="s">
        <v>142</v>
      </c>
      <c r="J696" s="8"/>
      <c r="K696" s="8"/>
      <c r="L696" s="8"/>
      <c r="M696" s="8"/>
      <c r="N696" s="8"/>
      <c r="O696" s="8">
        <v>0.50114180876108538</v>
      </c>
      <c r="P696" s="8"/>
      <c r="Q696" t="s">
        <v>26</v>
      </c>
    </row>
    <row r="697" spans="1:17" hidden="1" x14ac:dyDescent="0.25">
      <c r="A697" s="7" t="s">
        <v>17</v>
      </c>
      <c r="B697" s="7" t="s">
        <v>18</v>
      </c>
      <c r="C697" s="7" t="s">
        <v>19</v>
      </c>
      <c r="D697" s="7"/>
      <c r="E697" s="7"/>
      <c r="F697" s="7" t="s">
        <v>89</v>
      </c>
      <c r="G697" s="7" t="s">
        <v>90</v>
      </c>
      <c r="H697" s="7" t="s">
        <v>139</v>
      </c>
      <c r="I697" s="7" t="s">
        <v>142</v>
      </c>
      <c r="J697" s="8"/>
      <c r="K697" s="8"/>
      <c r="L697" s="8"/>
      <c r="M697" s="8"/>
      <c r="N697" s="8"/>
      <c r="O697" s="8">
        <v>3.3827072091373265</v>
      </c>
      <c r="P697" s="8"/>
      <c r="Q697" t="s">
        <v>26</v>
      </c>
    </row>
    <row r="698" spans="1:17" hidden="1" x14ac:dyDescent="0.25">
      <c r="A698" s="7" t="s">
        <v>17</v>
      </c>
      <c r="B698" s="7" t="s">
        <v>18</v>
      </c>
      <c r="C698" s="7" t="s">
        <v>19</v>
      </c>
      <c r="D698" s="7"/>
      <c r="E698" s="7"/>
      <c r="F698" s="7" t="s">
        <v>91</v>
      </c>
      <c r="G698" s="7" t="s">
        <v>92</v>
      </c>
      <c r="H698" s="7" t="s">
        <v>139</v>
      </c>
      <c r="I698" s="7" t="s">
        <v>142</v>
      </c>
      <c r="J698" s="8"/>
      <c r="K698" s="8"/>
      <c r="L698" s="8"/>
      <c r="M698" s="8"/>
      <c r="N698" s="8"/>
      <c r="O698" s="8">
        <v>0.2714518130789213</v>
      </c>
      <c r="P698" s="8"/>
      <c r="Q698" t="s">
        <v>26</v>
      </c>
    </row>
    <row r="699" spans="1:17" hidden="1" x14ac:dyDescent="0.25">
      <c r="A699" s="7" t="s">
        <v>17</v>
      </c>
      <c r="B699" s="7" t="s">
        <v>18</v>
      </c>
      <c r="C699" s="7" t="s">
        <v>19</v>
      </c>
      <c r="D699" s="7"/>
      <c r="E699" s="7"/>
      <c r="F699" s="7" t="s">
        <v>93</v>
      </c>
      <c r="G699" s="7" t="s">
        <v>94</v>
      </c>
      <c r="H699" s="7" t="s">
        <v>139</v>
      </c>
      <c r="I699" s="7" t="s">
        <v>142</v>
      </c>
      <c r="J699" s="8"/>
      <c r="K699" s="8"/>
      <c r="L699" s="8"/>
      <c r="M699" s="8"/>
      <c r="N699" s="8"/>
      <c r="O699" s="8">
        <v>0</v>
      </c>
      <c r="P699" s="8"/>
      <c r="Q699" t="s">
        <v>26</v>
      </c>
    </row>
    <row r="700" spans="1:17" hidden="1" x14ac:dyDescent="0.25">
      <c r="A700" s="7" t="s">
        <v>17</v>
      </c>
      <c r="B700" s="7" t="s">
        <v>18</v>
      </c>
      <c r="C700" s="7" t="s">
        <v>19</v>
      </c>
      <c r="D700" s="7"/>
      <c r="E700" s="7"/>
      <c r="F700" s="7" t="s">
        <v>95</v>
      </c>
      <c r="G700" s="7" t="s">
        <v>96</v>
      </c>
      <c r="H700" s="7" t="s">
        <v>139</v>
      </c>
      <c r="I700" s="7" t="s">
        <v>142</v>
      </c>
      <c r="J700" s="8"/>
      <c r="K700" s="8"/>
      <c r="L700" s="8"/>
      <c r="M700" s="8"/>
      <c r="N700" s="8"/>
      <c r="O700" s="8">
        <v>0</v>
      </c>
      <c r="P700" s="8"/>
      <c r="Q700" t="s">
        <v>26</v>
      </c>
    </row>
    <row r="701" spans="1:17" hidden="1" x14ac:dyDescent="0.25">
      <c r="A701" s="7" t="s">
        <v>17</v>
      </c>
      <c r="B701" s="7" t="s">
        <v>18</v>
      </c>
      <c r="C701" s="7" t="s">
        <v>19</v>
      </c>
      <c r="D701" s="7"/>
      <c r="E701" s="7"/>
      <c r="F701" s="7" t="s">
        <v>97</v>
      </c>
      <c r="G701" s="7" t="s">
        <v>98</v>
      </c>
      <c r="H701" s="7" t="s">
        <v>139</v>
      </c>
      <c r="I701" s="7" t="s">
        <v>142</v>
      </c>
      <c r="J701" s="8"/>
      <c r="K701" s="8"/>
      <c r="L701" s="8"/>
      <c r="M701" s="8"/>
      <c r="N701" s="8"/>
      <c r="O701" s="8">
        <v>0.18792817828540706</v>
      </c>
      <c r="P701" s="8"/>
      <c r="Q701" t="s">
        <v>26</v>
      </c>
    </row>
    <row r="702" spans="1:17" hidden="1" x14ac:dyDescent="0.25">
      <c r="A702" s="7" t="s">
        <v>17</v>
      </c>
      <c r="B702" s="7" t="s">
        <v>18</v>
      </c>
      <c r="C702" s="7" t="s">
        <v>19</v>
      </c>
      <c r="D702" s="7"/>
      <c r="E702" s="7"/>
      <c r="F702" s="7" t="s">
        <v>99</v>
      </c>
      <c r="G702" s="7" t="s">
        <v>100</v>
      </c>
      <c r="H702" s="7" t="s">
        <v>139</v>
      </c>
      <c r="I702" s="7" t="s">
        <v>142</v>
      </c>
      <c r="J702" s="8"/>
      <c r="K702" s="8"/>
      <c r="L702" s="8"/>
      <c r="M702" s="8"/>
      <c r="N702" s="8"/>
      <c r="O702" s="8">
        <v>1.983686326345963</v>
      </c>
      <c r="P702" s="8"/>
      <c r="Q702" t="s">
        <v>26</v>
      </c>
    </row>
    <row r="703" spans="1:17" hidden="1" x14ac:dyDescent="0.25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21</v>
      </c>
      <c r="F703" s="7" t="s">
        <v>101</v>
      </c>
      <c r="G703" s="7" t="s">
        <v>21</v>
      </c>
      <c r="H703" s="7" t="s">
        <v>139</v>
      </c>
      <c r="I703" s="7" t="s">
        <v>142</v>
      </c>
      <c r="J703" s="8"/>
      <c r="K703" s="8"/>
      <c r="L703" s="8"/>
      <c r="M703" s="8"/>
      <c r="N703" s="8"/>
      <c r="O703" s="8">
        <v>36.478947496067448</v>
      </c>
      <c r="P703" s="8"/>
      <c r="Q703" t="s">
        <v>26</v>
      </c>
    </row>
    <row r="704" spans="1:17" hidden="1" x14ac:dyDescent="0.25">
      <c r="A704" s="7" t="s">
        <v>17</v>
      </c>
      <c r="B704" s="7" t="s">
        <v>18</v>
      </c>
      <c r="C704" s="7" t="s">
        <v>19</v>
      </c>
      <c r="D704" s="7"/>
      <c r="E704" s="7"/>
      <c r="F704" s="7" t="s">
        <v>102</v>
      </c>
      <c r="G704" s="7" t="s">
        <v>103</v>
      </c>
      <c r="H704" s="7" t="s">
        <v>139</v>
      </c>
      <c r="I704" s="7" t="s">
        <v>142</v>
      </c>
      <c r="J704" s="8"/>
      <c r="K704" s="8"/>
      <c r="L704" s="8"/>
      <c r="M704" s="8"/>
      <c r="N704" s="8"/>
      <c r="O704" s="8">
        <v>0</v>
      </c>
      <c r="P704" s="8"/>
      <c r="Q704" t="s">
        <v>26</v>
      </c>
    </row>
    <row r="705" spans="1:17" hidden="1" x14ac:dyDescent="0.25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21</v>
      </c>
      <c r="F705" s="7" t="s">
        <v>104</v>
      </c>
      <c r="G705" s="7" t="s">
        <v>105</v>
      </c>
      <c r="H705" s="7" t="s">
        <v>139</v>
      </c>
      <c r="I705" s="7" t="s">
        <v>142</v>
      </c>
      <c r="J705" s="8"/>
      <c r="K705" s="8"/>
      <c r="L705" s="8"/>
      <c r="M705" s="8"/>
      <c r="N705" s="8"/>
      <c r="O705" s="8">
        <v>8.352363479351424E-2</v>
      </c>
      <c r="P705" s="8"/>
      <c r="Q705" t="s">
        <v>26</v>
      </c>
    </row>
    <row r="706" spans="1:17" hidden="1" x14ac:dyDescent="0.25">
      <c r="A706" s="7" t="s">
        <v>17</v>
      </c>
      <c r="B706" s="7" t="s">
        <v>18</v>
      </c>
      <c r="C706" s="7" t="s">
        <v>19</v>
      </c>
      <c r="D706" s="7"/>
      <c r="E706" s="7"/>
      <c r="F706" s="7" t="s">
        <v>106</v>
      </c>
      <c r="G706" s="7" t="s">
        <v>107</v>
      </c>
      <c r="H706" s="7" t="s">
        <v>139</v>
      </c>
      <c r="I706" s="7" t="s">
        <v>142</v>
      </c>
      <c r="J706" s="8"/>
      <c r="K706" s="8"/>
      <c r="L706" s="8"/>
      <c r="M706" s="8"/>
      <c r="N706" s="8"/>
      <c r="O706" s="8">
        <v>8.352363479351424E-2</v>
      </c>
      <c r="P706" s="8"/>
      <c r="Q706" t="s">
        <v>26</v>
      </c>
    </row>
    <row r="707" spans="1:17" hidden="1" x14ac:dyDescent="0.25">
      <c r="A707" s="7" t="s">
        <v>17</v>
      </c>
      <c r="B707" s="7" t="s">
        <v>18</v>
      </c>
      <c r="C707" s="7" t="s">
        <v>19</v>
      </c>
      <c r="D707" s="7"/>
      <c r="E707" s="7"/>
      <c r="F707" s="7" t="s">
        <v>108</v>
      </c>
      <c r="G707" s="7" t="s">
        <v>109</v>
      </c>
      <c r="H707" s="7" t="s">
        <v>139</v>
      </c>
      <c r="I707" s="7" t="s">
        <v>142</v>
      </c>
      <c r="J707" s="8"/>
      <c r="K707" s="8"/>
      <c r="L707" s="8"/>
      <c r="M707" s="8"/>
      <c r="N707" s="8"/>
      <c r="O707" s="8">
        <v>0.16704726958702848</v>
      </c>
      <c r="P707" s="8"/>
      <c r="Q707" t="s">
        <v>26</v>
      </c>
    </row>
    <row r="708" spans="1:17" hidden="1" x14ac:dyDescent="0.25">
      <c r="A708" s="7" t="s">
        <v>17</v>
      </c>
      <c r="B708" s="7" t="s">
        <v>18</v>
      </c>
      <c r="C708" s="7" t="s">
        <v>19</v>
      </c>
      <c r="D708" s="7"/>
      <c r="E708" s="7"/>
      <c r="F708" s="7" t="s">
        <v>110</v>
      </c>
      <c r="G708" s="7" t="s">
        <v>111</v>
      </c>
      <c r="H708" s="7" t="s">
        <v>139</v>
      </c>
      <c r="I708" s="7" t="s">
        <v>142</v>
      </c>
      <c r="J708" s="8"/>
      <c r="K708" s="8"/>
      <c r="L708" s="8"/>
      <c r="M708" s="8"/>
      <c r="N708" s="8"/>
      <c r="O708" s="8">
        <v>3.2574217569470552</v>
      </c>
      <c r="P708" s="8"/>
      <c r="Q708" t="s">
        <v>26</v>
      </c>
    </row>
    <row r="709" spans="1:17" hidden="1" x14ac:dyDescent="0.25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21</v>
      </c>
      <c r="F709" s="7" t="s">
        <v>112</v>
      </c>
      <c r="G709" s="7" t="s">
        <v>113</v>
      </c>
      <c r="H709" s="7" t="s">
        <v>139</v>
      </c>
      <c r="I709" s="7" t="s">
        <v>142</v>
      </c>
      <c r="J709" s="8"/>
      <c r="K709" s="8"/>
      <c r="L709" s="8"/>
      <c r="M709" s="8"/>
      <c r="N709" s="8"/>
      <c r="O709" s="8">
        <v>0.60554635225297826</v>
      </c>
      <c r="P709" s="8"/>
      <c r="Q709" t="s">
        <v>26</v>
      </c>
    </row>
    <row r="710" spans="1:17" hidden="1" x14ac:dyDescent="0.25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21</v>
      </c>
      <c r="F710" s="7" t="s">
        <v>114</v>
      </c>
      <c r="G710" s="7" t="s">
        <v>115</v>
      </c>
      <c r="H710" s="7" t="s">
        <v>139</v>
      </c>
      <c r="I710" s="7" t="s">
        <v>142</v>
      </c>
      <c r="J710" s="8"/>
      <c r="K710" s="8"/>
      <c r="L710" s="8"/>
      <c r="M710" s="8"/>
      <c r="N710" s="8"/>
      <c r="O710" s="8">
        <v>10.983357975347133</v>
      </c>
      <c r="P710" s="8"/>
      <c r="Q710" t="s">
        <v>26</v>
      </c>
    </row>
    <row r="711" spans="1:17" hidden="1" x14ac:dyDescent="0.25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21</v>
      </c>
      <c r="F711" s="7" t="s">
        <v>116</v>
      </c>
      <c r="G711" s="7" t="s">
        <v>117</v>
      </c>
      <c r="H711" s="7" t="s">
        <v>139</v>
      </c>
      <c r="I711" s="7" t="s">
        <v>142</v>
      </c>
      <c r="J711" s="8"/>
      <c r="K711" s="8"/>
      <c r="L711" s="8"/>
      <c r="M711" s="8"/>
      <c r="N711" s="8"/>
      <c r="O711" s="8">
        <v>0.33409453917405696</v>
      </c>
      <c r="P711" s="8"/>
      <c r="Q711" t="s">
        <v>26</v>
      </c>
    </row>
    <row r="712" spans="1:17" hidden="1" x14ac:dyDescent="0.25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21</v>
      </c>
      <c r="F712" s="7" t="s">
        <v>118</v>
      </c>
      <c r="G712" s="7" t="s">
        <v>119</v>
      </c>
      <c r="H712" s="7" t="s">
        <v>139</v>
      </c>
      <c r="I712" s="7" t="s">
        <v>142</v>
      </c>
      <c r="J712" s="8"/>
      <c r="K712" s="8"/>
      <c r="L712" s="8"/>
      <c r="M712" s="8"/>
      <c r="N712" s="8"/>
      <c r="O712" s="8">
        <v>5.0531799050076112</v>
      </c>
      <c r="P712" s="8"/>
      <c r="Q712" t="s">
        <v>26</v>
      </c>
    </row>
    <row r="713" spans="1:17" hidden="1" x14ac:dyDescent="0.25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21</v>
      </c>
      <c r="F713" s="7" t="s">
        <v>120</v>
      </c>
      <c r="G713" s="7" t="s">
        <v>121</v>
      </c>
      <c r="H713" s="7" t="s">
        <v>139</v>
      </c>
      <c r="I713" s="7" t="s">
        <v>142</v>
      </c>
      <c r="J713" s="8"/>
      <c r="K713" s="8"/>
      <c r="L713" s="8"/>
      <c r="M713" s="8"/>
      <c r="N713" s="8"/>
      <c r="O713" s="8">
        <v>1.2528545219027136</v>
      </c>
      <c r="P713" s="8"/>
      <c r="Q713" t="s">
        <v>26</v>
      </c>
    </row>
    <row r="714" spans="1:17" hidden="1" x14ac:dyDescent="0.25">
      <c r="A714" s="7" t="s">
        <v>17</v>
      </c>
      <c r="B714" s="7" t="s">
        <v>18</v>
      </c>
      <c r="C714" s="7" t="s">
        <v>19</v>
      </c>
      <c r="D714" s="7"/>
      <c r="E714" s="7"/>
      <c r="F714" s="7" t="s">
        <v>122</v>
      </c>
      <c r="G714" s="7" t="s">
        <v>123</v>
      </c>
      <c r="H714" s="7" t="s">
        <v>139</v>
      </c>
      <c r="I714" s="7" t="s">
        <v>142</v>
      </c>
      <c r="J714" s="8"/>
      <c r="K714" s="8"/>
      <c r="L714" s="8"/>
      <c r="M714" s="8"/>
      <c r="N714" s="8"/>
      <c r="O714" s="8">
        <v>8.352363479351424E-2</v>
      </c>
      <c r="P714" s="8"/>
      <c r="Q714" t="s">
        <v>26</v>
      </c>
    </row>
    <row r="715" spans="1:17" hidden="1" x14ac:dyDescent="0.25">
      <c r="A715" s="7" t="s">
        <v>17</v>
      </c>
      <c r="B715" s="7" t="s">
        <v>18</v>
      </c>
      <c r="C715" s="7" t="s">
        <v>19</v>
      </c>
      <c r="D715" s="7"/>
      <c r="E715" s="7"/>
      <c r="F715" s="7" t="s">
        <v>124</v>
      </c>
      <c r="G715" s="7" t="s">
        <v>125</v>
      </c>
      <c r="H715" s="7" t="s">
        <v>139</v>
      </c>
      <c r="I715" s="7" t="s">
        <v>142</v>
      </c>
      <c r="J715" s="8"/>
      <c r="K715" s="8"/>
      <c r="L715" s="8"/>
      <c r="M715" s="8"/>
      <c r="N715" s="8"/>
      <c r="O715" s="8">
        <v>0.50114180876108549</v>
      </c>
      <c r="P715" s="8"/>
      <c r="Q715" t="s">
        <v>26</v>
      </c>
    </row>
    <row r="716" spans="1:17" hidden="1" x14ac:dyDescent="0.25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21</v>
      </c>
      <c r="F716" s="7" t="s">
        <v>22</v>
      </c>
      <c r="G716" s="7" t="s">
        <v>23</v>
      </c>
      <c r="H716" s="7" t="s">
        <v>143</v>
      </c>
      <c r="I716" s="7" t="s">
        <v>144</v>
      </c>
      <c r="J716" s="8"/>
      <c r="K716" s="8"/>
      <c r="L716" s="8"/>
      <c r="M716" s="8"/>
      <c r="N716" s="8"/>
      <c r="O716" s="8"/>
      <c r="P716" s="8">
        <v>2.7195752714285714E-2</v>
      </c>
      <c r="Q716" t="s">
        <v>26</v>
      </c>
    </row>
    <row r="717" spans="1:17" hidden="1" x14ac:dyDescent="0.25">
      <c r="A717" s="7" t="s">
        <v>17</v>
      </c>
      <c r="B717" s="7" t="s">
        <v>18</v>
      </c>
      <c r="C717" s="7" t="s">
        <v>19</v>
      </c>
      <c r="D717" s="7"/>
      <c r="E717" s="7"/>
      <c r="F717" s="7" t="s">
        <v>27</v>
      </c>
      <c r="G717" s="7" t="s">
        <v>28</v>
      </c>
      <c r="H717" s="7" t="s">
        <v>143</v>
      </c>
      <c r="I717" s="7" t="s">
        <v>144</v>
      </c>
      <c r="J717" s="8"/>
      <c r="K717" s="8"/>
      <c r="L717" s="8"/>
      <c r="M717" s="8"/>
      <c r="N717" s="8"/>
      <c r="O717" s="8"/>
      <c r="P717" s="8">
        <v>5.5188259660727264</v>
      </c>
      <c r="Q717" t="s">
        <v>26</v>
      </c>
    </row>
    <row r="718" spans="1:17" hidden="1" x14ac:dyDescent="0.25">
      <c r="A718" s="7" t="s">
        <v>17</v>
      </c>
      <c r="B718" s="7" t="s">
        <v>18</v>
      </c>
      <c r="C718" s="7" t="s">
        <v>19</v>
      </c>
      <c r="D718" s="7"/>
      <c r="E718" s="7"/>
      <c r="F718" s="7" t="s">
        <v>29</v>
      </c>
      <c r="G718" s="7" t="s">
        <v>30</v>
      </c>
      <c r="H718" s="7" t="s">
        <v>143</v>
      </c>
      <c r="I718" s="7" t="s">
        <v>144</v>
      </c>
      <c r="J718" s="8"/>
      <c r="K718" s="8"/>
      <c r="L718" s="8"/>
      <c r="M718" s="8"/>
      <c r="N718" s="8"/>
      <c r="O718" s="8"/>
      <c r="P718" s="8">
        <v>0</v>
      </c>
      <c r="Q718" t="s">
        <v>26</v>
      </c>
    </row>
    <row r="719" spans="1:17" hidden="1" x14ac:dyDescent="0.25">
      <c r="A719" s="7" t="s">
        <v>17</v>
      </c>
      <c r="B719" s="7" t="s">
        <v>18</v>
      </c>
      <c r="C719" s="7" t="s">
        <v>19</v>
      </c>
      <c r="D719" s="7"/>
      <c r="E719" s="7"/>
      <c r="F719" s="7" t="s">
        <v>31</v>
      </c>
      <c r="G719" s="7" t="s">
        <v>32</v>
      </c>
      <c r="H719" s="7" t="s">
        <v>143</v>
      </c>
      <c r="I719" s="7" t="s">
        <v>144</v>
      </c>
      <c r="J719" s="8"/>
      <c r="K719" s="8"/>
      <c r="L719" s="8"/>
      <c r="M719" s="8"/>
      <c r="N719" s="8"/>
      <c r="O719" s="8"/>
      <c r="P719" s="8">
        <v>6.0775336561071427</v>
      </c>
      <c r="Q719" t="s">
        <v>26</v>
      </c>
    </row>
    <row r="720" spans="1:17" hidden="1" x14ac:dyDescent="0.25">
      <c r="A720" s="7" t="s">
        <v>17</v>
      </c>
      <c r="B720" s="7" t="s">
        <v>18</v>
      </c>
      <c r="C720" s="7" t="s">
        <v>19</v>
      </c>
      <c r="D720" s="7"/>
      <c r="E720" s="7"/>
      <c r="F720" s="7" t="s">
        <v>33</v>
      </c>
      <c r="G720" s="7" t="s">
        <v>34</v>
      </c>
      <c r="H720" s="7" t="s">
        <v>143</v>
      </c>
      <c r="I720" s="7" t="s">
        <v>144</v>
      </c>
      <c r="J720" s="8"/>
      <c r="K720" s="8"/>
      <c r="L720" s="8"/>
      <c r="M720" s="8"/>
      <c r="N720" s="8"/>
      <c r="O720" s="8"/>
      <c r="P720" s="8">
        <v>14.767318098630225</v>
      </c>
      <c r="Q720" t="s">
        <v>26</v>
      </c>
    </row>
    <row r="721" spans="1:17" hidden="1" x14ac:dyDescent="0.25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21</v>
      </c>
      <c r="F721" s="7" t="s">
        <v>35</v>
      </c>
      <c r="G721" s="7" t="s">
        <v>36</v>
      </c>
      <c r="H721" s="7" t="s">
        <v>143</v>
      </c>
      <c r="I721" s="7" t="s">
        <v>144</v>
      </c>
      <c r="J721" s="8"/>
      <c r="K721" s="8"/>
      <c r="L721" s="8"/>
      <c r="M721" s="8"/>
      <c r="N721" s="8"/>
      <c r="O721" s="8"/>
      <c r="P721" s="8">
        <v>4.2833310524999994E-2</v>
      </c>
      <c r="Q721" t="s">
        <v>26</v>
      </c>
    </row>
    <row r="722" spans="1:17" hidden="1" x14ac:dyDescent="0.25">
      <c r="A722" s="7" t="s">
        <v>17</v>
      </c>
      <c r="B722" s="7" t="s">
        <v>18</v>
      </c>
      <c r="C722" s="7" t="s">
        <v>19</v>
      </c>
      <c r="D722" s="7"/>
      <c r="E722" s="7"/>
      <c r="F722" s="7" t="s">
        <v>37</v>
      </c>
      <c r="G722" s="7" t="s">
        <v>38</v>
      </c>
      <c r="H722" s="7" t="s">
        <v>143</v>
      </c>
      <c r="I722" s="7" t="s">
        <v>144</v>
      </c>
      <c r="J722" s="8"/>
      <c r="K722" s="8"/>
      <c r="L722" s="8"/>
      <c r="M722" s="8"/>
      <c r="N722" s="8"/>
      <c r="O722" s="8"/>
      <c r="P722" s="8">
        <v>30.209100903345206</v>
      </c>
      <c r="Q722" t="s">
        <v>26</v>
      </c>
    </row>
    <row r="723" spans="1:17" hidden="1" x14ac:dyDescent="0.25">
      <c r="A723" s="7" t="s">
        <v>17</v>
      </c>
      <c r="B723" s="7" t="s">
        <v>18</v>
      </c>
      <c r="C723" s="7" t="s">
        <v>19</v>
      </c>
      <c r="D723" s="7"/>
      <c r="E723" s="7"/>
      <c r="F723" s="7" t="s">
        <v>39</v>
      </c>
      <c r="G723" s="7" t="s">
        <v>40</v>
      </c>
      <c r="H723" s="7" t="s">
        <v>143</v>
      </c>
      <c r="I723" s="7" t="s">
        <v>144</v>
      </c>
      <c r="J723" s="8"/>
      <c r="K723" s="8"/>
      <c r="L723" s="8"/>
      <c r="M723" s="8"/>
      <c r="N723" s="8"/>
      <c r="O723" s="8"/>
      <c r="P723" s="8">
        <v>4.150751758017857</v>
      </c>
      <c r="Q723" t="s">
        <v>26</v>
      </c>
    </row>
    <row r="724" spans="1:17" hidden="1" x14ac:dyDescent="0.25">
      <c r="A724" s="7" t="s">
        <v>17</v>
      </c>
      <c r="B724" s="7" t="s">
        <v>18</v>
      </c>
      <c r="C724" s="7" t="s">
        <v>19</v>
      </c>
      <c r="D724" s="7" t="s">
        <v>20</v>
      </c>
      <c r="E724" s="7" t="s">
        <v>21</v>
      </c>
      <c r="F724" s="7" t="s">
        <v>41</v>
      </c>
      <c r="G724" s="7" t="s">
        <v>42</v>
      </c>
      <c r="H724" s="7" t="s">
        <v>143</v>
      </c>
      <c r="I724" s="7" t="s">
        <v>144</v>
      </c>
      <c r="J724" s="8"/>
      <c r="K724" s="8"/>
      <c r="L724" s="8"/>
      <c r="M724" s="8"/>
      <c r="N724" s="8"/>
      <c r="O724" s="8"/>
      <c r="P724" s="8">
        <v>185.55368618964621</v>
      </c>
      <c r="Q724" t="s">
        <v>26</v>
      </c>
    </row>
    <row r="725" spans="1:17" hidden="1" x14ac:dyDescent="0.25">
      <c r="A725" s="7" t="s">
        <v>17</v>
      </c>
      <c r="B725" s="7" t="s">
        <v>18</v>
      </c>
      <c r="C725" s="7" t="s">
        <v>19</v>
      </c>
      <c r="D725" s="7" t="s">
        <v>20</v>
      </c>
      <c r="E725" s="7" t="s">
        <v>21</v>
      </c>
      <c r="F725" s="7" t="s">
        <v>43</v>
      </c>
      <c r="G725" s="7" t="s">
        <v>44</v>
      </c>
      <c r="H725" s="7" t="s">
        <v>143</v>
      </c>
      <c r="I725" s="7" t="s">
        <v>144</v>
      </c>
      <c r="J725" s="8"/>
      <c r="K725" s="8"/>
      <c r="L725" s="8"/>
      <c r="M725" s="8"/>
      <c r="N725" s="8"/>
      <c r="O725" s="8"/>
      <c r="P725" s="8">
        <v>1.3733855120714287</v>
      </c>
      <c r="Q725" t="s">
        <v>26</v>
      </c>
    </row>
    <row r="726" spans="1:17" hidden="1" x14ac:dyDescent="0.25">
      <c r="A726" s="7" t="s">
        <v>17</v>
      </c>
      <c r="B726" s="7" t="s">
        <v>18</v>
      </c>
      <c r="C726" s="7" t="s">
        <v>19</v>
      </c>
      <c r="D726" s="7"/>
      <c r="E726" s="7"/>
      <c r="F726" s="7" t="s">
        <v>45</v>
      </c>
      <c r="G726" s="7" t="s">
        <v>46</v>
      </c>
      <c r="H726" s="7" t="s">
        <v>143</v>
      </c>
      <c r="I726" s="7" t="s">
        <v>144</v>
      </c>
      <c r="J726" s="8"/>
      <c r="K726" s="8"/>
      <c r="L726" s="8"/>
      <c r="M726" s="8"/>
      <c r="N726" s="8"/>
      <c r="O726" s="8"/>
      <c r="P726" s="8">
        <v>12.394843256654543</v>
      </c>
      <c r="Q726" t="s">
        <v>26</v>
      </c>
    </row>
    <row r="727" spans="1:17" hidden="1" x14ac:dyDescent="0.25">
      <c r="A727" s="7" t="s">
        <v>17</v>
      </c>
      <c r="B727" s="7" t="s">
        <v>18</v>
      </c>
      <c r="C727" s="7" t="s">
        <v>19</v>
      </c>
      <c r="D727" s="7" t="s">
        <v>20</v>
      </c>
      <c r="E727" s="7" t="s">
        <v>21</v>
      </c>
      <c r="F727" s="7" t="s">
        <v>47</v>
      </c>
      <c r="G727" s="7" t="s">
        <v>48</v>
      </c>
      <c r="H727" s="7" t="s">
        <v>143</v>
      </c>
      <c r="I727" s="7" t="s">
        <v>144</v>
      </c>
      <c r="J727" s="8"/>
      <c r="K727" s="8"/>
      <c r="L727" s="8"/>
      <c r="M727" s="8"/>
      <c r="N727" s="8"/>
      <c r="O727" s="8"/>
      <c r="P727" s="8">
        <v>0.21076708353571427</v>
      </c>
      <c r="Q727" t="s">
        <v>26</v>
      </c>
    </row>
    <row r="728" spans="1:17" hidden="1" x14ac:dyDescent="0.25">
      <c r="A728" s="7" t="s">
        <v>17</v>
      </c>
      <c r="B728" s="7" t="s">
        <v>18</v>
      </c>
      <c r="C728" s="7" t="s">
        <v>19</v>
      </c>
      <c r="D728" s="7"/>
      <c r="E728" s="7"/>
      <c r="F728" s="7" t="s">
        <v>49</v>
      </c>
      <c r="G728" s="7" t="s">
        <v>50</v>
      </c>
      <c r="H728" s="7" t="s">
        <v>143</v>
      </c>
      <c r="I728" s="7" t="s">
        <v>144</v>
      </c>
      <c r="J728" s="8"/>
      <c r="K728" s="8"/>
      <c r="L728" s="8"/>
      <c r="M728" s="8"/>
      <c r="N728" s="8"/>
      <c r="O728" s="8"/>
      <c r="P728" s="8">
        <v>0.28491964583333335</v>
      </c>
      <c r="Q728" t="s">
        <v>26</v>
      </c>
    </row>
    <row r="729" spans="1:17" hidden="1" x14ac:dyDescent="0.25">
      <c r="A729" s="7" t="s">
        <v>17</v>
      </c>
      <c r="B729" s="7" t="s">
        <v>18</v>
      </c>
      <c r="C729" s="7" t="s">
        <v>19</v>
      </c>
      <c r="D729" s="7"/>
      <c r="E729" s="7"/>
      <c r="F729" s="7" t="s">
        <v>51</v>
      </c>
      <c r="G729" s="7" t="s">
        <v>52</v>
      </c>
      <c r="H729" s="7" t="s">
        <v>143</v>
      </c>
      <c r="I729" s="7" t="s">
        <v>144</v>
      </c>
      <c r="J729" s="8"/>
      <c r="K729" s="8"/>
      <c r="L729" s="8"/>
      <c r="M729" s="8"/>
      <c r="N729" s="8"/>
      <c r="O729" s="8"/>
      <c r="P729" s="8">
        <v>0.67400603242857127</v>
      </c>
      <c r="Q729" t="s">
        <v>26</v>
      </c>
    </row>
    <row r="730" spans="1:17" hidden="1" x14ac:dyDescent="0.25">
      <c r="A730" s="7" t="s">
        <v>17</v>
      </c>
      <c r="B730" s="7" t="s">
        <v>18</v>
      </c>
      <c r="C730" s="7" t="s">
        <v>19</v>
      </c>
      <c r="D730" s="7"/>
      <c r="E730" s="7"/>
      <c r="F730" s="7" t="s">
        <v>53</v>
      </c>
      <c r="G730" s="7" t="s">
        <v>54</v>
      </c>
      <c r="H730" s="7" t="s">
        <v>143</v>
      </c>
      <c r="I730" s="7" t="s">
        <v>144</v>
      </c>
      <c r="J730" s="8"/>
      <c r="K730" s="8"/>
      <c r="L730" s="8"/>
      <c r="M730" s="8"/>
      <c r="N730" s="8"/>
      <c r="O730" s="8"/>
      <c r="P730" s="8">
        <v>0</v>
      </c>
      <c r="Q730" t="s">
        <v>26</v>
      </c>
    </row>
    <row r="731" spans="1:17" hidden="1" x14ac:dyDescent="0.25">
      <c r="A731" s="7" t="s">
        <v>17</v>
      </c>
      <c r="B731" s="7" t="s">
        <v>18</v>
      </c>
      <c r="C731" s="7" t="s">
        <v>19</v>
      </c>
      <c r="D731" s="7"/>
      <c r="E731" s="7"/>
      <c r="F731" s="7" t="s">
        <v>55</v>
      </c>
      <c r="G731" s="7" t="s">
        <v>56</v>
      </c>
      <c r="H731" s="7" t="s">
        <v>143</v>
      </c>
      <c r="I731" s="7" t="s">
        <v>144</v>
      </c>
      <c r="J731" s="8"/>
      <c r="K731" s="8"/>
      <c r="L731" s="8"/>
      <c r="M731" s="8"/>
      <c r="N731" s="8"/>
      <c r="O731" s="8"/>
      <c r="P731" s="8">
        <v>1.6134749162857145</v>
      </c>
      <c r="Q731" t="s">
        <v>26</v>
      </c>
    </row>
    <row r="732" spans="1:17" hidden="1" x14ac:dyDescent="0.25">
      <c r="A732" s="7" t="s">
        <v>17</v>
      </c>
      <c r="B732" s="7" t="s">
        <v>18</v>
      </c>
      <c r="C732" s="7" t="s">
        <v>19</v>
      </c>
      <c r="D732" s="7"/>
      <c r="E732" s="7"/>
      <c r="F732" s="7" t="s">
        <v>57</v>
      </c>
      <c r="G732" s="7" t="s">
        <v>58</v>
      </c>
      <c r="H732" s="7" t="s">
        <v>143</v>
      </c>
      <c r="I732" s="7" t="s">
        <v>144</v>
      </c>
      <c r="J732" s="8"/>
      <c r="K732" s="8"/>
      <c r="L732" s="8"/>
      <c r="M732" s="8"/>
      <c r="N732" s="8"/>
      <c r="O732" s="8"/>
      <c r="P732" s="8">
        <v>45.065217016600585</v>
      </c>
      <c r="Q732" t="s">
        <v>26</v>
      </c>
    </row>
    <row r="733" spans="1:17" hidden="1" x14ac:dyDescent="0.25">
      <c r="A733" s="7" t="s">
        <v>17</v>
      </c>
      <c r="B733" s="7" t="s">
        <v>18</v>
      </c>
      <c r="C733" s="7" t="s">
        <v>19</v>
      </c>
      <c r="D733" s="7" t="s">
        <v>20</v>
      </c>
      <c r="E733" s="7" t="s">
        <v>21</v>
      </c>
      <c r="F733" s="7" t="s">
        <v>59</v>
      </c>
      <c r="G733" s="7" t="s">
        <v>60</v>
      </c>
      <c r="H733" s="7" t="s">
        <v>143</v>
      </c>
      <c r="I733" s="7" t="s">
        <v>144</v>
      </c>
      <c r="J733" s="8"/>
      <c r="K733" s="8"/>
      <c r="L733" s="8"/>
      <c r="M733" s="8"/>
      <c r="N733" s="8"/>
      <c r="O733" s="8"/>
      <c r="P733" s="8">
        <v>1.3257929448214285</v>
      </c>
      <c r="Q733" t="s">
        <v>26</v>
      </c>
    </row>
    <row r="734" spans="1:17" hidden="1" x14ac:dyDescent="0.25">
      <c r="A734" s="7" t="s">
        <v>17</v>
      </c>
      <c r="B734" s="7" t="s">
        <v>18</v>
      </c>
      <c r="C734" s="7" t="s">
        <v>19</v>
      </c>
      <c r="D734" s="7" t="s">
        <v>20</v>
      </c>
      <c r="E734" s="7" t="s">
        <v>21</v>
      </c>
      <c r="F734" s="7" t="s">
        <v>61</v>
      </c>
      <c r="G734" s="7" t="s">
        <v>62</v>
      </c>
      <c r="H734" s="7" t="s">
        <v>143</v>
      </c>
      <c r="I734" s="7" t="s">
        <v>144</v>
      </c>
      <c r="J734" s="8"/>
      <c r="K734" s="8"/>
      <c r="L734" s="8"/>
      <c r="M734" s="8"/>
      <c r="N734" s="8"/>
      <c r="O734" s="8"/>
      <c r="P734" s="8">
        <v>0</v>
      </c>
      <c r="Q734" t="s">
        <v>26</v>
      </c>
    </row>
    <row r="735" spans="1:17" hidden="1" x14ac:dyDescent="0.25">
      <c r="A735" s="7" t="s">
        <v>17</v>
      </c>
      <c r="B735" s="7" t="s">
        <v>18</v>
      </c>
      <c r="C735" s="7" t="s">
        <v>19</v>
      </c>
      <c r="D735" s="7"/>
      <c r="E735" s="7"/>
      <c r="F735" s="7" t="s">
        <v>63</v>
      </c>
      <c r="G735" s="7" t="s">
        <v>64</v>
      </c>
      <c r="H735" s="7" t="s">
        <v>143</v>
      </c>
      <c r="I735" s="7" t="s">
        <v>144</v>
      </c>
      <c r="J735" s="8"/>
      <c r="K735" s="8"/>
      <c r="L735" s="8"/>
      <c r="M735" s="8"/>
      <c r="N735" s="8"/>
      <c r="O735" s="8"/>
      <c r="P735" s="8">
        <v>1.4057915297236458</v>
      </c>
      <c r="Q735" t="s">
        <v>26</v>
      </c>
    </row>
    <row r="736" spans="1:17" hidden="1" x14ac:dyDescent="0.25">
      <c r="A736" s="7" t="s">
        <v>17</v>
      </c>
      <c r="B736" s="7" t="s">
        <v>18</v>
      </c>
      <c r="C736" s="7" t="s">
        <v>19</v>
      </c>
      <c r="D736" s="7" t="s">
        <v>20</v>
      </c>
      <c r="E736" s="7" t="s">
        <v>21</v>
      </c>
      <c r="F736" s="7" t="s">
        <v>65</v>
      </c>
      <c r="G736" s="7" t="s">
        <v>66</v>
      </c>
      <c r="H736" s="7" t="s">
        <v>143</v>
      </c>
      <c r="I736" s="7" t="s">
        <v>144</v>
      </c>
      <c r="J736" s="8"/>
      <c r="K736" s="8"/>
      <c r="L736" s="8"/>
      <c r="M736" s="8"/>
      <c r="N736" s="8"/>
      <c r="O736" s="8"/>
      <c r="P736" s="8">
        <v>0</v>
      </c>
      <c r="Q736" t="s">
        <v>26</v>
      </c>
    </row>
    <row r="737" spans="1:17" hidden="1" x14ac:dyDescent="0.25">
      <c r="A737" s="7" t="s">
        <v>17</v>
      </c>
      <c r="B737" s="7" t="s">
        <v>18</v>
      </c>
      <c r="C737" s="7" t="s">
        <v>19</v>
      </c>
      <c r="D737" s="7"/>
      <c r="E737" s="7"/>
      <c r="F737" s="7" t="s">
        <v>67</v>
      </c>
      <c r="G737" s="7" t="s">
        <v>68</v>
      </c>
      <c r="H737" s="7" t="s">
        <v>143</v>
      </c>
      <c r="I737" s="7" t="s">
        <v>144</v>
      </c>
      <c r="J737" s="8"/>
      <c r="K737" s="8"/>
      <c r="L737" s="8"/>
      <c r="M737" s="8"/>
      <c r="N737" s="8"/>
      <c r="O737" s="8"/>
      <c r="P737" s="8">
        <v>166.00567570332385</v>
      </c>
      <c r="Q737" t="s">
        <v>26</v>
      </c>
    </row>
    <row r="738" spans="1:17" hidden="1" x14ac:dyDescent="0.25">
      <c r="A738" s="7" t="s">
        <v>17</v>
      </c>
      <c r="B738" s="7" t="s">
        <v>18</v>
      </c>
      <c r="C738" s="7" t="s">
        <v>19</v>
      </c>
      <c r="D738" s="7"/>
      <c r="E738" s="7"/>
      <c r="F738" s="7" t="s">
        <v>69</v>
      </c>
      <c r="G738" s="7" t="s">
        <v>70</v>
      </c>
      <c r="H738" s="7" t="s">
        <v>143</v>
      </c>
      <c r="I738" s="7" t="s">
        <v>144</v>
      </c>
      <c r="J738" s="8"/>
      <c r="K738" s="8"/>
      <c r="L738" s="8"/>
      <c r="M738" s="8"/>
      <c r="N738" s="8"/>
      <c r="O738" s="8"/>
      <c r="P738" s="8">
        <v>2.5550675573272725</v>
      </c>
      <c r="Q738" t="s">
        <v>26</v>
      </c>
    </row>
    <row r="739" spans="1:17" hidden="1" x14ac:dyDescent="0.25">
      <c r="A739" s="7" t="s">
        <v>17</v>
      </c>
      <c r="B739" s="7" t="s">
        <v>18</v>
      </c>
      <c r="C739" s="7" t="s">
        <v>19</v>
      </c>
      <c r="D739" s="7"/>
      <c r="E739" s="7"/>
      <c r="F739" s="7" t="s">
        <v>71</v>
      </c>
      <c r="G739" s="7" t="s">
        <v>72</v>
      </c>
      <c r="H739" s="7" t="s">
        <v>143</v>
      </c>
      <c r="I739" s="7" t="s">
        <v>144</v>
      </c>
      <c r="J739" s="8"/>
      <c r="K739" s="8"/>
      <c r="L739" s="8"/>
      <c r="M739" s="8"/>
      <c r="N739" s="8"/>
      <c r="O739" s="8"/>
      <c r="P739" s="8">
        <v>2.3109506755735354</v>
      </c>
      <c r="Q739" t="s">
        <v>26</v>
      </c>
    </row>
    <row r="740" spans="1:17" hidden="1" x14ac:dyDescent="0.25">
      <c r="A740" s="7" t="s">
        <v>17</v>
      </c>
      <c r="B740" s="7" t="s">
        <v>18</v>
      </c>
      <c r="C740" s="7" t="s">
        <v>19</v>
      </c>
      <c r="D740" s="7" t="s">
        <v>20</v>
      </c>
      <c r="E740" s="7" t="s">
        <v>21</v>
      </c>
      <c r="F740" s="7" t="s">
        <v>73</v>
      </c>
      <c r="G740" s="7" t="s">
        <v>74</v>
      </c>
      <c r="H740" s="7" t="s">
        <v>143</v>
      </c>
      <c r="I740" s="7" t="s">
        <v>144</v>
      </c>
      <c r="J740" s="8"/>
      <c r="K740" s="8"/>
      <c r="L740" s="8"/>
      <c r="M740" s="8"/>
      <c r="N740" s="8"/>
      <c r="O740" s="8"/>
      <c r="P740" s="8">
        <v>7.4788319964285713E-2</v>
      </c>
      <c r="Q740" t="s">
        <v>26</v>
      </c>
    </row>
    <row r="741" spans="1:17" hidden="1" x14ac:dyDescent="0.25">
      <c r="A741" s="7" t="s">
        <v>17</v>
      </c>
      <c r="B741" s="7" t="s">
        <v>18</v>
      </c>
      <c r="C741" s="7" t="s">
        <v>19</v>
      </c>
      <c r="D741" s="7" t="s">
        <v>20</v>
      </c>
      <c r="E741" s="7" t="s">
        <v>21</v>
      </c>
      <c r="F741" s="7" t="s">
        <v>75</v>
      </c>
      <c r="G741" s="7" t="s">
        <v>76</v>
      </c>
      <c r="H741" s="7" t="s">
        <v>143</v>
      </c>
      <c r="I741" s="7" t="s">
        <v>144</v>
      </c>
      <c r="J741" s="8"/>
      <c r="K741" s="8"/>
      <c r="L741" s="8"/>
      <c r="M741" s="8"/>
      <c r="N741" s="8"/>
      <c r="O741" s="8"/>
      <c r="P741" s="8">
        <v>0</v>
      </c>
      <c r="Q741" t="s">
        <v>26</v>
      </c>
    </row>
    <row r="742" spans="1:17" hidden="1" x14ac:dyDescent="0.25">
      <c r="A742" s="7" t="s">
        <v>17</v>
      </c>
      <c r="B742" s="7" t="s">
        <v>18</v>
      </c>
      <c r="C742" s="7" t="s">
        <v>19</v>
      </c>
      <c r="D742" s="7"/>
      <c r="E742" s="7"/>
      <c r="F742" s="7" t="s">
        <v>77</v>
      </c>
      <c r="G742" s="7" t="s">
        <v>78</v>
      </c>
      <c r="H742" s="7" t="s">
        <v>143</v>
      </c>
      <c r="I742" s="7" t="s">
        <v>144</v>
      </c>
      <c r="J742" s="8"/>
      <c r="K742" s="8"/>
      <c r="L742" s="8"/>
      <c r="M742" s="8"/>
      <c r="N742" s="8"/>
      <c r="O742" s="8"/>
      <c r="P742" s="8">
        <v>0</v>
      </c>
      <c r="Q742" t="s">
        <v>26</v>
      </c>
    </row>
    <row r="743" spans="1:17" hidden="1" x14ac:dyDescent="0.25">
      <c r="A743" s="7" t="s">
        <v>17</v>
      </c>
      <c r="B743" s="7" t="s">
        <v>18</v>
      </c>
      <c r="C743" s="7" t="s">
        <v>19</v>
      </c>
      <c r="D743" s="7"/>
      <c r="E743" s="7"/>
      <c r="F743" s="7" t="s">
        <v>79</v>
      </c>
      <c r="G743" s="7" t="s">
        <v>80</v>
      </c>
      <c r="H743" s="7" t="s">
        <v>143</v>
      </c>
      <c r="I743" s="7" t="s">
        <v>144</v>
      </c>
      <c r="J743" s="8"/>
      <c r="K743" s="8"/>
      <c r="L743" s="8"/>
      <c r="M743" s="8"/>
      <c r="N743" s="8"/>
      <c r="O743" s="8"/>
      <c r="P743" s="8">
        <v>0</v>
      </c>
      <c r="Q743" t="s">
        <v>26</v>
      </c>
    </row>
    <row r="744" spans="1:17" hidden="1" x14ac:dyDescent="0.25">
      <c r="A744" s="7" t="s">
        <v>17</v>
      </c>
      <c r="B744" s="7" t="s">
        <v>18</v>
      </c>
      <c r="C744" s="7" t="s">
        <v>19</v>
      </c>
      <c r="D744" s="7"/>
      <c r="E744" s="7"/>
      <c r="F744" s="7" t="s">
        <v>81</v>
      </c>
      <c r="G744" s="7" t="s">
        <v>82</v>
      </c>
      <c r="H744" s="7" t="s">
        <v>143</v>
      </c>
      <c r="I744" s="7" t="s">
        <v>144</v>
      </c>
      <c r="J744" s="8"/>
      <c r="K744" s="8"/>
      <c r="L744" s="8"/>
      <c r="M744" s="8"/>
      <c r="N744" s="8"/>
      <c r="O744" s="8"/>
      <c r="P744" s="8">
        <v>39.943767247500006</v>
      </c>
      <c r="Q744" t="s">
        <v>26</v>
      </c>
    </row>
    <row r="745" spans="1:17" hidden="1" x14ac:dyDescent="0.25">
      <c r="A745" s="7" t="s">
        <v>17</v>
      </c>
      <c r="B745" s="7" t="s">
        <v>18</v>
      </c>
      <c r="C745" s="7" t="s">
        <v>19</v>
      </c>
      <c r="D745" s="7"/>
      <c r="E745" s="7"/>
      <c r="F745" s="7" t="s">
        <v>83</v>
      </c>
      <c r="G745" s="7" t="s">
        <v>84</v>
      </c>
      <c r="H745" s="7" t="s">
        <v>143</v>
      </c>
      <c r="I745" s="7" t="s">
        <v>144</v>
      </c>
      <c r="J745" s="8"/>
      <c r="K745" s="8"/>
      <c r="L745" s="8"/>
      <c r="M745" s="8"/>
      <c r="N745" s="8"/>
      <c r="O745" s="8"/>
      <c r="P745" s="8">
        <v>0</v>
      </c>
      <c r="Q745" t="s">
        <v>26</v>
      </c>
    </row>
    <row r="746" spans="1:17" hidden="1" x14ac:dyDescent="0.25">
      <c r="A746" s="7" t="s">
        <v>17</v>
      </c>
      <c r="B746" s="7" t="s">
        <v>18</v>
      </c>
      <c r="C746" s="7" t="s">
        <v>19</v>
      </c>
      <c r="D746" s="7" t="s">
        <v>20</v>
      </c>
      <c r="E746" s="7" t="s">
        <v>21</v>
      </c>
      <c r="F746" s="7" t="s">
        <v>85</v>
      </c>
      <c r="G746" s="7" t="s">
        <v>86</v>
      </c>
      <c r="H746" s="7" t="s">
        <v>143</v>
      </c>
      <c r="I746" s="7" t="s">
        <v>144</v>
      </c>
      <c r="J746" s="8"/>
      <c r="K746" s="8"/>
      <c r="L746" s="8"/>
      <c r="M746" s="8"/>
      <c r="N746" s="8"/>
      <c r="O746" s="8"/>
      <c r="P746" s="8">
        <v>0.2452383618575486</v>
      </c>
      <c r="Q746" t="s">
        <v>26</v>
      </c>
    </row>
    <row r="747" spans="1:17" hidden="1" x14ac:dyDescent="0.25">
      <c r="A747" s="7" t="s">
        <v>17</v>
      </c>
      <c r="B747" s="7" t="s">
        <v>18</v>
      </c>
      <c r="C747" s="7" t="s">
        <v>19</v>
      </c>
      <c r="D747" s="7"/>
      <c r="E747" s="7"/>
      <c r="F747" s="7" t="s">
        <v>87</v>
      </c>
      <c r="G747" s="7" t="s">
        <v>88</v>
      </c>
      <c r="H747" s="7" t="s">
        <v>143</v>
      </c>
      <c r="I747" s="7" t="s">
        <v>144</v>
      </c>
      <c r="J747" s="8"/>
      <c r="K747" s="8"/>
      <c r="L747" s="8"/>
      <c r="M747" s="8"/>
      <c r="N747" s="8"/>
      <c r="O747" s="8"/>
      <c r="P747" s="8">
        <v>0.24882430780489712</v>
      </c>
      <c r="Q747" t="s">
        <v>26</v>
      </c>
    </row>
    <row r="748" spans="1:17" hidden="1" x14ac:dyDescent="0.25">
      <c r="A748" s="7" t="s">
        <v>17</v>
      </c>
      <c r="B748" s="7" t="s">
        <v>18</v>
      </c>
      <c r="C748" s="7" t="s">
        <v>19</v>
      </c>
      <c r="D748" s="7"/>
      <c r="E748" s="7"/>
      <c r="F748" s="7" t="s">
        <v>89</v>
      </c>
      <c r="G748" s="7" t="s">
        <v>90</v>
      </c>
      <c r="H748" s="7" t="s">
        <v>143</v>
      </c>
      <c r="I748" s="7" t="s">
        <v>144</v>
      </c>
      <c r="J748" s="8"/>
      <c r="K748" s="8"/>
      <c r="L748" s="8"/>
      <c r="M748" s="8"/>
      <c r="N748" s="8"/>
      <c r="O748" s="8"/>
      <c r="P748" s="8">
        <v>55.283346413279759</v>
      </c>
      <c r="Q748" t="s">
        <v>26</v>
      </c>
    </row>
    <row r="749" spans="1:17" hidden="1" x14ac:dyDescent="0.25">
      <c r="A749" s="7" t="s">
        <v>17</v>
      </c>
      <c r="B749" s="7" t="s">
        <v>18</v>
      </c>
      <c r="C749" s="7" t="s">
        <v>19</v>
      </c>
      <c r="D749" s="7"/>
      <c r="E749" s="7"/>
      <c r="F749" s="7" t="s">
        <v>91</v>
      </c>
      <c r="G749" s="7" t="s">
        <v>92</v>
      </c>
      <c r="H749" s="7" t="s">
        <v>143</v>
      </c>
      <c r="I749" s="7" t="s">
        <v>144</v>
      </c>
      <c r="J749" s="8"/>
      <c r="K749" s="8"/>
      <c r="L749" s="8"/>
      <c r="M749" s="8"/>
      <c r="N749" s="8"/>
      <c r="O749" s="8"/>
      <c r="P749" s="8">
        <v>0</v>
      </c>
      <c r="Q749" t="s">
        <v>26</v>
      </c>
    </row>
    <row r="750" spans="1:17" hidden="1" x14ac:dyDescent="0.25">
      <c r="A750" s="7" t="s">
        <v>17</v>
      </c>
      <c r="B750" s="7" t="s">
        <v>18</v>
      </c>
      <c r="C750" s="7" t="s">
        <v>19</v>
      </c>
      <c r="D750" s="7"/>
      <c r="E750" s="7"/>
      <c r="F750" s="7" t="s">
        <v>93</v>
      </c>
      <c r="G750" s="7" t="s">
        <v>94</v>
      </c>
      <c r="H750" s="7" t="s">
        <v>143</v>
      </c>
      <c r="I750" s="7" t="s">
        <v>144</v>
      </c>
      <c r="J750" s="8"/>
      <c r="K750" s="8"/>
      <c r="L750" s="8"/>
      <c r="M750" s="8"/>
      <c r="N750" s="8"/>
      <c r="O750" s="8"/>
      <c r="P750" s="8">
        <v>0.40028291040000002</v>
      </c>
      <c r="Q750" t="s">
        <v>26</v>
      </c>
    </row>
    <row r="751" spans="1:17" hidden="1" x14ac:dyDescent="0.25">
      <c r="A751" s="7" t="s">
        <v>17</v>
      </c>
      <c r="B751" s="7" t="s">
        <v>18</v>
      </c>
      <c r="C751" s="7" t="s">
        <v>19</v>
      </c>
      <c r="D751" s="7"/>
      <c r="E751" s="7"/>
      <c r="F751" s="7" t="s">
        <v>95</v>
      </c>
      <c r="G751" s="7" t="s">
        <v>96</v>
      </c>
      <c r="H751" s="7" t="s">
        <v>143</v>
      </c>
      <c r="I751" s="7" t="s">
        <v>144</v>
      </c>
      <c r="J751" s="8"/>
      <c r="K751" s="8"/>
      <c r="L751" s="8"/>
      <c r="M751" s="8"/>
      <c r="N751" s="8"/>
      <c r="O751" s="8"/>
      <c r="P751" s="8">
        <v>0</v>
      </c>
      <c r="Q751" t="s">
        <v>26</v>
      </c>
    </row>
    <row r="752" spans="1:17" hidden="1" x14ac:dyDescent="0.25">
      <c r="A752" s="7" t="s">
        <v>17</v>
      </c>
      <c r="B752" s="7" t="s">
        <v>18</v>
      </c>
      <c r="C752" s="7" t="s">
        <v>19</v>
      </c>
      <c r="D752" s="7"/>
      <c r="E752" s="7"/>
      <c r="F752" s="7" t="s">
        <v>97</v>
      </c>
      <c r="G752" s="7" t="s">
        <v>98</v>
      </c>
      <c r="H752" s="7" t="s">
        <v>143</v>
      </c>
      <c r="I752" s="7" t="s">
        <v>144</v>
      </c>
      <c r="J752" s="8"/>
      <c r="K752" s="8"/>
      <c r="L752" s="8"/>
      <c r="M752" s="8"/>
      <c r="N752" s="8"/>
      <c r="O752" s="8"/>
      <c r="P752" s="8">
        <v>8.1942147082706751E-2</v>
      </c>
      <c r="Q752" t="s">
        <v>26</v>
      </c>
    </row>
    <row r="753" spans="1:17" hidden="1" x14ac:dyDescent="0.25">
      <c r="A753" s="7" t="s">
        <v>17</v>
      </c>
      <c r="B753" s="7" t="s">
        <v>18</v>
      </c>
      <c r="C753" s="7" t="s">
        <v>19</v>
      </c>
      <c r="D753" s="7"/>
      <c r="E753" s="7"/>
      <c r="F753" s="7" t="s">
        <v>99</v>
      </c>
      <c r="G753" s="7" t="s">
        <v>100</v>
      </c>
      <c r="H753" s="7" t="s">
        <v>143</v>
      </c>
      <c r="I753" s="7" t="s">
        <v>144</v>
      </c>
      <c r="J753" s="8"/>
      <c r="K753" s="8"/>
      <c r="L753" s="8"/>
      <c r="M753" s="8"/>
      <c r="N753" s="8"/>
      <c r="O753" s="8"/>
      <c r="P753" s="8">
        <v>132.39414603070131</v>
      </c>
      <c r="Q753" t="s">
        <v>26</v>
      </c>
    </row>
    <row r="754" spans="1:17" hidden="1" x14ac:dyDescent="0.25">
      <c r="A754" s="7" t="s">
        <v>17</v>
      </c>
      <c r="B754" s="7" t="s">
        <v>18</v>
      </c>
      <c r="C754" s="7" t="s">
        <v>19</v>
      </c>
      <c r="D754" s="7" t="s">
        <v>20</v>
      </c>
      <c r="E754" s="7" t="s">
        <v>21</v>
      </c>
      <c r="F754" s="7" t="s">
        <v>101</v>
      </c>
      <c r="G754" s="7" t="s">
        <v>21</v>
      </c>
      <c r="H754" s="7" t="s">
        <v>143</v>
      </c>
      <c r="I754" s="7" t="s">
        <v>144</v>
      </c>
      <c r="J754" s="8"/>
      <c r="K754" s="8"/>
      <c r="L754" s="8"/>
      <c r="M754" s="8"/>
      <c r="N754" s="8"/>
      <c r="O754" s="8"/>
      <c r="P754" s="8">
        <v>0</v>
      </c>
      <c r="Q754" t="s">
        <v>26</v>
      </c>
    </row>
    <row r="755" spans="1:17" hidden="1" x14ac:dyDescent="0.25">
      <c r="A755" s="7" t="s">
        <v>17</v>
      </c>
      <c r="B755" s="7" t="s">
        <v>18</v>
      </c>
      <c r="C755" s="7" t="s">
        <v>19</v>
      </c>
      <c r="D755" s="7"/>
      <c r="E755" s="7"/>
      <c r="F755" s="7" t="s">
        <v>102</v>
      </c>
      <c r="G755" s="7" t="s">
        <v>103</v>
      </c>
      <c r="H755" s="7" t="s">
        <v>143</v>
      </c>
      <c r="I755" s="7" t="s">
        <v>144</v>
      </c>
      <c r="J755" s="8"/>
      <c r="K755" s="8"/>
      <c r="L755" s="8"/>
      <c r="M755" s="8"/>
      <c r="N755" s="8"/>
      <c r="O755" s="8"/>
      <c r="P755" s="8">
        <v>0</v>
      </c>
      <c r="Q755" t="s">
        <v>26</v>
      </c>
    </row>
    <row r="756" spans="1:17" hidden="1" x14ac:dyDescent="0.25">
      <c r="A756" s="7" t="s">
        <v>17</v>
      </c>
      <c r="B756" s="7" t="s">
        <v>18</v>
      </c>
      <c r="C756" s="7" t="s">
        <v>19</v>
      </c>
      <c r="D756" s="7" t="s">
        <v>20</v>
      </c>
      <c r="E756" s="7" t="s">
        <v>21</v>
      </c>
      <c r="F756" s="7" t="s">
        <v>104</v>
      </c>
      <c r="G756" s="7" t="s">
        <v>105</v>
      </c>
      <c r="H756" s="7" t="s">
        <v>143</v>
      </c>
      <c r="I756" s="7" t="s">
        <v>144</v>
      </c>
      <c r="J756" s="8"/>
      <c r="K756" s="8"/>
      <c r="L756" s="8"/>
      <c r="M756" s="8"/>
      <c r="N756" s="8"/>
      <c r="O756" s="8"/>
      <c r="P756" s="8">
        <v>26.732535882447991</v>
      </c>
      <c r="Q756" t="s">
        <v>26</v>
      </c>
    </row>
    <row r="757" spans="1:17" hidden="1" x14ac:dyDescent="0.25">
      <c r="A757" s="7" t="s">
        <v>17</v>
      </c>
      <c r="B757" s="7" t="s">
        <v>18</v>
      </c>
      <c r="C757" s="7" t="s">
        <v>19</v>
      </c>
      <c r="D757" s="7"/>
      <c r="E757" s="7"/>
      <c r="F757" s="7" t="s">
        <v>106</v>
      </c>
      <c r="G757" s="7" t="s">
        <v>107</v>
      </c>
      <c r="H757" s="7" t="s">
        <v>143</v>
      </c>
      <c r="I757" s="7" t="s">
        <v>144</v>
      </c>
      <c r="J757" s="8"/>
      <c r="K757" s="8"/>
      <c r="L757" s="8"/>
      <c r="M757" s="8"/>
      <c r="N757" s="8"/>
      <c r="O757" s="8"/>
      <c r="P757" s="8">
        <v>10.347881908136364</v>
      </c>
      <c r="Q757" t="s">
        <v>26</v>
      </c>
    </row>
    <row r="758" spans="1:17" hidden="1" x14ac:dyDescent="0.25">
      <c r="A758" s="7" t="s">
        <v>17</v>
      </c>
      <c r="B758" s="7" t="s">
        <v>18</v>
      </c>
      <c r="C758" s="7" t="s">
        <v>19</v>
      </c>
      <c r="D758" s="7"/>
      <c r="E758" s="7"/>
      <c r="F758" s="7" t="s">
        <v>108</v>
      </c>
      <c r="G758" s="7" t="s">
        <v>109</v>
      </c>
      <c r="H758" s="7" t="s">
        <v>143</v>
      </c>
      <c r="I758" s="7" t="s">
        <v>144</v>
      </c>
      <c r="J758" s="8"/>
      <c r="K758" s="8"/>
      <c r="L758" s="8"/>
      <c r="M758" s="8"/>
      <c r="N758" s="8"/>
      <c r="O758" s="8"/>
      <c r="P758" s="8">
        <v>0</v>
      </c>
      <c r="Q758" t="s">
        <v>26</v>
      </c>
    </row>
    <row r="759" spans="1:17" hidden="1" x14ac:dyDescent="0.25">
      <c r="A759" s="7" t="s">
        <v>17</v>
      </c>
      <c r="B759" s="7" t="s">
        <v>18</v>
      </c>
      <c r="C759" s="7" t="s">
        <v>19</v>
      </c>
      <c r="D759" s="7"/>
      <c r="E759" s="7"/>
      <c r="F759" s="7" t="s">
        <v>110</v>
      </c>
      <c r="G759" s="7" t="s">
        <v>111</v>
      </c>
      <c r="H759" s="7" t="s">
        <v>143</v>
      </c>
      <c r="I759" s="7" t="s">
        <v>144</v>
      </c>
      <c r="J759" s="8"/>
      <c r="K759" s="8"/>
      <c r="L759" s="8"/>
      <c r="M759" s="8"/>
      <c r="N759" s="8"/>
      <c r="O759" s="8"/>
      <c r="P759" s="8">
        <v>1.3259547270813909</v>
      </c>
      <c r="Q759" t="s">
        <v>26</v>
      </c>
    </row>
    <row r="760" spans="1:17" hidden="1" x14ac:dyDescent="0.25">
      <c r="A760" s="7" t="s">
        <v>17</v>
      </c>
      <c r="B760" s="7" t="s">
        <v>18</v>
      </c>
      <c r="C760" s="7" t="s">
        <v>19</v>
      </c>
      <c r="D760" s="7" t="s">
        <v>20</v>
      </c>
      <c r="E760" s="7" t="s">
        <v>21</v>
      </c>
      <c r="F760" s="7" t="s">
        <v>112</v>
      </c>
      <c r="G760" s="7" t="s">
        <v>113</v>
      </c>
      <c r="H760" s="7" t="s">
        <v>143</v>
      </c>
      <c r="I760" s="7" t="s">
        <v>144</v>
      </c>
      <c r="J760" s="8"/>
      <c r="K760" s="8"/>
      <c r="L760" s="8"/>
      <c r="M760" s="8"/>
      <c r="N760" s="8"/>
      <c r="O760" s="8"/>
      <c r="P760" s="8">
        <v>0.14957663992857143</v>
      </c>
      <c r="Q760" t="s">
        <v>26</v>
      </c>
    </row>
    <row r="761" spans="1:17" hidden="1" x14ac:dyDescent="0.25">
      <c r="A761" s="7" t="s">
        <v>17</v>
      </c>
      <c r="B761" s="7" t="s">
        <v>18</v>
      </c>
      <c r="C761" s="7" t="s">
        <v>19</v>
      </c>
      <c r="D761" s="7" t="s">
        <v>20</v>
      </c>
      <c r="E761" s="7" t="s">
        <v>21</v>
      </c>
      <c r="F761" s="7" t="s">
        <v>114</v>
      </c>
      <c r="G761" s="7" t="s">
        <v>115</v>
      </c>
      <c r="H761" s="7" t="s">
        <v>143</v>
      </c>
      <c r="I761" s="7" t="s">
        <v>144</v>
      </c>
      <c r="J761" s="8"/>
      <c r="K761" s="8"/>
      <c r="L761" s="8"/>
      <c r="M761" s="8"/>
      <c r="N761" s="8"/>
      <c r="O761" s="8"/>
      <c r="P761" s="8">
        <v>0</v>
      </c>
      <c r="Q761" t="s">
        <v>26</v>
      </c>
    </row>
    <row r="762" spans="1:17" hidden="1" x14ac:dyDescent="0.25">
      <c r="A762" s="7" t="s">
        <v>17</v>
      </c>
      <c r="B762" s="7" t="s">
        <v>18</v>
      </c>
      <c r="C762" s="7" t="s">
        <v>19</v>
      </c>
      <c r="D762" s="7" t="s">
        <v>20</v>
      </c>
      <c r="E762" s="7" t="s">
        <v>21</v>
      </c>
      <c r="F762" s="7" t="s">
        <v>116</v>
      </c>
      <c r="G762" s="7" t="s">
        <v>117</v>
      </c>
      <c r="H762" s="7" t="s">
        <v>143</v>
      </c>
      <c r="I762" s="7" t="s">
        <v>144</v>
      </c>
      <c r="J762" s="8"/>
      <c r="K762" s="8"/>
      <c r="L762" s="8"/>
      <c r="M762" s="8"/>
      <c r="N762" s="8"/>
      <c r="O762" s="8"/>
      <c r="P762" s="8">
        <v>4.4218241605263144E-2</v>
      </c>
      <c r="Q762" t="s">
        <v>26</v>
      </c>
    </row>
    <row r="763" spans="1:17" hidden="1" x14ac:dyDescent="0.25">
      <c r="A763" s="7" t="s">
        <v>17</v>
      </c>
      <c r="B763" s="7" t="s">
        <v>18</v>
      </c>
      <c r="C763" s="7" t="s">
        <v>19</v>
      </c>
      <c r="D763" s="7" t="s">
        <v>20</v>
      </c>
      <c r="E763" s="7" t="s">
        <v>21</v>
      </c>
      <c r="F763" s="7" t="s">
        <v>118</v>
      </c>
      <c r="G763" s="7" t="s">
        <v>119</v>
      </c>
      <c r="H763" s="7" t="s">
        <v>143</v>
      </c>
      <c r="I763" s="7" t="s">
        <v>144</v>
      </c>
      <c r="J763" s="8"/>
      <c r="K763" s="8"/>
      <c r="L763" s="8"/>
      <c r="M763" s="8"/>
      <c r="N763" s="8"/>
      <c r="O763" s="8"/>
      <c r="P763" s="8">
        <v>1.0004659024854761</v>
      </c>
      <c r="Q763" t="s">
        <v>26</v>
      </c>
    </row>
    <row r="764" spans="1:17" hidden="1" x14ac:dyDescent="0.25">
      <c r="A764" s="7" t="s">
        <v>17</v>
      </c>
      <c r="B764" s="7" t="s">
        <v>18</v>
      </c>
      <c r="C764" s="7" t="s">
        <v>19</v>
      </c>
      <c r="D764" s="7" t="s">
        <v>20</v>
      </c>
      <c r="E764" s="7" t="s">
        <v>21</v>
      </c>
      <c r="F764" s="7" t="s">
        <v>120</v>
      </c>
      <c r="G764" s="7" t="s">
        <v>121</v>
      </c>
      <c r="H764" s="7" t="s">
        <v>143</v>
      </c>
      <c r="I764" s="7" t="s">
        <v>144</v>
      </c>
      <c r="J764" s="8"/>
      <c r="K764" s="8"/>
      <c r="L764" s="8"/>
      <c r="M764" s="8"/>
      <c r="N764" s="8"/>
      <c r="O764" s="8"/>
      <c r="P764" s="8">
        <v>0</v>
      </c>
      <c r="Q764" t="s">
        <v>26</v>
      </c>
    </row>
    <row r="765" spans="1:17" hidden="1" x14ac:dyDescent="0.25">
      <c r="A765" s="7" t="s">
        <v>17</v>
      </c>
      <c r="B765" s="7" t="s">
        <v>18</v>
      </c>
      <c r="C765" s="7" t="s">
        <v>19</v>
      </c>
      <c r="D765" s="7"/>
      <c r="E765" s="7"/>
      <c r="F765" s="7" t="s">
        <v>122</v>
      </c>
      <c r="G765" s="7" t="s">
        <v>123</v>
      </c>
      <c r="H765" s="7" t="s">
        <v>143</v>
      </c>
      <c r="I765" s="7" t="s">
        <v>144</v>
      </c>
      <c r="J765" s="8"/>
      <c r="K765" s="8"/>
      <c r="L765" s="8"/>
      <c r="M765" s="8"/>
      <c r="N765" s="8"/>
      <c r="O765" s="8"/>
      <c r="P765" s="8">
        <v>1.8510982303315962</v>
      </c>
      <c r="Q765" t="s">
        <v>26</v>
      </c>
    </row>
    <row r="766" spans="1:17" hidden="1" x14ac:dyDescent="0.25">
      <c r="A766" s="7" t="s">
        <v>17</v>
      </c>
      <c r="B766" s="7" t="s">
        <v>18</v>
      </c>
      <c r="C766" s="7" t="s">
        <v>19</v>
      </c>
      <c r="D766" s="7"/>
      <c r="E766" s="7"/>
      <c r="F766" s="7" t="s">
        <v>124</v>
      </c>
      <c r="G766" s="7" t="s">
        <v>125</v>
      </c>
      <c r="H766" s="7" t="s">
        <v>143</v>
      </c>
      <c r="I766" s="7" t="s">
        <v>144</v>
      </c>
      <c r="J766" s="8"/>
      <c r="K766" s="8"/>
      <c r="L766" s="8"/>
      <c r="M766" s="8"/>
      <c r="N766" s="8"/>
      <c r="O766" s="8"/>
      <c r="P766" s="8">
        <v>1.5365851718016916</v>
      </c>
      <c r="Q766" t="s">
        <v>26</v>
      </c>
    </row>
    <row r="767" spans="1:17" hidden="1" x14ac:dyDescent="0.25">
      <c r="A767" s="7" t="s">
        <v>17</v>
      </c>
      <c r="B767" s="7" t="s">
        <v>18</v>
      </c>
      <c r="C767" s="7" t="s">
        <v>19</v>
      </c>
      <c r="D767" s="7" t="s">
        <v>20</v>
      </c>
      <c r="E767" s="7" t="s">
        <v>21</v>
      </c>
      <c r="F767" s="7" t="s">
        <v>22</v>
      </c>
      <c r="G767" s="7" t="s">
        <v>23</v>
      </c>
      <c r="H767" s="7" t="s">
        <v>143</v>
      </c>
      <c r="I767" s="7" t="s">
        <v>145</v>
      </c>
      <c r="J767" s="8"/>
      <c r="K767" s="8"/>
      <c r="L767" s="8"/>
      <c r="M767" s="8"/>
      <c r="N767" s="8"/>
      <c r="O767" s="8">
        <v>3.2477950389622442E-4</v>
      </c>
      <c r="P767" s="8"/>
      <c r="Q767" t="s">
        <v>26</v>
      </c>
    </row>
    <row r="768" spans="1:17" hidden="1" x14ac:dyDescent="0.25">
      <c r="A768" s="7" t="s">
        <v>17</v>
      </c>
      <c r="B768" s="7" t="s">
        <v>18</v>
      </c>
      <c r="C768" s="7" t="s">
        <v>19</v>
      </c>
      <c r="D768" s="7"/>
      <c r="E768" s="7"/>
      <c r="F768" s="7" t="s">
        <v>27</v>
      </c>
      <c r="G768" s="7" t="s">
        <v>28</v>
      </c>
      <c r="H768" s="7" t="s">
        <v>143</v>
      </c>
      <c r="I768" s="7" t="s">
        <v>145</v>
      </c>
      <c r="J768" s="8"/>
      <c r="K768" s="8"/>
      <c r="L768" s="8"/>
      <c r="M768" s="8"/>
      <c r="N768" s="8"/>
      <c r="O768" s="8">
        <v>7.971169026419854E-2</v>
      </c>
      <c r="P768" s="8"/>
      <c r="Q768" t="s">
        <v>26</v>
      </c>
    </row>
    <row r="769" spans="1:17" hidden="1" x14ac:dyDescent="0.25">
      <c r="A769" s="7" t="s">
        <v>17</v>
      </c>
      <c r="B769" s="7" t="s">
        <v>18</v>
      </c>
      <c r="C769" s="7" t="s">
        <v>19</v>
      </c>
      <c r="D769" s="7"/>
      <c r="E769" s="7"/>
      <c r="F769" s="7" t="s">
        <v>29</v>
      </c>
      <c r="G769" s="7" t="s">
        <v>30</v>
      </c>
      <c r="H769" s="7" t="s">
        <v>143</v>
      </c>
      <c r="I769" s="7" t="s">
        <v>145</v>
      </c>
      <c r="J769" s="8"/>
      <c r="K769" s="8"/>
      <c r="L769" s="8"/>
      <c r="M769" s="8"/>
      <c r="N769" s="8"/>
      <c r="O769" s="8">
        <v>3.1148635495764588E-3</v>
      </c>
      <c r="P769" s="8"/>
      <c r="Q769" t="s">
        <v>26</v>
      </c>
    </row>
    <row r="770" spans="1:17" hidden="1" x14ac:dyDescent="0.25">
      <c r="A770" s="7" t="s">
        <v>17</v>
      </c>
      <c r="B770" s="7" t="s">
        <v>18</v>
      </c>
      <c r="C770" s="7" t="s">
        <v>19</v>
      </c>
      <c r="D770" s="7"/>
      <c r="E770" s="7"/>
      <c r="F770" s="7" t="s">
        <v>31</v>
      </c>
      <c r="G770" s="7" t="s">
        <v>32</v>
      </c>
      <c r="H770" s="7" t="s">
        <v>143</v>
      </c>
      <c r="I770" s="7" t="s">
        <v>145</v>
      </c>
      <c r="J770" s="8"/>
      <c r="K770" s="8"/>
      <c r="L770" s="8"/>
      <c r="M770" s="8"/>
      <c r="N770" s="8"/>
      <c r="O770" s="8">
        <v>0.21768474383527103</v>
      </c>
      <c r="P770" s="8"/>
      <c r="Q770" t="s">
        <v>26</v>
      </c>
    </row>
    <row r="771" spans="1:17" hidden="1" x14ac:dyDescent="0.25">
      <c r="A771" s="7" t="s">
        <v>17</v>
      </c>
      <c r="B771" s="7" t="s">
        <v>18</v>
      </c>
      <c r="C771" s="7" t="s">
        <v>19</v>
      </c>
      <c r="D771" s="7"/>
      <c r="E771" s="7"/>
      <c r="F771" s="7" t="s">
        <v>33</v>
      </c>
      <c r="G771" s="7" t="s">
        <v>34</v>
      </c>
      <c r="H771" s="7" t="s">
        <v>143</v>
      </c>
      <c r="I771" s="7" t="s">
        <v>145</v>
      </c>
      <c r="J771" s="8"/>
      <c r="K771" s="8"/>
      <c r="L771" s="8"/>
      <c r="M771" s="8"/>
      <c r="N771" s="8"/>
      <c r="O771" s="8">
        <v>0.21085263970064583</v>
      </c>
      <c r="P771" s="8"/>
      <c r="Q771" t="s">
        <v>26</v>
      </c>
    </row>
    <row r="772" spans="1:17" hidden="1" x14ac:dyDescent="0.25">
      <c r="A772" s="7" t="s">
        <v>17</v>
      </c>
      <c r="B772" s="7" t="s">
        <v>18</v>
      </c>
      <c r="C772" s="7" t="s">
        <v>19</v>
      </c>
      <c r="D772" s="7" t="s">
        <v>20</v>
      </c>
      <c r="E772" s="7" t="s">
        <v>21</v>
      </c>
      <c r="F772" s="7" t="s">
        <v>35</v>
      </c>
      <c r="G772" s="7" t="s">
        <v>36</v>
      </c>
      <c r="H772" s="7" t="s">
        <v>143</v>
      </c>
      <c r="I772" s="7" t="s">
        <v>145</v>
      </c>
      <c r="J772" s="8"/>
      <c r="K772" s="8"/>
      <c r="L772" s="8"/>
      <c r="M772" s="8"/>
      <c r="N772" s="8"/>
      <c r="O772" s="8">
        <v>3.802459130484239E-4</v>
      </c>
      <c r="P772" s="8"/>
      <c r="Q772" t="s">
        <v>26</v>
      </c>
    </row>
    <row r="773" spans="1:17" hidden="1" x14ac:dyDescent="0.25">
      <c r="A773" s="7" t="s">
        <v>17</v>
      </c>
      <c r="B773" s="7" t="s">
        <v>18</v>
      </c>
      <c r="C773" s="7" t="s">
        <v>19</v>
      </c>
      <c r="D773" s="7"/>
      <c r="E773" s="7"/>
      <c r="F773" s="7" t="s">
        <v>37</v>
      </c>
      <c r="G773" s="7" t="s">
        <v>38</v>
      </c>
      <c r="H773" s="7" t="s">
        <v>143</v>
      </c>
      <c r="I773" s="7" t="s">
        <v>145</v>
      </c>
      <c r="J773" s="8"/>
      <c r="K773" s="8"/>
      <c r="L773" s="8"/>
      <c r="M773" s="8"/>
      <c r="N773" s="8"/>
      <c r="O773" s="8">
        <v>0.93295657750041094</v>
      </c>
      <c r="P773" s="8"/>
      <c r="Q773" t="s">
        <v>26</v>
      </c>
    </row>
    <row r="774" spans="1:17" hidden="1" x14ac:dyDescent="0.25">
      <c r="A774" s="7" t="s">
        <v>17</v>
      </c>
      <c r="B774" s="7" t="s">
        <v>18</v>
      </c>
      <c r="C774" s="7" t="s">
        <v>19</v>
      </c>
      <c r="D774" s="7"/>
      <c r="E774" s="7"/>
      <c r="F774" s="7" t="s">
        <v>39</v>
      </c>
      <c r="G774" s="7" t="s">
        <v>40</v>
      </c>
      <c r="H774" s="7" t="s">
        <v>143</v>
      </c>
      <c r="I774" s="7" t="s">
        <v>145</v>
      </c>
      <c r="J774" s="8"/>
      <c r="K774" s="8"/>
      <c r="L774" s="8"/>
      <c r="M774" s="8"/>
      <c r="N774" s="8"/>
      <c r="O774" s="8">
        <v>3.7236112077478956E-2</v>
      </c>
      <c r="P774" s="8"/>
      <c r="Q774" t="s">
        <v>26</v>
      </c>
    </row>
    <row r="775" spans="1:17" hidden="1" x14ac:dyDescent="0.25">
      <c r="A775" s="7" t="s">
        <v>17</v>
      </c>
      <c r="B775" s="7" t="s">
        <v>18</v>
      </c>
      <c r="C775" s="7" t="s">
        <v>19</v>
      </c>
      <c r="D775" s="7" t="s">
        <v>20</v>
      </c>
      <c r="E775" s="7" t="s">
        <v>21</v>
      </c>
      <c r="F775" s="7" t="s">
        <v>41</v>
      </c>
      <c r="G775" s="7" t="s">
        <v>42</v>
      </c>
      <c r="H775" s="7" t="s">
        <v>143</v>
      </c>
      <c r="I775" s="7" t="s">
        <v>145</v>
      </c>
      <c r="J775" s="8"/>
      <c r="K775" s="8"/>
      <c r="L775" s="8"/>
      <c r="M775" s="8"/>
      <c r="N775" s="8"/>
      <c r="O775" s="8">
        <v>1.7419881349890756</v>
      </c>
      <c r="P775" s="8"/>
      <c r="Q775" t="s">
        <v>26</v>
      </c>
    </row>
    <row r="776" spans="1:17" hidden="1" x14ac:dyDescent="0.25">
      <c r="A776" s="7" t="s">
        <v>17</v>
      </c>
      <c r="B776" s="7" t="s">
        <v>18</v>
      </c>
      <c r="C776" s="7" t="s">
        <v>19</v>
      </c>
      <c r="D776" s="7" t="s">
        <v>20</v>
      </c>
      <c r="E776" s="7" t="s">
        <v>21</v>
      </c>
      <c r="F776" s="7" t="s">
        <v>43</v>
      </c>
      <c r="G776" s="7" t="s">
        <v>44</v>
      </c>
      <c r="H776" s="7" t="s">
        <v>143</v>
      </c>
      <c r="I776" s="7" t="s">
        <v>145</v>
      </c>
      <c r="J776" s="8"/>
      <c r="K776" s="8"/>
      <c r="L776" s="8"/>
      <c r="M776" s="8"/>
      <c r="N776" s="8"/>
      <c r="O776" s="8">
        <v>1.2192011815203432E-2</v>
      </c>
      <c r="P776" s="8"/>
      <c r="Q776" t="s">
        <v>26</v>
      </c>
    </row>
    <row r="777" spans="1:17" hidden="1" x14ac:dyDescent="0.25">
      <c r="A777" s="7" t="s">
        <v>17</v>
      </c>
      <c r="B777" s="7" t="s">
        <v>18</v>
      </c>
      <c r="C777" s="7" t="s">
        <v>19</v>
      </c>
      <c r="D777" s="7"/>
      <c r="E777" s="7"/>
      <c r="F777" s="7" t="s">
        <v>45</v>
      </c>
      <c r="G777" s="7" t="s">
        <v>46</v>
      </c>
      <c r="H777" s="7" t="s">
        <v>143</v>
      </c>
      <c r="I777" s="7" t="s">
        <v>145</v>
      </c>
      <c r="J777" s="8"/>
      <c r="K777" s="8"/>
      <c r="L777" s="8"/>
      <c r="M777" s="8"/>
      <c r="N777" s="8"/>
      <c r="O777" s="8">
        <v>0.17462559165181327</v>
      </c>
      <c r="P777" s="8"/>
      <c r="Q777" t="s">
        <v>26</v>
      </c>
    </row>
    <row r="778" spans="1:17" hidden="1" x14ac:dyDescent="0.25">
      <c r="A778" s="7" t="s">
        <v>17</v>
      </c>
      <c r="B778" s="7" t="s">
        <v>18</v>
      </c>
      <c r="C778" s="7" t="s">
        <v>19</v>
      </c>
      <c r="D778" s="7" t="s">
        <v>20</v>
      </c>
      <c r="E778" s="7" t="s">
        <v>21</v>
      </c>
      <c r="F778" s="7" t="s">
        <v>47</v>
      </c>
      <c r="G778" s="7" t="s">
        <v>48</v>
      </c>
      <c r="H778" s="7" t="s">
        <v>143</v>
      </c>
      <c r="I778" s="7" t="s">
        <v>145</v>
      </c>
      <c r="J778" s="8"/>
      <c r="K778" s="8"/>
      <c r="L778" s="8"/>
      <c r="M778" s="8"/>
      <c r="N778" s="8"/>
      <c r="O778" s="8">
        <v>1.8710513181747841E-3</v>
      </c>
      <c r="P778" s="8"/>
      <c r="Q778" t="s">
        <v>26</v>
      </c>
    </row>
    <row r="779" spans="1:17" hidden="1" x14ac:dyDescent="0.25">
      <c r="A779" s="7" t="s">
        <v>17</v>
      </c>
      <c r="B779" s="7" t="s">
        <v>18</v>
      </c>
      <c r="C779" s="7" t="s">
        <v>19</v>
      </c>
      <c r="D779" s="7"/>
      <c r="E779" s="7"/>
      <c r="F779" s="7" t="s">
        <v>49</v>
      </c>
      <c r="G779" s="7" t="s">
        <v>50</v>
      </c>
      <c r="H779" s="7" t="s">
        <v>143</v>
      </c>
      <c r="I779" s="7" t="s">
        <v>145</v>
      </c>
      <c r="J779" s="8"/>
      <c r="K779" s="8"/>
      <c r="L779" s="8"/>
      <c r="M779" s="8"/>
      <c r="N779" s="8"/>
      <c r="O779" s="8">
        <v>0.15591374187935059</v>
      </c>
      <c r="P779" s="8"/>
      <c r="Q779" t="s">
        <v>26</v>
      </c>
    </row>
    <row r="780" spans="1:17" hidden="1" x14ac:dyDescent="0.25">
      <c r="A780" s="7" t="s">
        <v>17</v>
      </c>
      <c r="B780" s="7" t="s">
        <v>18</v>
      </c>
      <c r="C780" s="7" t="s">
        <v>19</v>
      </c>
      <c r="D780" s="7"/>
      <c r="E780" s="7"/>
      <c r="F780" s="7" t="s">
        <v>51</v>
      </c>
      <c r="G780" s="7" t="s">
        <v>52</v>
      </c>
      <c r="H780" s="7" t="s">
        <v>143</v>
      </c>
      <c r="I780" s="7" t="s">
        <v>145</v>
      </c>
      <c r="J780" s="8"/>
      <c r="K780" s="8"/>
      <c r="L780" s="8"/>
      <c r="M780" s="8"/>
      <c r="N780" s="8"/>
      <c r="O780" s="8">
        <v>4.5108796579749049</v>
      </c>
      <c r="P780" s="8"/>
      <c r="Q780" t="s">
        <v>26</v>
      </c>
    </row>
    <row r="781" spans="1:17" hidden="1" x14ac:dyDescent="0.25">
      <c r="A781" s="7" t="s">
        <v>17</v>
      </c>
      <c r="B781" s="7" t="s">
        <v>18</v>
      </c>
      <c r="C781" s="7" t="s">
        <v>19</v>
      </c>
      <c r="D781" s="7"/>
      <c r="E781" s="7"/>
      <c r="F781" s="7" t="s">
        <v>53</v>
      </c>
      <c r="G781" s="7" t="s">
        <v>54</v>
      </c>
      <c r="H781" s="7" t="s">
        <v>143</v>
      </c>
      <c r="I781" s="7" t="s">
        <v>145</v>
      </c>
      <c r="J781" s="8"/>
      <c r="K781" s="8"/>
      <c r="L781" s="8"/>
      <c r="M781" s="8"/>
      <c r="N781" s="8"/>
      <c r="O781" s="8">
        <v>1.9007215229604638E-2</v>
      </c>
      <c r="P781" s="8"/>
      <c r="Q781" t="s">
        <v>26</v>
      </c>
    </row>
    <row r="782" spans="1:17" hidden="1" x14ac:dyDescent="0.25">
      <c r="A782" s="7" t="s">
        <v>17</v>
      </c>
      <c r="B782" s="7" t="s">
        <v>18</v>
      </c>
      <c r="C782" s="7" t="s">
        <v>19</v>
      </c>
      <c r="D782" s="7"/>
      <c r="E782" s="7"/>
      <c r="F782" s="7" t="s">
        <v>55</v>
      </c>
      <c r="G782" s="7" t="s">
        <v>56</v>
      </c>
      <c r="H782" s="7" t="s">
        <v>143</v>
      </c>
      <c r="I782" s="7" t="s">
        <v>145</v>
      </c>
      <c r="J782" s="8"/>
      <c r="K782" s="8"/>
      <c r="L782" s="8"/>
      <c r="M782" s="8"/>
      <c r="N782" s="8"/>
      <c r="O782" s="8">
        <v>4.1328779526995339E-2</v>
      </c>
      <c r="P782" s="8"/>
      <c r="Q782" t="s">
        <v>26</v>
      </c>
    </row>
    <row r="783" spans="1:17" hidden="1" x14ac:dyDescent="0.25">
      <c r="A783" s="7" t="s">
        <v>17</v>
      </c>
      <c r="B783" s="7" t="s">
        <v>18</v>
      </c>
      <c r="C783" s="7" t="s">
        <v>19</v>
      </c>
      <c r="D783" s="7"/>
      <c r="E783" s="7"/>
      <c r="F783" s="7" t="s">
        <v>57</v>
      </c>
      <c r="G783" s="7" t="s">
        <v>58</v>
      </c>
      <c r="H783" s="7" t="s">
        <v>143</v>
      </c>
      <c r="I783" s="7" t="s">
        <v>145</v>
      </c>
      <c r="J783" s="8"/>
      <c r="K783" s="8"/>
      <c r="L783" s="8"/>
      <c r="M783" s="8"/>
      <c r="N783" s="8"/>
      <c r="O783" s="8">
        <v>2.6759107046393638</v>
      </c>
      <c r="P783" s="8"/>
      <c r="Q783" t="s">
        <v>26</v>
      </c>
    </row>
    <row r="784" spans="1:17" hidden="1" x14ac:dyDescent="0.25">
      <c r="A784" s="7" t="s">
        <v>17</v>
      </c>
      <c r="B784" s="7" t="s">
        <v>18</v>
      </c>
      <c r="C784" s="7" t="s">
        <v>19</v>
      </c>
      <c r="D784" s="7" t="s">
        <v>20</v>
      </c>
      <c r="E784" s="7" t="s">
        <v>21</v>
      </c>
      <c r="F784" s="7" t="s">
        <v>59</v>
      </c>
      <c r="G784" s="7" t="s">
        <v>60</v>
      </c>
      <c r="H784" s="7" t="s">
        <v>143</v>
      </c>
      <c r="I784" s="7" t="s">
        <v>145</v>
      </c>
      <c r="J784" s="8"/>
      <c r="K784" s="8"/>
      <c r="L784" s="8"/>
      <c r="M784" s="8"/>
      <c r="N784" s="8"/>
      <c r="O784" s="8">
        <v>1.3983678197905292E-2</v>
      </c>
      <c r="P784" s="8"/>
      <c r="Q784" t="s">
        <v>26</v>
      </c>
    </row>
    <row r="785" spans="1:17" hidden="1" x14ac:dyDescent="0.25">
      <c r="A785" s="7" t="s">
        <v>17</v>
      </c>
      <c r="B785" s="7" t="s">
        <v>18</v>
      </c>
      <c r="C785" s="7" t="s">
        <v>19</v>
      </c>
      <c r="D785" s="7" t="s">
        <v>20</v>
      </c>
      <c r="E785" s="7" t="s">
        <v>21</v>
      </c>
      <c r="F785" s="7" t="s">
        <v>61</v>
      </c>
      <c r="G785" s="7" t="s">
        <v>62</v>
      </c>
      <c r="H785" s="7" t="s">
        <v>143</v>
      </c>
      <c r="I785" s="7" t="s">
        <v>145</v>
      </c>
      <c r="J785" s="8"/>
      <c r="K785" s="8"/>
      <c r="L785" s="8"/>
      <c r="M785" s="8"/>
      <c r="N785" s="8"/>
      <c r="O785" s="8">
        <v>0</v>
      </c>
      <c r="P785" s="8"/>
      <c r="Q785" t="s">
        <v>26</v>
      </c>
    </row>
    <row r="786" spans="1:17" hidden="1" x14ac:dyDescent="0.25">
      <c r="A786" s="7" t="s">
        <v>17</v>
      </c>
      <c r="B786" s="7" t="s">
        <v>18</v>
      </c>
      <c r="C786" s="7" t="s">
        <v>19</v>
      </c>
      <c r="D786" s="7"/>
      <c r="E786" s="7"/>
      <c r="F786" s="7" t="s">
        <v>63</v>
      </c>
      <c r="G786" s="7" t="s">
        <v>64</v>
      </c>
      <c r="H786" s="7" t="s">
        <v>143</v>
      </c>
      <c r="I786" s="7" t="s">
        <v>145</v>
      </c>
      <c r="J786" s="8"/>
      <c r="K786" s="8"/>
      <c r="L786" s="8"/>
      <c r="M786" s="8"/>
      <c r="N786" s="8"/>
      <c r="O786" s="8">
        <v>0.16297739079876947</v>
      </c>
      <c r="P786" s="8"/>
      <c r="Q786" t="s">
        <v>26</v>
      </c>
    </row>
    <row r="787" spans="1:17" hidden="1" x14ac:dyDescent="0.25">
      <c r="A787" s="7" t="s">
        <v>17</v>
      </c>
      <c r="B787" s="7" t="s">
        <v>18</v>
      </c>
      <c r="C787" s="7" t="s">
        <v>19</v>
      </c>
      <c r="D787" s="7" t="s">
        <v>20</v>
      </c>
      <c r="E787" s="7" t="s">
        <v>21</v>
      </c>
      <c r="F787" s="7" t="s">
        <v>65</v>
      </c>
      <c r="G787" s="7" t="s">
        <v>66</v>
      </c>
      <c r="H787" s="7" t="s">
        <v>143</v>
      </c>
      <c r="I787" s="7" t="s">
        <v>145</v>
      </c>
      <c r="J787" s="8"/>
      <c r="K787" s="8"/>
      <c r="L787" s="8"/>
      <c r="M787" s="8"/>
      <c r="N787" s="8"/>
      <c r="O787" s="8">
        <v>8.0207736401593805E-3</v>
      </c>
      <c r="P787" s="8"/>
      <c r="Q787" t="s">
        <v>26</v>
      </c>
    </row>
    <row r="788" spans="1:17" hidden="1" x14ac:dyDescent="0.25">
      <c r="A788" s="7" t="s">
        <v>17</v>
      </c>
      <c r="B788" s="7" t="s">
        <v>18</v>
      </c>
      <c r="C788" s="7" t="s">
        <v>19</v>
      </c>
      <c r="D788" s="7"/>
      <c r="E788" s="7"/>
      <c r="F788" s="7" t="s">
        <v>67</v>
      </c>
      <c r="G788" s="7" t="s">
        <v>68</v>
      </c>
      <c r="H788" s="7" t="s">
        <v>143</v>
      </c>
      <c r="I788" s="7" t="s">
        <v>145</v>
      </c>
      <c r="J788" s="8"/>
      <c r="K788" s="8"/>
      <c r="L788" s="8"/>
      <c r="M788" s="8"/>
      <c r="N788" s="8"/>
      <c r="O788" s="8">
        <v>2.0881733588298954</v>
      </c>
      <c r="P788" s="8"/>
      <c r="Q788" t="s">
        <v>26</v>
      </c>
    </row>
    <row r="789" spans="1:17" hidden="1" x14ac:dyDescent="0.25">
      <c r="A789" s="7" t="s">
        <v>17</v>
      </c>
      <c r="B789" s="7" t="s">
        <v>18</v>
      </c>
      <c r="C789" s="7" t="s">
        <v>19</v>
      </c>
      <c r="D789" s="7"/>
      <c r="E789" s="7"/>
      <c r="F789" s="7" t="s">
        <v>69</v>
      </c>
      <c r="G789" s="7" t="s">
        <v>70</v>
      </c>
      <c r="H789" s="7" t="s">
        <v>143</v>
      </c>
      <c r="I789" s="7" t="s">
        <v>145</v>
      </c>
      <c r="J789" s="8"/>
      <c r="K789" s="8"/>
      <c r="L789" s="8"/>
      <c r="M789" s="8"/>
      <c r="N789" s="8"/>
      <c r="O789" s="8">
        <v>4.6496047491093664E-2</v>
      </c>
      <c r="P789" s="8"/>
      <c r="Q789" t="s">
        <v>26</v>
      </c>
    </row>
    <row r="790" spans="1:17" hidden="1" x14ac:dyDescent="0.25">
      <c r="A790" s="7" t="s">
        <v>17</v>
      </c>
      <c r="B790" s="7" t="s">
        <v>18</v>
      </c>
      <c r="C790" s="7" t="s">
        <v>19</v>
      </c>
      <c r="D790" s="7"/>
      <c r="E790" s="7"/>
      <c r="F790" s="7" t="s">
        <v>71</v>
      </c>
      <c r="G790" s="7" t="s">
        <v>72</v>
      </c>
      <c r="H790" s="7" t="s">
        <v>143</v>
      </c>
      <c r="I790" s="7" t="s">
        <v>145</v>
      </c>
      <c r="J790" s="8"/>
      <c r="K790" s="8"/>
      <c r="L790" s="8"/>
      <c r="M790" s="8"/>
      <c r="N790" s="8"/>
      <c r="O790" s="8">
        <v>0.3737937726074948</v>
      </c>
      <c r="P790" s="8"/>
      <c r="Q790" t="s">
        <v>26</v>
      </c>
    </row>
    <row r="791" spans="1:17" hidden="1" x14ac:dyDescent="0.25">
      <c r="A791" s="7" t="s">
        <v>17</v>
      </c>
      <c r="B791" s="7" t="s">
        <v>18</v>
      </c>
      <c r="C791" s="7" t="s">
        <v>19</v>
      </c>
      <c r="D791" s="7" t="s">
        <v>20</v>
      </c>
      <c r="E791" s="7" t="s">
        <v>21</v>
      </c>
      <c r="F791" s="7" t="s">
        <v>73</v>
      </c>
      <c r="G791" s="7" t="s">
        <v>74</v>
      </c>
      <c r="H791" s="7" t="s">
        <v>143</v>
      </c>
      <c r="I791" s="7" t="s">
        <v>145</v>
      </c>
      <c r="J791" s="8"/>
      <c r="K791" s="8"/>
      <c r="L791" s="8"/>
      <c r="M791" s="8"/>
      <c r="N791" s="8"/>
      <c r="O791" s="8">
        <v>1.5404777254047156E-3</v>
      </c>
      <c r="P791" s="8"/>
      <c r="Q791" t="s">
        <v>26</v>
      </c>
    </row>
    <row r="792" spans="1:17" hidden="1" x14ac:dyDescent="0.25">
      <c r="A792" s="7" t="s">
        <v>17</v>
      </c>
      <c r="B792" s="7" t="s">
        <v>18</v>
      </c>
      <c r="C792" s="7" t="s">
        <v>19</v>
      </c>
      <c r="D792" s="7" t="s">
        <v>20</v>
      </c>
      <c r="E792" s="7" t="s">
        <v>21</v>
      </c>
      <c r="F792" s="7" t="s">
        <v>75</v>
      </c>
      <c r="G792" s="7" t="s">
        <v>76</v>
      </c>
      <c r="H792" s="7" t="s">
        <v>143</v>
      </c>
      <c r="I792" s="7" t="s">
        <v>145</v>
      </c>
      <c r="J792" s="8"/>
      <c r="K792" s="8"/>
      <c r="L792" s="8"/>
      <c r="M792" s="8"/>
      <c r="N792" s="8"/>
      <c r="O792" s="8">
        <v>0</v>
      </c>
      <c r="P792" s="8"/>
      <c r="Q792" t="s">
        <v>26</v>
      </c>
    </row>
    <row r="793" spans="1:17" hidden="1" x14ac:dyDescent="0.25">
      <c r="A793" s="7" t="s">
        <v>17</v>
      </c>
      <c r="B793" s="7" t="s">
        <v>18</v>
      </c>
      <c r="C793" s="7" t="s">
        <v>19</v>
      </c>
      <c r="D793" s="7"/>
      <c r="E793" s="7"/>
      <c r="F793" s="7" t="s">
        <v>77</v>
      </c>
      <c r="G793" s="7" t="s">
        <v>78</v>
      </c>
      <c r="H793" s="7" t="s">
        <v>143</v>
      </c>
      <c r="I793" s="7" t="s">
        <v>145</v>
      </c>
      <c r="J793" s="8"/>
      <c r="K793" s="8"/>
      <c r="L793" s="8"/>
      <c r="M793" s="8"/>
      <c r="N793" s="8"/>
      <c r="O793" s="8">
        <v>2.821245653995081E-2</v>
      </c>
      <c r="P793" s="8"/>
      <c r="Q793" t="s">
        <v>26</v>
      </c>
    </row>
    <row r="794" spans="1:17" hidden="1" x14ac:dyDescent="0.25">
      <c r="A794" s="7" t="s">
        <v>17</v>
      </c>
      <c r="B794" s="7" t="s">
        <v>18</v>
      </c>
      <c r="C794" s="7" t="s">
        <v>19</v>
      </c>
      <c r="D794" s="7"/>
      <c r="E794" s="7"/>
      <c r="F794" s="7" t="s">
        <v>79</v>
      </c>
      <c r="G794" s="7" t="s">
        <v>80</v>
      </c>
      <c r="H794" s="7" t="s">
        <v>143</v>
      </c>
      <c r="I794" s="7" t="s">
        <v>145</v>
      </c>
      <c r="J794" s="8"/>
      <c r="K794" s="8"/>
      <c r="L794" s="8"/>
      <c r="M794" s="8"/>
      <c r="N794" s="8"/>
      <c r="O794" s="8">
        <v>0</v>
      </c>
      <c r="P794" s="8"/>
      <c r="Q794" t="s">
        <v>26</v>
      </c>
    </row>
    <row r="795" spans="1:17" hidden="1" x14ac:dyDescent="0.25">
      <c r="A795" s="7" t="s">
        <v>17</v>
      </c>
      <c r="B795" s="7" t="s">
        <v>18</v>
      </c>
      <c r="C795" s="7" t="s">
        <v>19</v>
      </c>
      <c r="D795" s="7"/>
      <c r="E795" s="7"/>
      <c r="F795" s="7" t="s">
        <v>81</v>
      </c>
      <c r="G795" s="7" t="s">
        <v>82</v>
      </c>
      <c r="H795" s="7" t="s">
        <v>143</v>
      </c>
      <c r="I795" s="7" t="s">
        <v>145</v>
      </c>
      <c r="J795" s="8"/>
      <c r="K795" s="8"/>
      <c r="L795" s="8"/>
      <c r="M795" s="8"/>
      <c r="N795" s="8"/>
      <c r="O795" s="8">
        <v>0.34777969842217504</v>
      </c>
      <c r="P795" s="8"/>
      <c r="Q795" t="s">
        <v>26</v>
      </c>
    </row>
    <row r="796" spans="1:17" hidden="1" x14ac:dyDescent="0.25">
      <c r="A796" s="7" t="s">
        <v>17</v>
      </c>
      <c r="B796" s="7" t="s">
        <v>18</v>
      </c>
      <c r="C796" s="7" t="s">
        <v>19</v>
      </c>
      <c r="D796" s="7"/>
      <c r="E796" s="7"/>
      <c r="F796" s="7" t="s">
        <v>83</v>
      </c>
      <c r="G796" s="7" t="s">
        <v>84</v>
      </c>
      <c r="H796" s="7" t="s">
        <v>143</v>
      </c>
      <c r="I796" s="7" t="s">
        <v>145</v>
      </c>
      <c r="J796" s="8"/>
      <c r="K796" s="8"/>
      <c r="L796" s="8"/>
      <c r="M796" s="8"/>
      <c r="N796" s="8"/>
      <c r="O796" s="8">
        <v>5.504511519685136E-2</v>
      </c>
      <c r="P796" s="8"/>
      <c r="Q796" t="s">
        <v>26</v>
      </c>
    </row>
    <row r="797" spans="1:17" hidden="1" x14ac:dyDescent="0.25">
      <c r="A797" s="7" t="s">
        <v>17</v>
      </c>
      <c r="B797" s="7" t="s">
        <v>18</v>
      </c>
      <c r="C797" s="7" t="s">
        <v>19</v>
      </c>
      <c r="D797" s="7" t="s">
        <v>20</v>
      </c>
      <c r="E797" s="7" t="s">
        <v>21</v>
      </c>
      <c r="F797" s="7" t="s">
        <v>85</v>
      </c>
      <c r="G797" s="7" t="s">
        <v>86</v>
      </c>
      <c r="H797" s="7" t="s">
        <v>143</v>
      </c>
      <c r="I797" s="7" t="s">
        <v>145</v>
      </c>
      <c r="J797" s="8"/>
      <c r="K797" s="8"/>
      <c r="L797" s="8"/>
      <c r="M797" s="8"/>
      <c r="N797" s="8"/>
      <c r="O797" s="8">
        <v>1.1138475119905771E-2</v>
      </c>
      <c r="P797" s="8"/>
      <c r="Q797" t="s">
        <v>26</v>
      </c>
    </row>
    <row r="798" spans="1:17" hidden="1" x14ac:dyDescent="0.25">
      <c r="A798" s="7" t="s">
        <v>17</v>
      </c>
      <c r="B798" s="7" t="s">
        <v>18</v>
      </c>
      <c r="C798" s="7" t="s">
        <v>19</v>
      </c>
      <c r="D798" s="7"/>
      <c r="E798" s="7"/>
      <c r="F798" s="7" t="s">
        <v>87</v>
      </c>
      <c r="G798" s="7" t="s">
        <v>88</v>
      </c>
      <c r="H798" s="7" t="s">
        <v>143</v>
      </c>
      <c r="I798" s="7" t="s">
        <v>145</v>
      </c>
      <c r="J798" s="8"/>
      <c r="K798" s="8"/>
      <c r="L798" s="8"/>
      <c r="M798" s="8"/>
      <c r="N798" s="8"/>
      <c r="O798" s="8">
        <v>2.6457356815727602E-3</v>
      </c>
      <c r="P798" s="8"/>
      <c r="Q798" t="s">
        <v>26</v>
      </c>
    </row>
    <row r="799" spans="1:17" hidden="1" x14ac:dyDescent="0.25">
      <c r="A799" s="7" t="s">
        <v>17</v>
      </c>
      <c r="B799" s="7" t="s">
        <v>18</v>
      </c>
      <c r="C799" s="7" t="s">
        <v>19</v>
      </c>
      <c r="D799" s="7"/>
      <c r="E799" s="7"/>
      <c r="F799" s="7" t="s">
        <v>89</v>
      </c>
      <c r="G799" s="7" t="s">
        <v>90</v>
      </c>
      <c r="H799" s="7" t="s">
        <v>143</v>
      </c>
      <c r="I799" s="7" t="s">
        <v>145</v>
      </c>
      <c r="J799" s="8"/>
      <c r="K799" s="8"/>
      <c r="L799" s="8"/>
      <c r="M799" s="8"/>
      <c r="N799" s="8"/>
      <c r="O799" s="8">
        <v>0.97807952193725711</v>
      </c>
      <c r="P799" s="8"/>
      <c r="Q799" t="s">
        <v>26</v>
      </c>
    </row>
    <row r="800" spans="1:17" hidden="1" x14ac:dyDescent="0.25">
      <c r="A800" s="7" t="s">
        <v>17</v>
      </c>
      <c r="B800" s="7" t="s">
        <v>18</v>
      </c>
      <c r="C800" s="7" t="s">
        <v>19</v>
      </c>
      <c r="D800" s="7"/>
      <c r="E800" s="7"/>
      <c r="F800" s="7" t="s">
        <v>91</v>
      </c>
      <c r="G800" s="7" t="s">
        <v>92</v>
      </c>
      <c r="H800" s="7" t="s">
        <v>143</v>
      </c>
      <c r="I800" s="7" t="s">
        <v>145</v>
      </c>
      <c r="J800" s="8"/>
      <c r="K800" s="8"/>
      <c r="L800" s="8"/>
      <c r="M800" s="8"/>
      <c r="N800" s="8"/>
      <c r="O800" s="8">
        <v>1.5574317747882294E-3</v>
      </c>
      <c r="P800" s="8"/>
      <c r="Q800" t="s">
        <v>26</v>
      </c>
    </row>
    <row r="801" spans="1:17" hidden="1" x14ac:dyDescent="0.25">
      <c r="A801" s="7" t="s">
        <v>17</v>
      </c>
      <c r="B801" s="7" t="s">
        <v>18</v>
      </c>
      <c r="C801" s="7" t="s">
        <v>19</v>
      </c>
      <c r="D801" s="7"/>
      <c r="E801" s="7"/>
      <c r="F801" s="7" t="s">
        <v>93</v>
      </c>
      <c r="G801" s="7" t="s">
        <v>94</v>
      </c>
      <c r="H801" s="7" t="s">
        <v>143</v>
      </c>
      <c r="I801" s="7" t="s">
        <v>145</v>
      </c>
      <c r="J801" s="8"/>
      <c r="K801" s="8"/>
      <c r="L801" s="8"/>
      <c r="M801" s="8"/>
      <c r="N801" s="8"/>
      <c r="O801" s="8">
        <v>1.7416854187895389E-2</v>
      </c>
      <c r="P801" s="8"/>
      <c r="Q801" t="s">
        <v>26</v>
      </c>
    </row>
    <row r="802" spans="1:17" hidden="1" x14ac:dyDescent="0.25">
      <c r="A802" s="7" t="s">
        <v>17</v>
      </c>
      <c r="B802" s="7" t="s">
        <v>18</v>
      </c>
      <c r="C802" s="7" t="s">
        <v>19</v>
      </c>
      <c r="D802" s="7"/>
      <c r="E802" s="7"/>
      <c r="F802" s="7" t="s">
        <v>95</v>
      </c>
      <c r="G802" s="7" t="s">
        <v>96</v>
      </c>
      <c r="H802" s="7" t="s">
        <v>143</v>
      </c>
      <c r="I802" s="7" t="s">
        <v>145</v>
      </c>
      <c r="J802" s="8"/>
      <c r="K802" s="8"/>
      <c r="L802" s="8"/>
      <c r="M802" s="8"/>
      <c r="N802" s="8"/>
      <c r="O802" s="8">
        <v>0.49755080213230513</v>
      </c>
      <c r="P802" s="8"/>
      <c r="Q802" t="s">
        <v>26</v>
      </c>
    </row>
    <row r="803" spans="1:17" hidden="1" x14ac:dyDescent="0.25">
      <c r="A803" s="7" t="s">
        <v>17</v>
      </c>
      <c r="B803" s="7" t="s">
        <v>18</v>
      </c>
      <c r="C803" s="7" t="s">
        <v>19</v>
      </c>
      <c r="D803" s="7"/>
      <c r="E803" s="7"/>
      <c r="F803" s="7" t="s">
        <v>97</v>
      </c>
      <c r="G803" s="7" t="s">
        <v>98</v>
      </c>
      <c r="H803" s="7" t="s">
        <v>143</v>
      </c>
      <c r="I803" s="7" t="s">
        <v>145</v>
      </c>
      <c r="J803" s="8"/>
      <c r="K803" s="8"/>
      <c r="L803" s="8"/>
      <c r="M803" s="8"/>
      <c r="N803" s="8"/>
      <c r="O803" s="8">
        <v>4.3667916421141215E-3</v>
      </c>
      <c r="P803" s="8"/>
      <c r="Q803" t="s">
        <v>26</v>
      </c>
    </row>
    <row r="804" spans="1:17" hidden="1" x14ac:dyDescent="0.25">
      <c r="A804" s="7" t="s">
        <v>17</v>
      </c>
      <c r="B804" s="7" t="s">
        <v>18</v>
      </c>
      <c r="C804" s="7" t="s">
        <v>19</v>
      </c>
      <c r="D804" s="7"/>
      <c r="E804" s="7"/>
      <c r="F804" s="7" t="s">
        <v>99</v>
      </c>
      <c r="G804" s="7" t="s">
        <v>100</v>
      </c>
      <c r="H804" s="7" t="s">
        <v>143</v>
      </c>
      <c r="I804" s="7" t="s">
        <v>145</v>
      </c>
      <c r="J804" s="8"/>
      <c r="K804" s="8"/>
      <c r="L804" s="8"/>
      <c r="M804" s="8"/>
      <c r="N804" s="8"/>
      <c r="O804" s="8">
        <v>1.5661904021023241</v>
      </c>
      <c r="P804" s="8"/>
      <c r="Q804" t="s">
        <v>26</v>
      </c>
    </row>
    <row r="805" spans="1:17" hidden="1" x14ac:dyDescent="0.25">
      <c r="A805" s="7" t="s">
        <v>17</v>
      </c>
      <c r="B805" s="7" t="s">
        <v>18</v>
      </c>
      <c r="C805" s="7" t="s">
        <v>19</v>
      </c>
      <c r="D805" s="7" t="s">
        <v>20</v>
      </c>
      <c r="E805" s="7" t="s">
        <v>21</v>
      </c>
      <c r="F805" s="7" t="s">
        <v>101</v>
      </c>
      <c r="G805" s="7" t="s">
        <v>21</v>
      </c>
      <c r="H805" s="7" t="s">
        <v>143</v>
      </c>
      <c r="I805" s="7" t="s">
        <v>145</v>
      </c>
      <c r="J805" s="8"/>
      <c r="K805" s="8"/>
      <c r="L805" s="8"/>
      <c r="M805" s="8"/>
      <c r="N805" s="8"/>
      <c r="O805" s="8">
        <v>0</v>
      </c>
      <c r="P805" s="8"/>
      <c r="Q805" t="s">
        <v>26</v>
      </c>
    </row>
    <row r="806" spans="1:17" hidden="1" x14ac:dyDescent="0.25">
      <c r="A806" s="7" t="s">
        <v>17</v>
      </c>
      <c r="B806" s="7" t="s">
        <v>18</v>
      </c>
      <c r="C806" s="7" t="s">
        <v>19</v>
      </c>
      <c r="D806" s="7"/>
      <c r="E806" s="7"/>
      <c r="F806" s="7" t="s">
        <v>102</v>
      </c>
      <c r="G806" s="7" t="s">
        <v>103</v>
      </c>
      <c r="H806" s="7" t="s">
        <v>143</v>
      </c>
      <c r="I806" s="7" t="s">
        <v>145</v>
      </c>
      <c r="J806" s="8"/>
      <c r="K806" s="8"/>
      <c r="L806" s="8"/>
      <c r="M806" s="8"/>
      <c r="N806" s="8"/>
      <c r="O806" s="8">
        <v>1.5538896330505615E-4</v>
      </c>
      <c r="P806" s="8"/>
      <c r="Q806" t="s">
        <v>26</v>
      </c>
    </row>
    <row r="807" spans="1:17" hidden="1" x14ac:dyDescent="0.25">
      <c r="A807" s="7" t="s">
        <v>17</v>
      </c>
      <c r="B807" s="7" t="s">
        <v>18</v>
      </c>
      <c r="C807" s="7" t="s">
        <v>19</v>
      </c>
      <c r="D807" s="7" t="s">
        <v>20</v>
      </c>
      <c r="E807" s="7" t="s">
        <v>21</v>
      </c>
      <c r="F807" s="7" t="s">
        <v>104</v>
      </c>
      <c r="G807" s="7" t="s">
        <v>105</v>
      </c>
      <c r="H807" s="7" t="s">
        <v>143</v>
      </c>
      <c r="I807" s="7" t="s">
        <v>145</v>
      </c>
      <c r="J807" s="8"/>
      <c r="K807" s="8"/>
      <c r="L807" s="8"/>
      <c r="M807" s="8"/>
      <c r="N807" s="8"/>
      <c r="O807" s="8">
        <v>0.36692826091641578</v>
      </c>
      <c r="P807" s="8"/>
      <c r="Q807" t="s">
        <v>26</v>
      </c>
    </row>
    <row r="808" spans="1:17" hidden="1" x14ac:dyDescent="0.25">
      <c r="A808" s="7" t="s">
        <v>17</v>
      </c>
      <c r="B808" s="7" t="s">
        <v>18</v>
      </c>
      <c r="C808" s="7" t="s">
        <v>19</v>
      </c>
      <c r="D808" s="7"/>
      <c r="E808" s="7"/>
      <c r="F808" s="7" t="s">
        <v>106</v>
      </c>
      <c r="G808" s="7" t="s">
        <v>107</v>
      </c>
      <c r="H808" s="7" t="s">
        <v>143</v>
      </c>
      <c r="I808" s="7" t="s">
        <v>145</v>
      </c>
      <c r="J808" s="8"/>
      <c r="K808" s="8"/>
      <c r="L808" s="8"/>
      <c r="M808" s="8"/>
      <c r="N808" s="8"/>
      <c r="O808" s="8">
        <v>0.19938420425543946</v>
      </c>
      <c r="P808" s="8"/>
      <c r="Q808" t="s">
        <v>26</v>
      </c>
    </row>
    <row r="809" spans="1:17" hidden="1" x14ac:dyDescent="0.25">
      <c r="A809" s="7" t="s">
        <v>17</v>
      </c>
      <c r="B809" s="7" t="s">
        <v>18</v>
      </c>
      <c r="C809" s="7" t="s">
        <v>19</v>
      </c>
      <c r="D809" s="7"/>
      <c r="E809" s="7"/>
      <c r="F809" s="7" t="s">
        <v>108</v>
      </c>
      <c r="G809" s="7" t="s">
        <v>109</v>
      </c>
      <c r="H809" s="7" t="s">
        <v>143</v>
      </c>
      <c r="I809" s="7" t="s">
        <v>145</v>
      </c>
      <c r="J809" s="8"/>
      <c r="K809" s="8"/>
      <c r="L809" s="8"/>
      <c r="M809" s="8"/>
      <c r="N809" s="8"/>
      <c r="O809" s="8">
        <v>7.2427792961604551E-2</v>
      </c>
      <c r="P809" s="8"/>
      <c r="Q809" t="s">
        <v>26</v>
      </c>
    </row>
    <row r="810" spans="1:17" hidden="1" x14ac:dyDescent="0.25">
      <c r="A810" s="7" t="s">
        <v>17</v>
      </c>
      <c r="B810" s="7" t="s">
        <v>18</v>
      </c>
      <c r="C810" s="7" t="s">
        <v>19</v>
      </c>
      <c r="D810" s="7"/>
      <c r="E810" s="7"/>
      <c r="F810" s="7" t="s">
        <v>110</v>
      </c>
      <c r="G810" s="7" t="s">
        <v>111</v>
      </c>
      <c r="H810" s="7" t="s">
        <v>143</v>
      </c>
      <c r="I810" s="7" t="s">
        <v>145</v>
      </c>
      <c r="J810" s="8"/>
      <c r="K810" s="8"/>
      <c r="L810" s="8"/>
      <c r="M810" s="8"/>
      <c r="N810" s="8"/>
      <c r="O810" s="8">
        <v>1.9476059966101345E-2</v>
      </c>
      <c r="P810" s="8"/>
      <c r="Q810" t="s">
        <v>26</v>
      </c>
    </row>
    <row r="811" spans="1:17" hidden="1" x14ac:dyDescent="0.25">
      <c r="A811" s="7" t="s">
        <v>17</v>
      </c>
      <c r="B811" s="7" t="s">
        <v>18</v>
      </c>
      <c r="C811" s="7" t="s">
        <v>19</v>
      </c>
      <c r="D811" s="7" t="s">
        <v>20</v>
      </c>
      <c r="E811" s="7" t="s">
        <v>21</v>
      </c>
      <c r="F811" s="7" t="s">
        <v>112</v>
      </c>
      <c r="G811" s="7" t="s">
        <v>113</v>
      </c>
      <c r="H811" s="7" t="s">
        <v>143</v>
      </c>
      <c r="I811" s="7" t="s">
        <v>145</v>
      </c>
      <c r="J811" s="8"/>
      <c r="K811" s="8"/>
      <c r="L811" s="8"/>
      <c r="M811" s="8"/>
      <c r="N811" s="8"/>
      <c r="O811" s="8">
        <v>7.492957712654705E-3</v>
      </c>
      <c r="P811" s="8"/>
      <c r="Q811" t="s">
        <v>26</v>
      </c>
    </row>
    <row r="812" spans="1:17" hidden="1" x14ac:dyDescent="0.25">
      <c r="A812" s="7" t="s">
        <v>17</v>
      </c>
      <c r="B812" s="7" t="s">
        <v>18</v>
      </c>
      <c r="C812" s="7" t="s">
        <v>19</v>
      </c>
      <c r="D812" s="7" t="s">
        <v>20</v>
      </c>
      <c r="E812" s="7" t="s">
        <v>21</v>
      </c>
      <c r="F812" s="7" t="s">
        <v>114</v>
      </c>
      <c r="G812" s="7" t="s">
        <v>115</v>
      </c>
      <c r="H812" s="7" t="s">
        <v>143</v>
      </c>
      <c r="I812" s="7" t="s">
        <v>145</v>
      </c>
      <c r="J812" s="8"/>
      <c r="K812" s="8"/>
      <c r="L812" s="8"/>
      <c r="M812" s="8"/>
      <c r="N812" s="8"/>
      <c r="O812" s="8">
        <v>0</v>
      </c>
      <c r="P812" s="8"/>
      <c r="Q812" t="s">
        <v>26</v>
      </c>
    </row>
    <row r="813" spans="1:17" hidden="1" x14ac:dyDescent="0.25">
      <c r="A813" s="7" t="s">
        <v>17</v>
      </c>
      <c r="B813" s="7" t="s">
        <v>18</v>
      </c>
      <c r="C813" s="7" t="s">
        <v>19</v>
      </c>
      <c r="D813" s="7" t="s">
        <v>20</v>
      </c>
      <c r="E813" s="7" t="s">
        <v>21</v>
      </c>
      <c r="F813" s="7" t="s">
        <v>116</v>
      </c>
      <c r="G813" s="7" t="s">
        <v>117</v>
      </c>
      <c r="H813" s="7" t="s">
        <v>143</v>
      </c>
      <c r="I813" s="7" t="s">
        <v>145</v>
      </c>
      <c r="J813" s="8"/>
      <c r="K813" s="8"/>
      <c r="L813" s="8"/>
      <c r="M813" s="8"/>
      <c r="N813" s="8"/>
      <c r="O813" s="8">
        <v>2.7797257022886472E-3</v>
      </c>
      <c r="P813" s="8"/>
      <c r="Q813" t="s">
        <v>26</v>
      </c>
    </row>
    <row r="814" spans="1:17" hidden="1" x14ac:dyDescent="0.25">
      <c r="A814" s="7" t="s">
        <v>17</v>
      </c>
      <c r="B814" s="7" t="s">
        <v>18</v>
      </c>
      <c r="C814" s="7" t="s">
        <v>19</v>
      </c>
      <c r="D814" s="7" t="s">
        <v>20</v>
      </c>
      <c r="E814" s="7" t="s">
        <v>21</v>
      </c>
      <c r="F814" s="7" t="s">
        <v>118</v>
      </c>
      <c r="G814" s="7" t="s">
        <v>119</v>
      </c>
      <c r="H814" s="7" t="s">
        <v>143</v>
      </c>
      <c r="I814" s="7" t="s">
        <v>145</v>
      </c>
      <c r="J814" s="8"/>
      <c r="K814" s="8"/>
      <c r="L814" s="8"/>
      <c r="M814" s="8"/>
      <c r="N814" s="8"/>
      <c r="O814" s="8">
        <v>3.567190410904629E-2</v>
      </c>
      <c r="P814" s="8"/>
      <c r="Q814" t="s">
        <v>26</v>
      </c>
    </row>
    <row r="815" spans="1:17" hidden="1" x14ac:dyDescent="0.25">
      <c r="A815" s="7" t="s">
        <v>17</v>
      </c>
      <c r="B815" s="7" t="s">
        <v>18</v>
      </c>
      <c r="C815" s="7" t="s">
        <v>19</v>
      </c>
      <c r="D815" s="7" t="s">
        <v>20</v>
      </c>
      <c r="E815" s="7" t="s">
        <v>21</v>
      </c>
      <c r="F815" s="7" t="s">
        <v>120</v>
      </c>
      <c r="G815" s="7" t="s">
        <v>121</v>
      </c>
      <c r="H815" s="7" t="s">
        <v>143</v>
      </c>
      <c r="I815" s="7" t="s">
        <v>145</v>
      </c>
      <c r="J815" s="8"/>
      <c r="K815" s="8"/>
      <c r="L815" s="8"/>
      <c r="M815" s="8"/>
      <c r="N815" s="8"/>
      <c r="O815" s="8">
        <v>0.2473777430463279</v>
      </c>
      <c r="P815" s="8"/>
      <c r="Q815" t="s">
        <v>26</v>
      </c>
    </row>
    <row r="816" spans="1:17" hidden="1" x14ac:dyDescent="0.25">
      <c r="A816" s="7" t="s">
        <v>17</v>
      </c>
      <c r="B816" s="7" t="s">
        <v>18</v>
      </c>
      <c r="C816" s="7" t="s">
        <v>19</v>
      </c>
      <c r="D816" s="7"/>
      <c r="E816" s="7"/>
      <c r="F816" s="7" t="s">
        <v>122</v>
      </c>
      <c r="G816" s="7" t="s">
        <v>123</v>
      </c>
      <c r="H816" s="7" t="s">
        <v>143</v>
      </c>
      <c r="I816" s="7" t="s">
        <v>145</v>
      </c>
      <c r="J816" s="8"/>
      <c r="K816" s="8"/>
      <c r="L816" s="8"/>
      <c r="M816" s="8"/>
      <c r="N816" s="8"/>
      <c r="O816" s="8">
        <v>8.8071292707677749E-3</v>
      </c>
      <c r="P816" s="8"/>
      <c r="Q816" t="s">
        <v>26</v>
      </c>
    </row>
    <row r="817" spans="1:17" hidden="1" x14ac:dyDescent="0.25">
      <c r="A817" s="7" t="s">
        <v>17</v>
      </c>
      <c r="B817" s="7" t="s">
        <v>18</v>
      </c>
      <c r="C817" s="7" t="s">
        <v>19</v>
      </c>
      <c r="D817" s="7"/>
      <c r="E817" s="7"/>
      <c r="F817" s="7" t="s">
        <v>124</v>
      </c>
      <c r="G817" s="7" t="s">
        <v>125</v>
      </c>
      <c r="H817" s="7" t="s">
        <v>143</v>
      </c>
      <c r="I817" s="7" t="s">
        <v>145</v>
      </c>
      <c r="J817" s="8"/>
      <c r="K817" s="8"/>
      <c r="L817" s="8"/>
      <c r="M817" s="8"/>
      <c r="N817" s="8"/>
      <c r="O817" s="8">
        <v>1.6522969287580361E-2</v>
      </c>
      <c r="P817" s="8"/>
      <c r="Q817" t="s">
        <v>26</v>
      </c>
    </row>
    <row r="818" spans="1:17" hidden="1" x14ac:dyDescent="0.25">
      <c r="A818" s="7" t="s">
        <v>17</v>
      </c>
      <c r="B818" s="7" t="s">
        <v>18</v>
      </c>
      <c r="C818" s="7" t="s">
        <v>19</v>
      </c>
      <c r="D818" s="7" t="s">
        <v>20</v>
      </c>
      <c r="E818" s="7" t="s">
        <v>21</v>
      </c>
      <c r="F818" s="7" t="s">
        <v>22</v>
      </c>
      <c r="G818" s="7" t="s">
        <v>23</v>
      </c>
      <c r="H818" s="7" t="s">
        <v>143</v>
      </c>
      <c r="I818" s="7" t="s">
        <v>146</v>
      </c>
      <c r="J818" s="8"/>
      <c r="K818" s="8"/>
      <c r="L818" s="8"/>
      <c r="M818" s="8"/>
      <c r="N818" s="8"/>
      <c r="O818" s="8"/>
      <c r="P818" s="8">
        <v>0.19979999999999998</v>
      </c>
      <c r="Q818" t="s">
        <v>26</v>
      </c>
    </row>
    <row r="819" spans="1:17" hidden="1" x14ac:dyDescent="0.25">
      <c r="A819" s="7" t="s">
        <v>17</v>
      </c>
      <c r="B819" s="7" t="s">
        <v>18</v>
      </c>
      <c r="C819" s="7" t="s">
        <v>19</v>
      </c>
      <c r="D819" s="7"/>
      <c r="E819" s="7"/>
      <c r="F819" s="7" t="s">
        <v>27</v>
      </c>
      <c r="G819" s="7" t="s">
        <v>28</v>
      </c>
      <c r="H819" s="7" t="s">
        <v>143</v>
      </c>
      <c r="I819" s="7" t="s">
        <v>146</v>
      </c>
      <c r="J819" s="8"/>
      <c r="K819" s="8"/>
      <c r="L819" s="8"/>
      <c r="M819" s="8"/>
      <c r="N819" s="8"/>
      <c r="O819" s="8"/>
      <c r="P819" s="8">
        <v>164.99844999999999</v>
      </c>
      <c r="Q819" t="s">
        <v>26</v>
      </c>
    </row>
    <row r="820" spans="1:17" hidden="1" x14ac:dyDescent="0.25">
      <c r="A820" s="7" t="s">
        <v>17</v>
      </c>
      <c r="B820" s="7" t="s">
        <v>18</v>
      </c>
      <c r="C820" s="7" t="s">
        <v>19</v>
      </c>
      <c r="D820" s="7"/>
      <c r="E820" s="7"/>
      <c r="F820" s="7" t="s">
        <v>29</v>
      </c>
      <c r="G820" s="7" t="s">
        <v>30</v>
      </c>
      <c r="H820" s="7" t="s">
        <v>143</v>
      </c>
      <c r="I820" s="7" t="s">
        <v>146</v>
      </c>
      <c r="J820" s="8"/>
      <c r="K820" s="8"/>
      <c r="L820" s="8"/>
      <c r="M820" s="8"/>
      <c r="N820" s="8"/>
      <c r="O820" s="8"/>
      <c r="P820" s="8">
        <v>15.94477</v>
      </c>
      <c r="Q820" t="s">
        <v>26</v>
      </c>
    </row>
    <row r="821" spans="1:17" hidden="1" x14ac:dyDescent="0.25">
      <c r="A821" s="7" t="s">
        <v>17</v>
      </c>
      <c r="B821" s="7" t="s">
        <v>18</v>
      </c>
      <c r="C821" s="7" t="s">
        <v>19</v>
      </c>
      <c r="D821" s="7"/>
      <c r="E821" s="7"/>
      <c r="F821" s="7" t="s">
        <v>31</v>
      </c>
      <c r="G821" s="7" t="s">
        <v>32</v>
      </c>
      <c r="H821" s="7" t="s">
        <v>143</v>
      </c>
      <c r="I821" s="7" t="s">
        <v>146</v>
      </c>
      <c r="J821" s="8"/>
      <c r="K821" s="8"/>
      <c r="L821" s="8"/>
      <c r="M821" s="8"/>
      <c r="N821" s="8"/>
      <c r="O821" s="8"/>
      <c r="P821" s="8">
        <v>260.71025999999995</v>
      </c>
      <c r="Q821" t="s">
        <v>26</v>
      </c>
    </row>
    <row r="822" spans="1:17" hidden="1" x14ac:dyDescent="0.25">
      <c r="A822" s="7" t="s">
        <v>17</v>
      </c>
      <c r="B822" s="7" t="s">
        <v>18</v>
      </c>
      <c r="C822" s="7" t="s">
        <v>19</v>
      </c>
      <c r="D822" s="7"/>
      <c r="E822" s="7"/>
      <c r="F822" s="7" t="s">
        <v>33</v>
      </c>
      <c r="G822" s="7" t="s">
        <v>34</v>
      </c>
      <c r="H822" s="7" t="s">
        <v>143</v>
      </c>
      <c r="I822" s="7" t="s">
        <v>146</v>
      </c>
      <c r="J822" s="8"/>
      <c r="K822" s="8"/>
      <c r="L822" s="8"/>
      <c r="M822" s="8"/>
      <c r="N822" s="8"/>
      <c r="O822" s="8"/>
      <c r="P822" s="8">
        <v>132.51090000000002</v>
      </c>
      <c r="Q822" t="s">
        <v>26</v>
      </c>
    </row>
    <row r="823" spans="1:17" hidden="1" x14ac:dyDescent="0.25">
      <c r="A823" s="7" t="s">
        <v>17</v>
      </c>
      <c r="B823" s="7" t="s">
        <v>18</v>
      </c>
      <c r="C823" s="7" t="s">
        <v>19</v>
      </c>
      <c r="D823" s="7" t="s">
        <v>20</v>
      </c>
      <c r="E823" s="7" t="s">
        <v>21</v>
      </c>
      <c r="F823" s="7" t="s">
        <v>35</v>
      </c>
      <c r="G823" s="7" t="s">
        <v>36</v>
      </c>
      <c r="H823" s="7" t="s">
        <v>143</v>
      </c>
      <c r="I823" s="7" t="s">
        <v>146</v>
      </c>
      <c r="J823" s="8"/>
      <c r="K823" s="8"/>
      <c r="L823" s="8"/>
      <c r="M823" s="8"/>
      <c r="N823" s="8"/>
      <c r="O823" s="8"/>
      <c r="P823" s="8">
        <v>143.22319000000002</v>
      </c>
      <c r="Q823" t="s">
        <v>26</v>
      </c>
    </row>
    <row r="824" spans="1:17" hidden="1" x14ac:dyDescent="0.25">
      <c r="A824" s="7" t="s">
        <v>17</v>
      </c>
      <c r="B824" s="7" t="s">
        <v>18</v>
      </c>
      <c r="C824" s="7" t="s">
        <v>19</v>
      </c>
      <c r="D824" s="7"/>
      <c r="E824" s="7"/>
      <c r="F824" s="7" t="s">
        <v>37</v>
      </c>
      <c r="G824" s="7" t="s">
        <v>38</v>
      </c>
      <c r="H824" s="7" t="s">
        <v>143</v>
      </c>
      <c r="I824" s="7" t="s">
        <v>146</v>
      </c>
      <c r="J824" s="8"/>
      <c r="K824" s="8"/>
      <c r="L824" s="8"/>
      <c r="M824" s="8"/>
      <c r="N824" s="8"/>
      <c r="O824" s="8"/>
      <c r="P824" s="8">
        <v>231.84934000000001</v>
      </c>
      <c r="Q824" t="s">
        <v>26</v>
      </c>
    </row>
    <row r="825" spans="1:17" hidden="1" x14ac:dyDescent="0.25">
      <c r="A825" s="7" t="s">
        <v>17</v>
      </c>
      <c r="B825" s="7" t="s">
        <v>18</v>
      </c>
      <c r="C825" s="7" t="s">
        <v>19</v>
      </c>
      <c r="D825" s="7"/>
      <c r="E825" s="7"/>
      <c r="F825" s="7" t="s">
        <v>39</v>
      </c>
      <c r="G825" s="7" t="s">
        <v>40</v>
      </c>
      <c r="H825" s="7" t="s">
        <v>143</v>
      </c>
      <c r="I825" s="7" t="s">
        <v>146</v>
      </c>
      <c r="J825" s="8"/>
      <c r="K825" s="8"/>
      <c r="L825" s="8"/>
      <c r="M825" s="8"/>
      <c r="N825" s="8"/>
      <c r="O825" s="8"/>
      <c r="P825" s="8">
        <v>34.876300000000001</v>
      </c>
      <c r="Q825" t="s">
        <v>26</v>
      </c>
    </row>
    <row r="826" spans="1:17" hidden="1" x14ac:dyDescent="0.25">
      <c r="A826" s="7" t="s">
        <v>17</v>
      </c>
      <c r="B826" s="7" t="s">
        <v>18</v>
      </c>
      <c r="C826" s="7" t="s">
        <v>19</v>
      </c>
      <c r="D826" s="7" t="s">
        <v>20</v>
      </c>
      <c r="E826" s="7" t="s">
        <v>21</v>
      </c>
      <c r="F826" s="7" t="s">
        <v>41</v>
      </c>
      <c r="G826" s="7" t="s">
        <v>42</v>
      </c>
      <c r="H826" s="7" t="s">
        <v>143</v>
      </c>
      <c r="I826" s="7" t="s">
        <v>146</v>
      </c>
      <c r="J826" s="8"/>
      <c r="K826" s="8"/>
      <c r="L826" s="8"/>
      <c r="M826" s="8"/>
      <c r="N826" s="8"/>
      <c r="O826" s="8"/>
      <c r="P826" s="8">
        <v>473.34028000000012</v>
      </c>
      <c r="Q826" t="s">
        <v>26</v>
      </c>
    </row>
    <row r="827" spans="1:17" hidden="1" x14ac:dyDescent="0.25">
      <c r="A827" s="7" t="s">
        <v>17</v>
      </c>
      <c r="B827" s="7" t="s">
        <v>18</v>
      </c>
      <c r="C827" s="7" t="s">
        <v>19</v>
      </c>
      <c r="D827" s="7" t="s">
        <v>20</v>
      </c>
      <c r="E827" s="7" t="s">
        <v>21</v>
      </c>
      <c r="F827" s="7" t="s">
        <v>43</v>
      </c>
      <c r="G827" s="7" t="s">
        <v>44</v>
      </c>
      <c r="H827" s="7" t="s">
        <v>143</v>
      </c>
      <c r="I827" s="7" t="s">
        <v>146</v>
      </c>
      <c r="J827" s="8"/>
      <c r="K827" s="8"/>
      <c r="L827" s="8"/>
      <c r="M827" s="8"/>
      <c r="N827" s="8"/>
      <c r="O827" s="8"/>
      <c r="P827" s="8">
        <v>28.06512</v>
      </c>
      <c r="Q827" t="s">
        <v>26</v>
      </c>
    </row>
    <row r="828" spans="1:17" hidden="1" x14ac:dyDescent="0.25">
      <c r="A828" s="7" t="s">
        <v>17</v>
      </c>
      <c r="B828" s="7" t="s">
        <v>18</v>
      </c>
      <c r="C828" s="7" t="s">
        <v>19</v>
      </c>
      <c r="D828" s="7"/>
      <c r="E828" s="7"/>
      <c r="F828" s="7" t="s">
        <v>45</v>
      </c>
      <c r="G828" s="7" t="s">
        <v>46</v>
      </c>
      <c r="H828" s="7" t="s">
        <v>143</v>
      </c>
      <c r="I828" s="7" t="s">
        <v>146</v>
      </c>
      <c r="J828" s="8"/>
      <c r="K828" s="8"/>
      <c r="L828" s="8"/>
      <c r="M828" s="8"/>
      <c r="N828" s="8"/>
      <c r="O828" s="8"/>
      <c r="P828" s="8">
        <v>785.08717000000001</v>
      </c>
      <c r="Q828" t="s">
        <v>26</v>
      </c>
    </row>
    <row r="829" spans="1:17" hidden="1" x14ac:dyDescent="0.25">
      <c r="A829" s="7" t="s">
        <v>17</v>
      </c>
      <c r="B829" s="7" t="s">
        <v>18</v>
      </c>
      <c r="C829" s="7" t="s">
        <v>19</v>
      </c>
      <c r="D829" s="7" t="s">
        <v>20</v>
      </c>
      <c r="E829" s="7" t="s">
        <v>21</v>
      </c>
      <c r="F829" s="7" t="s">
        <v>47</v>
      </c>
      <c r="G829" s="7" t="s">
        <v>48</v>
      </c>
      <c r="H829" s="7" t="s">
        <v>143</v>
      </c>
      <c r="I829" s="7" t="s">
        <v>146</v>
      </c>
      <c r="J829" s="8"/>
      <c r="K829" s="8"/>
      <c r="L829" s="8"/>
      <c r="M829" s="8"/>
      <c r="N829" s="8"/>
      <c r="O829" s="8"/>
      <c r="P829" s="8">
        <v>13.797889999999999</v>
      </c>
      <c r="Q829" t="s">
        <v>26</v>
      </c>
    </row>
    <row r="830" spans="1:17" hidden="1" x14ac:dyDescent="0.25">
      <c r="A830" s="7" t="s">
        <v>17</v>
      </c>
      <c r="B830" s="7" t="s">
        <v>18</v>
      </c>
      <c r="C830" s="7" t="s">
        <v>19</v>
      </c>
      <c r="D830" s="7"/>
      <c r="E830" s="7"/>
      <c r="F830" s="7" t="s">
        <v>49</v>
      </c>
      <c r="G830" s="7" t="s">
        <v>50</v>
      </c>
      <c r="H830" s="7" t="s">
        <v>143</v>
      </c>
      <c r="I830" s="7" t="s">
        <v>146</v>
      </c>
      <c r="J830" s="8"/>
      <c r="K830" s="8"/>
      <c r="L830" s="8"/>
      <c r="M830" s="8"/>
      <c r="N830" s="8"/>
      <c r="O830" s="8"/>
      <c r="P830" s="8">
        <v>122.66754</v>
      </c>
      <c r="Q830" t="s">
        <v>26</v>
      </c>
    </row>
    <row r="831" spans="1:17" hidden="1" x14ac:dyDescent="0.25">
      <c r="A831" s="7" t="s">
        <v>17</v>
      </c>
      <c r="B831" s="7" t="s">
        <v>18</v>
      </c>
      <c r="C831" s="7" t="s">
        <v>19</v>
      </c>
      <c r="D831" s="7"/>
      <c r="E831" s="7"/>
      <c r="F831" s="7" t="s">
        <v>51</v>
      </c>
      <c r="G831" s="7" t="s">
        <v>52</v>
      </c>
      <c r="H831" s="7" t="s">
        <v>143</v>
      </c>
      <c r="I831" s="7" t="s">
        <v>146</v>
      </c>
      <c r="J831" s="8"/>
      <c r="K831" s="8"/>
      <c r="L831" s="8"/>
      <c r="M831" s="8"/>
      <c r="N831" s="8"/>
      <c r="O831" s="8"/>
      <c r="P831" s="8">
        <v>531.22686999999985</v>
      </c>
      <c r="Q831" t="s">
        <v>26</v>
      </c>
    </row>
    <row r="832" spans="1:17" hidden="1" x14ac:dyDescent="0.25">
      <c r="A832" s="7" t="s">
        <v>17</v>
      </c>
      <c r="B832" s="7" t="s">
        <v>18</v>
      </c>
      <c r="C832" s="7" t="s">
        <v>19</v>
      </c>
      <c r="D832" s="7"/>
      <c r="E832" s="7"/>
      <c r="F832" s="7" t="s">
        <v>53</v>
      </c>
      <c r="G832" s="7" t="s">
        <v>54</v>
      </c>
      <c r="H832" s="7" t="s">
        <v>143</v>
      </c>
      <c r="I832" s="7" t="s">
        <v>146</v>
      </c>
      <c r="J832" s="8"/>
      <c r="K832" s="8"/>
      <c r="L832" s="8"/>
      <c r="M832" s="8"/>
      <c r="N832" s="8"/>
      <c r="O832" s="8"/>
      <c r="P832" s="8">
        <v>22.631549999999997</v>
      </c>
      <c r="Q832" t="s">
        <v>26</v>
      </c>
    </row>
    <row r="833" spans="1:17" hidden="1" x14ac:dyDescent="0.25">
      <c r="A833" s="7" t="s">
        <v>17</v>
      </c>
      <c r="B833" s="7" t="s">
        <v>18</v>
      </c>
      <c r="C833" s="7" t="s">
        <v>19</v>
      </c>
      <c r="D833" s="7"/>
      <c r="E833" s="7"/>
      <c r="F833" s="7" t="s">
        <v>55</v>
      </c>
      <c r="G833" s="7" t="s">
        <v>56</v>
      </c>
      <c r="H833" s="7" t="s">
        <v>143</v>
      </c>
      <c r="I833" s="7" t="s">
        <v>146</v>
      </c>
      <c r="J833" s="8"/>
      <c r="K833" s="8"/>
      <c r="L833" s="8"/>
      <c r="M833" s="8"/>
      <c r="N833" s="8"/>
      <c r="O833" s="8"/>
      <c r="P833" s="8">
        <v>882.37597999999991</v>
      </c>
      <c r="Q833" t="s">
        <v>26</v>
      </c>
    </row>
    <row r="834" spans="1:17" hidden="1" x14ac:dyDescent="0.25">
      <c r="A834" s="7" t="s">
        <v>17</v>
      </c>
      <c r="B834" s="7" t="s">
        <v>18</v>
      </c>
      <c r="C834" s="7" t="s">
        <v>19</v>
      </c>
      <c r="D834" s="7"/>
      <c r="E834" s="7"/>
      <c r="F834" s="7" t="s">
        <v>57</v>
      </c>
      <c r="G834" s="7" t="s">
        <v>58</v>
      </c>
      <c r="H834" s="7" t="s">
        <v>143</v>
      </c>
      <c r="I834" s="7" t="s">
        <v>146</v>
      </c>
      <c r="J834" s="8"/>
      <c r="K834" s="8"/>
      <c r="L834" s="8"/>
      <c r="M834" s="8"/>
      <c r="N834" s="8"/>
      <c r="O834" s="8"/>
      <c r="P834" s="8">
        <v>236.39621</v>
      </c>
      <c r="Q834" t="s">
        <v>26</v>
      </c>
    </row>
    <row r="835" spans="1:17" hidden="1" x14ac:dyDescent="0.25">
      <c r="A835" s="7" t="s">
        <v>17</v>
      </c>
      <c r="B835" s="7" t="s">
        <v>18</v>
      </c>
      <c r="C835" s="7" t="s">
        <v>19</v>
      </c>
      <c r="D835" s="7" t="s">
        <v>20</v>
      </c>
      <c r="E835" s="7" t="s">
        <v>21</v>
      </c>
      <c r="F835" s="7" t="s">
        <v>59</v>
      </c>
      <c r="G835" s="7" t="s">
        <v>60</v>
      </c>
      <c r="H835" s="7" t="s">
        <v>143</v>
      </c>
      <c r="I835" s="7" t="s">
        <v>146</v>
      </c>
      <c r="J835" s="8"/>
      <c r="K835" s="8"/>
      <c r="L835" s="8"/>
      <c r="M835" s="8"/>
      <c r="N835" s="8"/>
      <c r="O835" s="8"/>
      <c r="P835" s="8">
        <v>84.974240000000009</v>
      </c>
      <c r="Q835" t="s">
        <v>26</v>
      </c>
    </row>
    <row r="836" spans="1:17" hidden="1" x14ac:dyDescent="0.25">
      <c r="A836" s="7" t="s">
        <v>17</v>
      </c>
      <c r="B836" s="7" t="s">
        <v>18</v>
      </c>
      <c r="C836" s="7" t="s">
        <v>19</v>
      </c>
      <c r="D836" s="7" t="s">
        <v>20</v>
      </c>
      <c r="E836" s="7" t="s">
        <v>21</v>
      </c>
      <c r="F836" s="7" t="s">
        <v>61</v>
      </c>
      <c r="G836" s="7" t="s">
        <v>62</v>
      </c>
      <c r="H836" s="7" t="s">
        <v>143</v>
      </c>
      <c r="I836" s="7" t="s">
        <v>146</v>
      </c>
      <c r="J836" s="8"/>
      <c r="K836" s="8"/>
      <c r="L836" s="8"/>
      <c r="M836" s="8"/>
      <c r="N836" s="8"/>
      <c r="O836" s="8"/>
      <c r="P836" s="8">
        <v>3.6599999999999994E-2</v>
      </c>
      <c r="Q836" t="s">
        <v>26</v>
      </c>
    </row>
    <row r="837" spans="1:17" hidden="1" x14ac:dyDescent="0.25">
      <c r="A837" s="7" t="s">
        <v>17</v>
      </c>
      <c r="B837" s="7" t="s">
        <v>18</v>
      </c>
      <c r="C837" s="7" t="s">
        <v>19</v>
      </c>
      <c r="D837" s="7"/>
      <c r="E837" s="7"/>
      <c r="F837" s="7" t="s">
        <v>63</v>
      </c>
      <c r="G837" s="7" t="s">
        <v>64</v>
      </c>
      <c r="H837" s="7" t="s">
        <v>143</v>
      </c>
      <c r="I837" s="7" t="s">
        <v>146</v>
      </c>
      <c r="J837" s="8"/>
      <c r="K837" s="8"/>
      <c r="L837" s="8"/>
      <c r="M837" s="8"/>
      <c r="N837" s="8"/>
      <c r="O837" s="8"/>
      <c r="P837" s="8">
        <v>78.844750000000005</v>
      </c>
      <c r="Q837" t="s">
        <v>26</v>
      </c>
    </row>
    <row r="838" spans="1:17" hidden="1" x14ac:dyDescent="0.25">
      <c r="A838" s="7" t="s">
        <v>17</v>
      </c>
      <c r="B838" s="7" t="s">
        <v>18</v>
      </c>
      <c r="C838" s="7" t="s">
        <v>19</v>
      </c>
      <c r="D838" s="7" t="s">
        <v>20</v>
      </c>
      <c r="E838" s="7" t="s">
        <v>21</v>
      </c>
      <c r="F838" s="7" t="s">
        <v>65</v>
      </c>
      <c r="G838" s="7" t="s">
        <v>66</v>
      </c>
      <c r="H838" s="7" t="s">
        <v>143</v>
      </c>
      <c r="I838" s="7" t="s">
        <v>146</v>
      </c>
      <c r="J838" s="8"/>
      <c r="K838" s="8"/>
      <c r="L838" s="8"/>
      <c r="M838" s="8"/>
      <c r="N838" s="8"/>
      <c r="O838" s="8"/>
      <c r="P838" s="8">
        <v>18.009279999999997</v>
      </c>
      <c r="Q838" t="s">
        <v>26</v>
      </c>
    </row>
    <row r="839" spans="1:17" hidden="1" x14ac:dyDescent="0.25">
      <c r="A839" s="7" t="s">
        <v>17</v>
      </c>
      <c r="B839" s="7" t="s">
        <v>18</v>
      </c>
      <c r="C839" s="7" t="s">
        <v>19</v>
      </c>
      <c r="D839" s="7"/>
      <c r="E839" s="7"/>
      <c r="F839" s="7" t="s">
        <v>67</v>
      </c>
      <c r="G839" s="7" t="s">
        <v>68</v>
      </c>
      <c r="H839" s="7" t="s">
        <v>143</v>
      </c>
      <c r="I839" s="7" t="s">
        <v>146</v>
      </c>
      <c r="J839" s="8"/>
      <c r="K839" s="8"/>
      <c r="L839" s="8"/>
      <c r="M839" s="8"/>
      <c r="N839" s="8"/>
      <c r="O839" s="8"/>
      <c r="P839" s="8">
        <v>303.27085999999997</v>
      </c>
      <c r="Q839" t="s">
        <v>26</v>
      </c>
    </row>
    <row r="840" spans="1:17" hidden="1" x14ac:dyDescent="0.25">
      <c r="A840" s="7" t="s">
        <v>17</v>
      </c>
      <c r="B840" s="7" t="s">
        <v>18</v>
      </c>
      <c r="C840" s="7" t="s">
        <v>19</v>
      </c>
      <c r="D840" s="7"/>
      <c r="E840" s="7"/>
      <c r="F840" s="7" t="s">
        <v>69</v>
      </c>
      <c r="G840" s="7" t="s">
        <v>70</v>
      </c>
      <c r="H840" s="7" t="s">
        <v>143</v>
      </c>
      <c r="I840" s="7" t="s">
        <v>146</v>
      </c>
      <c r="J840" s="8"/>
      <c r="K840" s="8"/>
      <c r="L840" s="8"/>
      <c r="M840" s="8"/>
      <c r="N840" s="8"/>
      <c r="O840" s="8"/>
      <c r="P840" s="8">
        <v>22.79176</v>
      </c>
      <c r="Q840" t="s">
        <v>26</v>
      </c>
    </row>
    <row r="841" spans="1:17" hidden="1" x14ac:dyDescent="0.25">
      <c r="A841" s="7" t="s">
        <v>17</v>
      </c>
      <c r="B841" s="7" t="s">
        <v>18</v>
      </c>
      <c r="C841" s="7" t="s">
        <v>19</v>
      </c>
      <c r="D841" s="7"/>
      <c r="E841" s="7"/>
      <c r="F841" s="7" t="s">
        <v>71</v>
      </c>
      <c r="G841" s="7" t="s">
        <v>72</v>
      </c>
      <c r="H841" s="7" t="s">
        <v>143</v>
      </c>
      <c r="I841" s="7" t="s">
        <v>146</v>
      </c>
      <c r="J841" s="8"/>
      <c r="K841" s="8"/>
      <c r="L841" s="8"/>
      <c r="M841" s="8"/>
      <c r="N841" s="8"/>
      <c r="O841" s="8"/>
      <c r="P841" s="8">
        <v>113.83669999999999</v>
      </c>
      <c r="Q841" t="s">
        <v>26</v>
      </c>
    </row>
    <row r="842" spans="1:17" hidden="1" x14ac:dyDescent="0.25">
      <c r="A842" s="7" t="s">
        <v>17</v>
      </c>
      <c r="B842" s="7" t="s">
        <v>18</v>
      </c>
      <c r="C842" s="7" t="s">
        <v>19</v>
      </c>
      <c r="D842" s="7" t="s">
        <v>20</v>
      </c>
      <c r="E842" s="7" t="s">
        <v>21</v>
      </c>
      <c r="F842" s="7" t="s">
        <v>73</v>
      </c>
      <c r="G842" s="7" t="s">
        <v>74</v>
      </c>
      <c r="H842" s="7" t="s">
        <v>143</v>
      </c>
      <c r="I842" s="7" t="s">
        <v>146</v>
      </c>
      <c r="J842" s="8"/>
      <c r="K842" s="8"/>
      <c r="L842" s="8"/>
      <c r="M842" s="8"/>
      <c r="N842" s="8"/>
      <c r="O842" s="8"/>
      <c r="P842" s="8">
        <v>104.22672000000001</v>
      </c>
      <c r="Q842" t="s">
        <v>26</v>
      </c>
    </row>
    <row r="843" spans="1:17" hidden="1" x14ac:dyDescent="0.25">
      <c r="A843" s="7" t="s">
        <v>17</v>
      </c>
      <c r="B843" s="7" t="s">
        <v>18</v>
      </c>
      <c r="C843" s="7" t="s">
        <v>19</v>
      </c>
      <c r="D843" s="7" t="s">
        <v>20</v>
      </c>
      <c r="E843" s="7" t="s">
        <v>21</v>
      </c>
      <c r="F843" s="7" t="s">
        <v>75</v>
      </c>
      <c r="G843" s="7" t="s">
        <v>76</v>
      </c>
      <c r="H843" s="7" t="s">
        <v>143</v>
      </c>
      <c r="I843" s="7" t="s">
        <v>146</v>
      </c>
      <c r="J843" s="8"/>
      <c r="K843" s="8"/>
      <c r="L843" s="8"/>
      <c r="M843" s="8"/>
      <c r="N843" s="8"/>
      <c r="O843" s="8"/>
      <c r="P843" s="8">
        <v>0.62219999999999998</v>
      </c>
      <c r="Q843" t="s">
        <v>26</v>
      </c>
    </row>
    <row r="844" spans="1:17" hidden="1" x14ac:dyDescent="0.25">
      <c r="A844" s="7" t="s">
        <v>17</v>
      </c>
      <c r="B844" s="7" t="s">
        <v>18</v>
      </c>
      <c r="C844" s="7" t="s">
        <v>19</v>
      </c>
      <c r="D844" s="7"/>
      <c r="E844" s="7"/>
      <c r="F844" s="7" t="s">
        <v>77</v>
      </c>
      <c r="G844" s="7" t="s">
        <v>78</v>
      </c>
      <c r="H844" s="7" t="s">
        <v>143</v>
      </c>
      <c r="I844" s="7" t="s">
        <v>146</v>
      </c>
      <c r="J844" s="8"/>
      <c r="K844" s="8"/>
      <c r="L844" s="8"/>
      <c r="M844" s="8"/>
      <c r="N844" s="8"/>
      <c r="O844" s="8"/>
      <c r="P844" s="8">
        <v>31.964129999999997</v>
      </c>
      <c r="Q844" t="s">
        <v>26</v>
      </c>
    </row>
    <row r="845" spans="1:17" hidden="1" x14ac:dyDescent="0.25">
      <c r="A845" s="7" t="s">
        <v>17</v>
      </c>
      <c r="B845" s="7" t="s">
        <v>18</v>
      </c>
      <c r="C845" s="7" t="s">
        <v>19</v>
      </c>
      <c r="D845" s="7"/>
      <c r="E845" s="7"/>
      <c r="F845" s="7" t="s">
        <v>79</v>
      </c>
      <c r="G845" s="7" t="s">
        <v>80</v>
      </c>
      <c r="H845" s="7" t="s">
        <v>143</v>
      </c>
      <c r="I845" s="7" t="s">
        <v>146</v>
      </c>
      <c r="J845" s="8"/>
      <c r="K845" s="8"/>
      <c r="L845" s="8"/>
      <c r="M845" s="8"/>
      <c r="N845" s="8"/>
      <c r="O845" s="8"/>
      <c r="P845" s="8">
        <v>147.81598</v>
      </c>
      <c r="Q845" t="s">
        <v>26</v>
      </c>
    </row>
    <row r="846" spans="1:17" hidden="1" x14ac:dyDescent="0.25">
      <c r="A846" s="7" t="s">
        <v>17</v>
      </c>
      <c r="B846" s="7" t="s">
        <v>18</v>
      </c>
      <c r="C846" s="7" t="s">
        <v>19</v>
      </c>
      <c r="D846" s="7"/>
      <c r="E846" s="7"/>
      <c r="F846" s="7" t="s">
        <v>81</v>
      </c>
      <c r="G846" s="7" t="s">
        <v>82</v>
      </c>
      <c r="H846" s="7" t="s">
        <v>143</v>
      </c>
      <c r="I846" s="7" t="s">
        <v>146</v>
      </c>
      <c r="J846" s="8"/>
      <c r="K846" s="8"/>
      <c r="L846" s="8"/>
      <c r="M846" s="8"/>
      <c r="N846" s="8"/>
      <c r="O846" s="8"/>
      <c r="P846" s="8">
        <v>196.11323000000002</v>
      </c>
      <c r="Q846" t="s">
        <v>26</v>
      </c>
    </row>
    <row r="847" spans="1:17" hidden="1" x14ac:dyDescent="0.25">
      <c r="A847" s="7" t="s">
        <v>17</v>
      </c>
      <c r="B847" s="7" t="s">
        <v>18</v>
      </c>
      <c r="C847" s="7" t="s">
        <v>19</v>
      </c>
      <c r="D847" s="7"/>
      <c r="E847" s="7"/>
      <c r="F847" s="7" t="s">
        <v>83</v>
      </c>
      <c r="G847" s="7" t="s">
        <v>84</v>
      </c>
      <c r="H847" s="7" t="s">
        <v>143</v>
      </c>
      <c r="I847" s="7" t="s">
        <v>146</v>
      </c>
      <c r="J847" s="8"/>
      <c r="K847" s="8"/>
      <c r="L847" s="8"/>
      <c r="M847" s="8"/>
      <c r="N847" s="8"/>
      <c r="O847" s="8"/>
      <c r="P847" s="8">
        <v>107.88975000000001</v>
      </c>
      <c r="Q847" t="s">
        <v>26</v>
      </c>
    </row>
    <row r="848" spans="1:17" hidden="1" x14ac:dyDescent="0.25">
      <c r="A848" s="7" t="s">
        <v>17</v>
      </c>
      <c r="B848" s="7" t="s">
        <v>18</v>
      </c>
      <c r="C848" s="7" t="s">
        <v>19</v>
      </c>
      <c r="D848" s="7" t="s">
        <v>20</v>
      </c>
      <c r="E848" s="7" t="s">
        <v>21</v>
      </c>
      <c r="F848" s="7" t="s">
        <v>85</v>
      </c>
      <c r="G848" s="7" t="s">
        <v>86</v>
      </c>
      <c r="H848" s="7" t="s">
        <v>143</v>
      </c>
      <c r="I848" s="7" t="s">
        <v>146</v>
      </c>
      <c r="J848" s="8"/>
      <c r="K848" s="8"/>
      <c r="L848" s="8"/>
      <c r="M848" s="8"/>
      <c r="N848" s="8"/>
      <c r="O848" s="8"/>
      <c r="P848" s="8">
        <v>274.44958000000003</v>
      </c>
      <c r="Q848" t="s">
        <v>26</v>
      </c>
    </row>
    <row r="849" spans="1:17" hidden="1" x14ac:dyDescent="0.25">
      <c r="A849" s="7" t="s">
        <v>17</v>
      </c>
      <c r="B849" s="7" t="s">
        <v>18</v>
      </c>
      <c r="C849" s="7" t="s">
        <v>19</v>
      </c>
      <c r="D849" s="7"/>
      <c r="E849" s="7"/>
      <c r="F849" s="7" t="s">
        <v>87</v>
      </c>
      <c r="G849" s="7" t="s">
        <v>88</v>
      </c>
      <c r="H849" s="7" t="s">
        <v>143</v>
      </c>
      <c r="I849" s="7" t="s">
        <v>146</v>
      </c>
      <c r="J849" s="8"/>
      <c r="K849" s="8"/>
      <c r="L849" s="8"/>
      <c r="M849" s="8"/>
      <c r="N849" s="8"/>
      <c r="O849" s="8"/>
      <c r="P849" s="8">
        <v>86.067759999999993</v>
      </c>
      <c r="Q849" t="s">
        <v>26</v>
      </c>
    </row>
    <row r="850" spans="1:17" hidden="1" x14ac:dyDescent="0.25">
      <c r="A850" s="7" t="s">
        <v>17</v>
      </c>
      <c r="B850" s="7" t="s">
        <v>18</v>
      </c>
      <c r="C850" s="7" t="s">
        <v>19</v>
      </c>
      <c r="D850" s="7"/>
      <c r="E850" s="7"/>
      <c r="F850" s="7" t="s">
        <v>89</v>
      </c>
      <c r="G850" s="7" t="s">
        <v>90</v>
      </c>
      <c r="H850" s="7" t="s">
        <v>143</v>
      </c>
      <c r="I850" s="7" t="s">
        <v>146</v>
      </c>
      <c r="J850" s="8"/>
      <c r="K850" s="8"/>
      <c r="L850" s="8"/>
      <c r="M850" s="8"/>
      <c r="N850" s="8"/>
      <c r="O850" s="8"/>
      <c r="P850" s="8">
        <v>457.89060999999992</v>
      </c>
      <c r="Q850" t="s">
        <v>26</v>
      </c>
    </row>
    <row r="851" spans="1:17" hidden="1" x14ac:dyDescent="0.25">
      <c r="A851" s="7" t="s">
        <v>17</v>
      </c>
      <c r="B851" s="7" t="s">
        <v>18</v>
      </c>
      <c r="C851" s="7" t="s">
        <v>19</v>
      </c>
      <c r="D851" s="7"/>
      <c r="E851" s="7"/>
      <c r="F851" s="7" t="s">
        <v>91</v>
      </c>
      <c r="G851" s="7" t="s">
        <v>92</v>
      </c>
      <c r="H851" s="7" t="s">
        <v>143</v>
      </c>
      <c r="I851" s="7" t="s">
        <v>146</v>
      </c>
      <c r="J851" s="8"/>
      <c r="K851" s="8"/>
      <c r="L851" s="8"/>
      <c r="M851" s="8"/>
      <c r="N851" s="8"/>
      <c r="O851" s="8"/>
      <c r="P851" s="8">
        <v>1164.25467</v>
      </c>
      <c r="Q851" t="s">
        <v>26</v>
      </c>
    </row>
    <row r="852" spans="1:17" hidden="1" x14ac:dyDescent="0.25">
      <c r="A852" s="7" t="s">
        <v>17</v>
      </c>
      <c r="B852" s="7" t="s">
        <v>18</v>
      </c>
      <c r="C852" s="7" t="s">
        <v>19</v>
      </c>
      <c r="D852" s="7"/>
      <c r="E852" s="7"/>
      <c r="F852" s="7" t="s">
        <v>93</v>
      </c>
      <c r="G852" s="7" t="s">
        <v>94</v>
      </c>
      <c r="H852" s="7" t="s">
        <v>143</v>
      </c>
      <c r="I852" s="7" t="s">
        <v>146</v>
      </c>
      <c r="J852" s="8"/>
      <c r="K852" s="8"/>
      <c r="L852" s="8"/>
      <c r="M852" s="8"/>
      <c r="N852" s="8"/>
      <c r="O852" s="8"/>
      <c r="P852" s="8">
        <v>27.229290000000002</v>
      </c>
      <c r="Q852" t="s">
        <v>26</v>
      </c>
    </row>
    <row r="853" spans="1:17" hidden="1" x14ac:dyDescent="0.25">
      <c r="A853" s="7" t="s">
        <v>17</v>
      </c>
      <c r="B853" s="7" t="s">
        <v>18</v>
      </c>
      <c r="C853" s="7" t="s">
        <v>19</v>
      </c>
      <c r="D853" s="7"/>
      <c r="E853" s="7"/>
      <c r="F853" s="7" t="s">
        <v>95</v>
      </c>
      <c r="G853" s="7" t="s">
        <v>96</v>
      </c>
      <c r="H853" s="7" t="s">
        <v>143</v>
      </c>
      <c r="I853" s="7" t="s">
        <v>146</v>
      </c>
      <c r="J853" s="8"/>
      <c r="K853" s="8"/>
      <c r="L853" s="8"/>
      <c r="M853" s="8"/>
      <c r="N853" s="8"/>
      <c r="O853" s="8"/>
      <c r="P853" s="8">
        <v>139.59030000000001</v>
      </c>
      <c r="Q853" t="s">
        <v>26</v>
      </c>
    </row>
    <row r="854" spans="1:17" hidden="1" x14ac:dyDescent="0.25">
      <c r="A854" s="7" t="s">
        <v>17</v>
      </c>
      <c r="B854" s="7" t="s">
        <v>18</v>
      </c>
      <c r="C854" s="7" t="s">
        <v>19</v>
      </c>
      <c r="D854" s="7"/>
      <c r="E854" s="7"/>
      <c r="F854" s="7" t="s">
        <v>97</v>
      </c>
      <c r="G854" s="7" t="s">
        <v>98</v>
      </c>
      <c r="H854" s="7" t="s">
        <v>143</v>
      </c>
      <c r="I854" s="7" t="s">
        <v>146</v>
      </c>
      <c r="J854" s="8"/>
      <c r="K854" s="8"/>
      <c r="L854" s="8"/>
      <c r="M854" s="8"/>
      <c r="N854" s="8"/>
      <c r="O854" s="8"/>
      <c r="P854" s="8">
        <v>117.93185</v>
      </c>
      <c r="Q854" t="s">
        <v>26</v>
      </c>
    </row>
    <row r="855" spans="1:17" hidden="1" x14ac:dyDescent="0.25">
      <c r="A855" s="7" t="s">
        <v>17</v>
      </c>
      <c r="B855" s="7" t="s">
        <v>18</v>
      </c>
      <c r="C855" s="7" t="s">
        <v>19</v>
      </c>
      <c r="D855" s="7"/>
      <c r="E855" s="7"/>
      <c r="F855" s="7" t="s">
        <v>99</v>
      </c>
      <c r="G855" s="7" t="s">
        <v>100</v>
      </c>
      <c r="H855" s="7" t="s">
        <v>143</v>
      </c>
      <c r="I855" s="7" t="s">
        <v>146</v>
      </c>
      <c r="J855" s="8"/>
      <c r="K855" s="8"/>
      <c r="L855" s="8"/>
      <c r="M855" s="8"/>
      <c r="N855" s="8"/>
      <c r="O855" s="8"/>
      <c r="P855" s="8">
        <v>1403.0214699999999</v>
      </c>
      <c r="Q855" t="s">
        <v>26</v>
      </c>
    </row>
    <row r="856" spans="1:17" hidden="1" x14ac:dyDescent="0.25">
      <c r="A856" s="7" t="s">
        <v>17</v>
      </c>
      <c r="B856" s="7" t="s">
        <v>18</v>
      </c>
      <c r="C856" s="7" t="s">
        <v>19</v>
      </c>
      <c r="D856" s="7" t="s">
        <v>20</v>
      </c>
      <c r="E856" s="7" t="s">
        <v>21</v>
      </c>
      <c r="F856" s="7" t="s">
        <v>101</v>
      </c>
      <c r="G856" s="7" t="s">
        <v>21</v>
      </c>
      <c r="H856" s="7" t="s">
        <v>143</v>
      </c>
      <c r="I856" s="7" t="s">
        <v>146</v>
      </c>
      <c r="J856" s="8"/>
      <c r="K856" s="8"/>
      <c r="L856" s="8"/>
      <c r="M856" s="8"/>
      <c r="N856" s="8"/>
      <c r="O856" s="8"/>
      <c r="P856" s="8">
        <v>8.539999999999999E-2</v>
      </c>
      <c r="Q856" t="s">
        <v>26</v>
      </c>
    </row>
    <row r="857" spans="1:17" hidden="1" x14ac:dyDescent="0.25">
      <c r="A857" s="7" t="s">
        <v>17</v>
      </c>
      <c r="B857" s="7" t="s">
        <v>18</v>
      </c>
      <c r="C857" s="7" t="s">
        <v>19</v>
      </c>
      <c r="D857" s="7"/>
      <c r="E857" s="7"/>
      <c r="F857" s="7" t="s">
        <v>102</v>
      </c>
      <c r="G857" s="7" t="s">
        <v>103</v>
      </c>
      <c r="H857" s="7" t="s">
        <v>143</v>
      </c>
      <c r="I857" s="7" t="s">
        <v>146</v>
      </c>
      <c r="J857" s="8"/>
      <c r="K857" s="8"/>
      <c r="L857" s="8"/>
      <c r="M857" s="8"/>
      <c r="N857" s="8"/>
      <c r="O857" s="8"/>
      <c r="P857" s="8">
        <v>30.25723</v>
      </c>
      <c r="Q857" t="s">
        <v>26</v>
      </c>
    </row>
    <row r="858" spans="1:17" hidden="1" x14ac:dyDescent="0.25">
      <c r="A858" s="7" t="s">
        <v>17</v>
      </c>
      <c r="B858" s="7" t="s">
        <v>18</v>
      </c>
      <c r="C858" s="7" t="s">
        <v>19</v>
      </c>
      <c r="D858" s="7" t="s">
        <v>20</v>
      </c>
      <c r="E858" s="7" t="s">
        <v>21</v>
      </c>
      <c r="F858" s="7" t="s">
        <v>104</v>
      </c>
      <c r="G858" s="7" t="s">
        <v>105</v>
      </c>
      <c r="H858" s="7" t="s">
        <v>143</v>
      </c>
      <c r="I858" s="7" t="s">
        <v>146</v>
      </c>
      <c r="J858" s="8"/>
      <c r="K858" s="8"/>
      <c r="L858" s="8"/>
      <c r="M858" s="8"/>
      <c r="N858" s="8"/>
      <c r="O858" s="8"/>
      <c r="P858" s="8">
        <v>1880.1489300000001</v>
      </c>
      <c r="Q858" t="s">
        <v>26</v>
      </c>
    </row>
    <row r="859" spans="1:17" hidden="1" x14ac:dyDescent="0.25">
      <c r="A859" s="7" t="s">
        <v>17</v>
      </c>
      <c r="B859" s="7" t="s">
        <v>18</v>
      </c>
      <c r="C859" s="7" t="s">
        <v>19</v>
      </c>
      <c r="D859" s="7"/>
      <c r="E859" s="7"/>
      <c r="F859" s="7" t="s">
        <v>106</v>
      </c>
      <c r="G859" s="7" t="s">
        <v>107</v>
      </c>
      <c r="H859" s="7" t="s">
        <v>143</v>
      </c>
      <c r="I859" s="7" t="s">
        <v>146</v>
      </c>
      <c r="J859" s="8"/>
      <c r="K859" s="8"/>
      <c r="L859" s="8"/>
      <c r="M859" s="8"/>
      <c r="N859" s="8"/>
      <c r="O859" s="8"/>
      <c r="P859" s="8">
        <v>102.37404000000001</v>
      </c>
      <c r="Q859" t="s">
        <v>26</v>
      </c>
    </row>
    <row r="860" spans="1:17" hidden="1" x14ac:dyDescent="0.25">
      <c r="A860" s="7" t="s">
        <v>17</v>
      </c>
      <c r="B860" s="7" t="s">
        <v>18</v>
      </c>
      <c r="C860" s="7" t="s">
        <v>19</v>
      </c>
      <c r="D860" s="7"/>
      <c r="E860" s="7"/>
      <c r="F860" s="7" t="s">
        <v>108</v>
      </c>
      <c r="G860" s="7" t="s">
        <v>109</v>
      </c>
      <c r="H860" s="7" t="s">
        <v>143</v>
      </c>
      <c r="I860" s="7" t="s">
        <v>146</v>
      </c>
      <c r="J860" s="8"/>
      <c r="K860" s="8"/>
      <c r="L860" s="8"/>
      <c r="M860" s="8"/>
      <c r="N860" s="8"/>
      <c r="O860" s="8"/>
      <c r="P860" s="8">
        <v>101.51079999999999</v>
      </c>
      <c r="Q860" t="s">
        <v>26</v>
      </c>
    </row>
    <row r="861" spans="1:17" hidden="1" x14ac:dyDescent="0.25">
      <c r="A861" s="7" t="s">
        <v>17</v>
      </c>
      <c r="B861" s="7" t="s">
        <v>18</v>
      </c>
      <c r="C861" s="7" t="s">
        <v>19</v>
      </c>
      <c r="D861" s="7"/>
      <c r="E861" s="7"/>
      <c r="F861" s="7" t="s">
        <v>110</v>
      </c>
      <c r="G861" s="7" t="s">
        <v>111</v>
      </c>
      <c r="H861" s="7" t="s">
        <v>143</v>
      </c>
      <c r="I861" s="7" t="s">
        <v>146</v>
      </c>
      <c r="J861" s="8"/>
      <c r="K861" s="8"/>
      <c r="L861" s="8"/>
      <c r="M861" s="8"/>
      <c r="N861" s="8"/>
      <c r="O861" s="8"/>
      <c r="P861" s="8">
        <v>67.362939999999995</v>
      </c>
      <c r="Q861" t="s">
        <v>26</v>
      </c>
    </row>
    <row r="862" spans="1:17" hidden="1" x14ac:dyDescent="0.25">
      <c r="A862" s="7" t="s">
        <v>17</v>
      </c>
      <c r="B862" s="7" t="s">
        <v>18</v>
      </c>
      <c r="C862" s="7" t="s">
        <v>19</v>
      </c>
      <c r="D862" s="7" t="s">
        <v>20</v>
      </c>
      <c r="E862" s="7" t="s">
        <v>21</v>
      </c>
      <c r="F862" s="7" t="s">
        <v>112</v>
      </c>
      <c r="G862" s="7" t="s">
        <v>113</v>
      </c>
      <c r="H862" s="7" t="s">
        <v>143</v>
      </c>
      <c r="I862" s="7" t="s">
        <v>146</v>
      </c>
      <c r="J862" s="8"/>
      <c r="K862" s="8"/>
      <c r="L862" s="8"/>
      <c r="M862" s="8"/>
      <c r="N862" s="8"/>
      <c r="O862" s="8"/>
      <c r="P862" s="8">
        <v>1562.1987799999997</v>
      </c>
      <c r="Q862" t="s">
        <v>26</v>
      </c>
    </row>
    <row r="863" spans="1:17" hidden="1" x14ac:dyDescent="0.25">
      <c r="A863" s="7" t="s">
        <v>17</v>
      </c>
      <c r="B863" s="7" t="s">
        <v>18</v>
      </c>
      <c r="C863" s="7" t="s">
        <v>19</v>
      </c>
      <c r="D863" s="7" t="s">
        <v>20</v>
      </c>
      <c r="E863" s="7" t="s">
        <v>21</v>
      </c>
      <c r="F863" s="7" t="s">
        <v>114</v>
      </c>
      <c r="G863" s="7" t="s">
        <v>115</v>
      </c>
      <c r="H863" s="7" t="s">
        <v>143</v>
      </c>
      <c r="I863" s="7" t="s">
        <v>146</v>
      </c>
      <c r="J863" s="8"/>
      <c r="K863" s="8"/>
      <c r="L863" s="8"/>
      <c r="M863" s="8"/>
      <c r="N863" s="8"/>
      <c r="O863" s="8"/>
      <c r="P863" s="8">
        <v>0</v>
      </c>
      <c r="Q863" t="s">
        <v>26</v>
      </c>
    </row>
    <row r="864" spans="1:17" hidden="1" x14ac:dyDescent="0.25">
      <c r="A864" s="7" t="s">
        <v>17</v>
      </c>
      <c r="B864" s="7" t="s">
        <v>18</v>
      </c>
      <c r="C864" s="7" t="s">
        <v>19</v>
      </c>
      <c r="D864" s="7" t="s">
        <v>20</v>
      </c>
      <c r="E864" s="7" t="s">
        <v>21</v>
      </c>
      <c r="F864" s="7" t="s">
        <v>116</v>
      </c>
      <c r="G864" s="7" t="s">
        <v>117</v>
      </c>
      <c r="H864" s="7" t="s">
        <v>143</v>
      </c>
      <c r="I864" s="7" t="s">
        <v>146</v>
      </c>
      <c r="J864" s="8"/>
      <c r="K864" s="8"/>
      <c r="L864" s="8"/>
      <c r="M864" s="8"/>
      <c r="N864" s="8"/>
      <c r="O864" s="8"/>
      <c r="P864" s="8">
        <v>88.180669999999992</v>
      </c>
      <c r="Q864" t="s">
        <v>26</v>
      </c>
    </row>
    <row r="865" spans="1:17" hidden="1" x14ac:dyDescent="0.25">
      <c r="A865" s="7" t="s">
        <v>17</v>
      </c>
      <c r="B865" s="7" t="s">
        <v>18</v>
      </c>
      <c r="C865" s="7" t="s">
        <v>19</v>
      </c>
      <c r="D865" s="7" t="s">
        <v>20</v>
      </c>
      <c r="E865" s="7" t="s">
        <v>21</v>
      </c>
      <c r="F865" s="7" t="s">
        <v>118</v>
      </c>
      <c r="G865" s="7" t="s">
        <v>119</v>
      </c>
      <c r="H865" s="7" t="s">
        <v>143</v>
      </c>
      <c r="I865" s="7" t="s">
        <v>146</v>
      </c>
      <c r="J865" s="8"/>
      <c r="K865" s="8"/>
      <c r="L865" s="8"/>
      <c r="M865" s="8"/>
      <c r="N865" s="8"/>
      <c r="O865" s="8"/>
      <c r="P865" s="8">
        <v>23.773870000000002</v>
      </c>
      <c r="Q865" t="s">
        <v>26</v>
      </c>
    </row>
    <row r="866" spans="1:17" hidden="1" x14ac:dyDescent="0.25">
      <c r="A866" s="7" t="s">
        <v>17</v>
      </c>
      <c r="B866" s="7" t="s">
        <v>18</v>
      </c>
      <c r="C866" s="7" t="s">
        <v>19</v>
      </c>
      <c r="D866" s="7" t="s">
        <v>20</v>
      </c>
      <c r="E866" s="7" t="s">
        <v>21</v>
      </c>
      <c r="F866" s="7" t="s">
        <v>120</v>
      </c>
      <c r="G866" s="7" t="s">
        <v>121</v>
      </c>
      <c r="H866" s="7" t="s">
        <v>143</v>
      </c>
      <c r="I866" s="7" t="s">
        <v>146</v>
      </c>
      <c r="J866" s="8"/>
      <c r="K866" s="8"/>
      <c r="L866" s="8"/>
      <c r="M866" s="8"/>
      <c r="N866" s="8"/>
      <c r="O866" s="8"/>
      <c r="P866" s="8">
        <v>14.09097</v>
      </c>
      <c r="Q866" t="s">
        <v>26</v>
      </c>
    </row>
    <row r="867" spans="1:17" hidden="1" x14ac:dyDescent="0.25">
      <c r="A867" s="7" t="s">
        <v>17</v>
      </c>
      <c r="B867" s="7" t="s">
        <v>18</v>
      </c>
      <c r="C867" s="7" t="s">
        <v>19</v>
      </c>
      <c r="D867" s="7"/>
      <c r="E867" s="7"/>
      <c r="F867" s="7" t="s">
        <v>122</v>
      </c>
      <c r="G867" s="7" t="s">
        <v>123</v>
      </c>
      <c r="H867" s="7" t="s">
        <v>143</v>
      </c>
      <c r="I867" s="7" t="s">
        <v>146</v>
      </c>
      <c r="J867" s="8"/>
      <c r="K867" s="8"/>
      <c r="L867" s="8"/>
      <c r="M867" s="8"/>
      <c r="N867" s="8"/>
      <c r="O867" s="8"/>
      <c r="P867" s="8">
        <v>81.02306999999999</v>
      </c>
      <c r="Q867" t="s">
        <v>26</v>
      </c>
    </row>
    <row r="868" spans="1:17" hidden="1" x14ac:dyDescent="0.25">
      <c r="A868" s="7" t="s">
        <v>17</v>
      </c>
      <c r="B868" s="7" t="s">
        <v>18</v>
      </c>
      <c r="C868" s="7" t="s">
        <v>19</v>
      </c>
      <c r="D868" s="7"/>
      <c r="E868" s="7"/>
      <c r="F868" s="7" t="s">
        <v>124</v>
      </c>
      <c r="G868" s="7" t="s">
        <v>125</v>
      </c>
      <c r="H868" s="7" t="s">
        <v>143</v>
      </c>
      <c r="I868" s="7" t="s">
        <v>146</v>
      </c>
      <c r="J868" s="8"/>
      <c r="K868" s="8"/>
      <c r="L868" s="8"/>
      <c r="M868" s="8"/>
      <c r="N868" s="8"/>
      <c r="O868" s="8"/>
      <c r="P868" s="8">
        <v>34.976770000000002</v>
      </c>
      <c r="Q868" t="s">
        <v>26</v>
      </c>
    </row>
    <row r="869" spans="1:17" hidden="1" x14ac:dyDescent="0.25">
      <c r="A869" s="7" t="s">
        <v>17</v>
      </c>
      <c r="B869" s="7" t="s">
        <v>18</v>
      </c>
      <c r="C869" s="7" t="s">
        <v>19</v>
      </c>
      <c r="D869" s="7" t="s">
        <v>20</v>
      </c>
      <c r="E869" s="7" t="s">
        <v>21</v>
      </c>
      <c r="F869" s="7" t="s">
        <v>22</v>
      </c>
      <c r="G869" s="7" t="s">
        <v>23</v>
      </c>
      <c r="H869" s="7" t="s">
        <v>143</v>
      </c>
      <c r="I869" s="7" t="s">
        <v>147</v>
      </c>
      <c r="J869" s="8">
        <v>0</v>
      </c>
      <c r="K869" s="8">
        <v>0</v>
      </c>
      <c r="L869" s="8"/>
      <c r="M869" s="8"/>
      <c r="N869" s="8"/>
      <c r="O869" s="8"/>
      <c r="P869" s="8"/>
      <c r="Q869" t="s">
        <v>26</v>
      </c>
    </row>
    <row r="870" spans="1:17" hidden="1" x14ac:dyDescent="0.25">
      <c r="A870" s="7" t="s">
        <v>17</v>
      </c>
      <c r="B870" s="7" t="s">
        <v>18</v>
      </c>
      <c r="C870" s="7" t="s">
        <v>19</v>
      </c>
      <c r="D870" s="7"/>
      <c r="E870" s="7"/>
      <c r="F870" s="7" t="s">
        <v>27</v>
      </c>
      <c r="G870" s="7" t="s">
        <v>28</v>
      </c>
      <c r="H870" s="7" t="s">
        <v>143</v>
      </c>
      <c r="I870" s="7" t="s">
        <v>147</v>
      </c>
      <c r="J870" s="8">
        <v>4.0419467999999998</v>
      </c>
      <c r="K870" s="8">
        <v>0.46159032455999999</v>
      </c>
      <c r="L870" s="8"/>
      <c r="M870" s="8"/>
      <c r="N870" s="8"/>
      <c r="O870" s="8"/>
      <c r="P870" s="8"/>
      <c r="Q870" t="s">
        <v>26</v>
      </c>
    </row>
    <row r="871" spans="1:17" hidden="1" x14ac:dyDescent="0.25">
      <c r="A871" s="7" t="s">
        <v>17</v>
      </c>
      <c r="B871" s="7" t="s">
        <v>18</v>
      </c>
      <c r="C871" s="7" t="s">
        <v>19</v>
      </c>
      <c r="D871" s="7"/>
      <c r="E871" s="7"/>
      <c r="F871" s="7" t="s">
        <v>29</v>
      </c>
      <c r="G871" s="7" t="s">
        <v>30</v>
      </c>
      <c r="H871" s="7" t="s">
        <v>143</v>
      </c>
      <c r="I871" s="7" t="s">
        <v>147</v>
      </c>
      <c r="J871" s="8">
        <v>1.3421376</v>
      </c>
      <c r="K871" s="8">
        <v>0.15327211392000001</v>
      </c>
      <c r="L871" s="8"/>
      <c r="M871" s="8"/>
      <c r="N871" s="8"/>
      <c r="O871" s="8"/>
      <c r="P871" s="8"/>
      <c r="Q871" t="s">
        <v>26</v>
      </c>
    </row>
    <row r="872" spans="1:17" hidden="1" x14ac:dyDescent="0.25">
      <c r="A872" s="7" t="s">
        <v>17</v>
      </c>
      <c r="B872" s="7" t="s">
        <v>18</v>
      </c>
      <c r="C872" s="7" t="s">
        <v>19</v>
      </c>
      <c r="D872" s="7"/>
      <c r="E872" s="7"/>
      <c r="F872" s="7" t="s">
        <v>31</v>
      </c>
      <c r="G872" s="7" t="s">
        <v>32</v>
      </c>
      <c r="H872" s="7" t="s">
        <v>143</v>
      </c>
      <c r="I872" s="7" t="s">
        <v>147</v>
      </c>
      <c r="J872" s="8">
        <v>0.49915920000000008</v>
      </c>
      <c r="K872" s="8">
        <v>5.700398064E-2</v>
      </c>
      <c r="L872" s="8"/>
      <c r="M872" s="8"/>
      <c r="N872" s="8"/>
      <c r="O872" s="8"/>
      <c r="P872" s="8"/>
      <c r="Q872" t="s">
        <v>26</v>
      </c>
    </row>
    <row r="873" spans="1:17" hidden="1" x14ac:dyDescent="0.25">
      <c r="A873" s="7" t="s">
        <v>17</v>
      </c>
      <c r="B873" s="7" t="s">
        <v>18</v>
      </c>
      <c r="C873" s="7" t="s">
        <v>19</v>
      </c>
      <c r="D873" s="7"/>
      <c r="E873" s="7"/>
      <c r="F873" s="7" t="s">
        <v>33</v>
      </c>
      <c r="G873" s="7" t="s">
        <v>34</v>
      </c>
      <c r="H873" s="7" t="s">
        <v>143</v>
      </c>
      <c r="I873" s="7" t="s">
        <v>147</v>
      </c>
      <c r="J873" s="8">
        <v>6.0841500000000002</v>
      </c>
      <c r="K873" s="8">
        <v>0.69480993000000002</v>
      </c>
      <c r="L873" s="8"/>
      <c r="M873" s="8"/>
      <c r="N873" s="8"/>
      <c r="O873" s="8"/>
      <c r="P873" s="8"/>
      <c r="Q873" t="s">
        <v>26</v>
      </c>
    </row>
    <row r="874" spans="1:17" hidden="1" x14ac:dyDescent="0.25">
      <c r="A874" s="7" t="s">
        <v>17</v>
      </c>
      <c r="B874" s="7" t="s">
        <v>18</v>
      </c>
      <c r="C874" s="7" t="s">
        <v>19</v>
      </c>
      <c r="D874" s="7" t="s">
        <v>20</v>
      </c>
      <c r="E874" s="7" t="s">
        <v>21</v>
      </c>
      <c r="F874" s="7" t="s">
        <v>35</v>
      </c>
      <c r="G874" s="7" t="s">
        <v>36</v>
      </c>
      <c r="H874" s="7" t="s">
        <v>143</v>
      </c>
      <c r="I874" s="7" t="s">
        <v>147</v>
      </c>
      <c r="J874" s="8">
        <v>3.5023992000000002</v>
      </c>
      <c r="K874" s="8">
        <v>0.39997398864</v>
      </c>
      <c r="L874" s="8"/>
      <c r="M874" s="8"/>
      <c r="N874" s="8"/>
      <c r="O874" s="8"/>
      <c r="P874" s="8"/>
      <c r="Q874" t="s">
        <v>26</v>
      </c>
    </row>
    <row r="875" spans="1:17" hidden="1" x14ac:dyDescent="0.25">
      <c r="A875" s="7" t="s">
        <v>17</v>
      </c>
      <c r="B875" s="7" t="s">
        <v>18</v>
      </c>
      <c r="C875" s="7" t="s">
        <v>19</v>
      </c>
      <c r="D875" s="7"/>
      <c r="E875" s="7"/>
      <c r="F875" s="7" t="s">
        <v>37</v>
      </c>
      <c r="G875" s="7" t="s">
        <v>38</v>
      </c>
      <c r="H875" s="7" t="s">
        <v>143</v>
      </c>
      <c r="I875" s="7" t="s">
        <v>147</v>
      </c>
      <c r="J875" s="8">
        <v>1.0625256000000001</v>
      </c>
      <c r="K875" s="8">
        <v>0.12134042352</v>
      </c>
      <c r="L875" s="8"/>
      <c r="M875" s="8"/>
      <c r="N875" s="8"/>
      <c r="O875" s="8"/>
      <c r="P875" s="8"/>
      <c r="Q875" t="s">
        <v>26</v>
      </c>
    </row>
    <row r="876" spans="1:17" hidden="1" x14ac:dyDescent="0.25">
      <c r="A876" s="7" t="s">
        <v>17</v>
      </c>
      <c r="B876" s="7" t="s">
        <v>18</v>
      </c>
      <c r="C876" s="7" t="s">
        <v>19</v>
      </c>
      <c r="D876" s="7"/>
      <c r="E876" s="7"/>
      <c r="F876" s="7" t="s">
        <v>39</v>
      </c>
      <c r="G876" s="7" t="s">
        <v>40</v>
      </c>
      <c r="H876" s="7" t="s">
        <v>143</v>
      </c>
      <c r="I876" s="7" t="s">
        <v>147</v>
      </c>
      <c r="J876" s="8">
        <v>0.60789720000000003</v>
      </c>
      <c r="K876" s="8">
        <v>6.9421860239999994E-2</v>
      </c>
      <c r="L876" s="8"/>
      <c r="M876" s="8"/>
      <c r="N876" s="8"/>
      <c r="O876" s="8"/>
      <c r="P876" s="8"/>
      <c r="Q876" t="s">
        <v>26</v>
      </c>
    </row>
    <row r="877" spans="1:17" hidden="1" x14ac:dyDescent="0.25">
      <c r="A877" s="7" t="s">
        <v>17</v>
      </c>
      <c r="B877" s="7" t="s">
        <v>18</v>
      </c>
      <c r="C877" s="7" t="s">
        <v>19</v>
      </c>
      <c r="D877" s="7" t="s">
        <v>20</v>
      </c>
      <c r="E877" s="7" t="s">
        <v>21</v>
      </c>
      <c r="F877" s="7" t="s">
        <v>41</v>
      </c>
      <c r="G877" s="7" t="s">
        <v>42</v>
      </c>
      <c r="H877" s="7" t="s">
        <v>143</v>
      </c>
      <c r="I877" s="7" t="s">
        <v>147</v>
      </c>
      <c r="J877" s="8">
        <v>6.3782604000000003</v>
      </c>
      <c r="K877" s="8">
        <v>0.72839733767999992</v>
      </c>
      <c r="L877" s="8"/>
      <c r="M877" s="8"/>
      <c r="N877" s="8"/>
      <c r="O877" s="8"/>
      <c r="P877" s="8"/>
      <c r="Q877" t="s">
        <v>26</v>
      </c>
    </row>
    <row r="878" spans="1:17" hidden="1" x14ac:dyDescent="0.25">
      <c r="A878" s="7" t="s">
        <v>17</v>
      </c>
      <c r="B878" s="7" t="s">
        <v>18</v>
      </c>
      <c r="C878" s="7" t="s">
        <v>19</v>
      </c>
      <c r="D878" s="7" t="s">
        <v>20</v>
      </c>
      <c r="E878" s="7" t="s">
        <v>21</v>
      </c>
      <c r="F878" s="7" t="s">
        <v>43</v>
      </c>
      <c r="G878" s="7" t="s">
        <v>44</v>
      </c>
      <c r="H878" s="7" t="s">
        <v>143</v>
      </c>
      <c r="I878" s="7" t="s">
        <v>147</v>
      </c>
      <c r="J878" s="8">
        <v>5.8273212000000001</v>
      </c>
      <c r="K878" s="8">
        <v>0.66548008104</v>
      </c>
      <c r="L878" s="8"/>
      <c r="M878" s="8"/>
      <c r="N878" s="8"/>
      <c r="O878" s="8"/>
      <c r="P878" s="8"/>
      <c r="Q878" t="s">
        <v>26</v>
      </c>
    </row>
    <row r="879" spans="1:17" hidden="1" x14ac:dyDescent="0.25">
      <c r="A879" s="7" t="s">
        <v>17</v>
      </c>
      <c r="B879" s="7" t="s">
        <v>18</v>
      </c>
      <c r="C879" s="7" t="s">
        <v>19</v>
      </c>
      <c r="D879" s="7"/>
      <c r="E879" s="7"/>
      <c r="F879" s="7" t="s">
        <v>45</v>
      </c>
      <c r="G879" s="7" t="s">
        <v>46</v>
      </c>
      <c r="H879" s="7" t="s">
        <v>143</v>
      </c>
      <c r="I879" s="7" t="s">
        <v>147</v>
      </c>
      <c r="J879" s="8">
        <v>15.633417600000001</v>
      </c>
      <c r="K879" s="8">
        <v>1.7853362899199998</v>
      </c>
      <c r="L879" s="8"/>
      <c r="M879" s="8"/>
      <c r="N879" s="8"/>
      <c r="O879" s="8"/>
      <c r="P879" s="8"/>
      <c r="Q879" t="s">
        <v>26</v>
      </c>
    </row>
    <row r="880" spans="1:17" hidden="1" x14ac:dyDescent="0.25">
      <c r="A880" s="7" t="s">
        <v>17</v>
      </c>
      <c r="B880" s="7" t="s">
        <v>18</v>
      </c>
      <c r="C880" s="7" t="s">
        <v>19</v>
      </c>
      <c r="D880" s="7" t="s">
        <v>20</v>
      </c>
      <c r="E880" s="7" t="s">
        <v>21</v>
      </c>
      <c r="F880" s="7" t="s">
        <v>47</v>
      </c>
      <c r="G880" s="7" t="s">
        <v>48</v>
      </c>
      <c r="H880" s="7" t="s">
        <v>143</v>
      </c>
      <c r="I880" s="7" t="s">
        <v>147</v>
      </c>
      <c r="J880" s="8">
        <v>1.4943708000000002</v>
      </c>
      <c r="K880" s="8">
        <v>0.17065714535999998</v>
      </c>
      <c r="L880" s="8"/>
      <c r="M880" s="8"/>
      <c r="N880" s="8"/>
      <c r="O880" s="8"/>
      <c r="P880" s="8"/>
      <c r="Q880" t="s">
        <v>26</v>
      </c>
    </row>
    <row r="881" spans="1:17" hidden="1" x14ac:dyDescent="0.25">
      <c r="A881" s="7" t="s">
        <v>17</v>
      </c>
      <c r="B881" s="7" t="s">
        <v>18</v>
      </c>
      <c r="C881" s="7" t="s">
        <v>19</v>
      </c>
      <c r="D881" s="7"/>
      <c r="E881" s="7"/>
      <c r="F881" s="7" t="s">
        <v>49</v>
      </c>
      <c r="G881" s="7" t="s">
        <v>50</v>
      </c>
      <c r="H881" s="7" t="s">
        <v>143</v>
      </c>
      <c r="I881" s="7" t="s">
        <v>147</v>
      </c>
      <c r="J881" s="8">
        <v>8.7363216000000019</v>
      </c>
      <c r="K881" s="8">
        <v>0.99768792671999995</v>
      </c>
      <c r="L881" s="8"/>
      <c r="M881" s="8"/>
      <c r="N881" s="8"/>
      <c r="O881" s="8"/>
      <c r="P881" s="8"/>
      <c r="Q881" t="s">
        <v>26</v>
      </c>
    </row>
    <row r="882" spans="1:17" hidden="1" x14ac:dyDescent="0.25">
      <c r="A882" s="7" t="s">
        <v>17</v>
      </c>
      <c r="B882" s="7" t="s">
        <v>18</v>
      </c>
      <c r="C882" s="7" t="s">
        <v>19</v>
      </c>
      <c r="D882" s="7"/>
      <c r="E882" s="7"/>
      <c r="F882" s="7" t="s">
        <v>51</v>
      </c>
      <c r="G882" s="7" t="s">
        <v>52</v>
      </c>
      <c r="H882" s="7" t="s">
        <v>143</v>
      </c>
      <c r="I882" s="7" t="s">
        <v>147</v>
      </c>
      <c r="J882" s="8">
        <v>2.3912004000000002</v>
      </c>
      <c r="K882" s="8">
        <v>0.27307508568</v>
      </c>
      <c r="L882" s="8"/>
      <c r="M882" s="8"/>
      <c r="N882" s="8"/>
      <c r="O882" s="8"/>
      <c r="P882" s="8"/>
      <c r="Q882" t="s">
        <v>26</v>
      </c>
    </row>
    <row r="883" spans="1:17" hidden="1" x14ac:dyDescent="0.25">
      <c r="A883" s="7" t="s">
        <v>17</v>
      </c>
      <c r="B883" s="7" t="s">
        <v>18</v>
      </c>
      <c r="C883" s="7" t="s">
        <v>19</v>
      </c>
      <c r="D883" s="7"/>
      <c r="E883" s="7"/>
      <c r="F883" s="7" t="s">
        <v>53</v>
      </c>
      <c r="G883" s="7" t="s">
        <v>54</v>
      </c>
      <c r="H883" s="7" t="s">
        <v>143</v>
      </c>
      <c r="I883" s="7" t="s">
        <v>147</v>
      </c>
      <c r="J883" s="8">
        <v>3.4309428000000004</v>
      </c>
      <c r="K883" s="8">
        <v>0.39181366775999998</v>
      </c>
      <c r="L883" s="8"/>
      <c r="M883" s="8"/>
      <c r="N883" s="8"/>
      <c r="O883" s="8"/>
      <c r="P883" s="8"/>
      <c r="Q883" t="s">
        <v>26</v>
      </c>
    </row>
    <row r="884" spans="1:17" hidden="1" x14ac:dyDescent="0.25">
      <c r="A884" s="7" t="s">
        <v>17</v>
      </c>
      <c r="B884" s="7" t="s">
        <v>18</v>
      </c>
      <c r="C884" s="7" t="s">
        <v>19</v>
      </c>
      <c r="D884" s="7"/>
      <c r="E884" s="7"/>
      <c r="F884" s="7" t="s">
        <v>55</v>
      </c>
      <c r="G884" s="7" t="s">
        <v>56</v>
      </c>
      <c r="H884" s="7" t="s">
        <v>143</v>
      </c>
      <c r="I884" s="7" t="s">
        <v>147</v>
      </c>
      <c r="J884" s="8">
        <v>1.2561827999999999</v>
      </c>
      <c r="K884" s="8">
        <v>0.14345607576</v>
      </c>
      <c r="L884" s="8"/>
      <c r="M884" s="8"/>
      <c r="N884" s="8"/>
      <c r="O884" s="8"/>
      <c r="P884" s="8"/>
      <c r="Q884" t="s">
        <v>26</v>
      </c>
    </row>
    <row r="885" spans="1:17" hidden="1" x14ac:dyDescent="0.25">
      <c r="A885" s="7" t="s">
        <v>17</v>
      </c>
      <c r="B885" s="7" t="s">
        <v>18</v>
      </c>
      <c r="C885" s="7" t="s">
        <v>19</v>
      </c>
      <c r="D885" s="7"/>
      <c r="E885" s="7"/>
      <c r="F885" s="7" t="s">
        <v>57</v>
      </c>
      <c r="G885" s="7" t="s">
        <v>58</v>
      </c>
      <c r="H885" s="7" t="s">
        <v>143</v>
      </c>
      <c r="I885" s="7" t="s">
        <v>147</v>
      </c>
      <c r="J885" s="8">
        <v>2.0132064000000001</v>
      </c>
      <c r="K885" s="8">
        <v>0.22990817088000001</v>
      </c>
      <c r="L885" s="8"/>
      <c r="M885" s="8"/>
      <c r="N885" s="8"/>
      <c r="O885" s="8"/>
      <c r="P885" s="8"/>
      <c r="Q885" t="s">
        <v>26</v>
      </c>
    </row>
    <row r="886" spans="1:17" hidden="1" x14ac:dyDescent="0.25">
      <c r="A886" s="7" t="s">
        <v>17</v>
      </c>
      <c r="B886" s="7" t="s">
        <v>18</v>
      </c>
      <c r="C886" s="7" t="s">
        <v>19</v>
      </c>
      <c r="D886" s="7" t="s">
        <v>20</v>
      </c>
      <c r="E886" s="7" t="s">
        <v>21</v>
      </c>
      <c r="F886" s="7" t="s">
        <v>59</v>
      </c>
      <c r="G886" s="7" t="s">
        <v>60</v>
      </c>
      <c r="H886" s="7" t="s">
        <v>143</v>
      </c>
      <c r="I886" s="7" t="s">
        <v>147</v>
      </c>
      <c r="J886" s="8">
        <v>0.32207160000000007</v>
      </c>
      <c r="K886" s="8">
        <v>3.6780576719999999E-2</v>
      </c>
      <c r="L886" s="8"/>
      <c r="M886" s="8"/>
      <c r="N886" s="8"/>
      <c r="O886" s="8"/>
      <c r="P886" s="8"/>
      <c r="Q886" t="s">
        <v>26</v>
      </c>
    </row>
    <row r="887" spans="1:17" hidden="1" x14ac:dyDescent="0.25">
      <c r="A887" s="7" t="s">
        <v>17</v>
      </c>
      <c r="B887" s="7" t="s">
        <v>18</v>
      </c>
      <c r="C887" s="7" t="s">
        <v>19</v>
      </c>
      <c r="D887" s="7" t="s">
        <v>20</v>
      </c>
      <c r="E887" s="7" t="s">
        <v>21</v>
      </c>
      <c r="F887" s="7" t="s">
        <v>61</v>
      </c>
      <c r="G887" s="7" t="s">
        <v>62</v>
      </c>
      <c r="H887" s="7" t="s">
        <v>143</v>
      </c>
      <c r="I887" s="7" t="s">
        <v>147</v>
      </c>
      <c r="J887" s="8">
        <v>0</v>
      </c>
      <c r="K887" s="8">
        <v>0</v>
      </c>
      <c r="L887" s="8"/>
      <c r="M887" s="8"/>
      <c r="N887" s="8"/>
      <c r="O887" s="8"/>
      <c r="P887" s="8"/>
      <c r="Q887" t="s">
        <v>26</v>
      </c>
    </row>
    <row r="888" spans="1:17" hidden="1" x14ac:dyDescent="0.25">
      <c r="A888" s="7" t="s">
        <v>17</v>
      </c>
      <c r="B888" s="7" t="s">
        <v>18</v>
      </c>
      <c r="C888" s="7" t="s">
        <v>19</v>
      </c>
      <c r="D888" s="7"/>
      <c r="E888" s="7"/>
      <c r="F888" s="7" t="s">
        <v>63</v>
      </c>
      <c r="G888" s="7" t="s">
        <v>64</v>
      </c>
      <c r="H888" s="7" t="s">
        <v>143</v>
      </c>
      <c r="I888" s="7" t="s">
        <v>147</v>
      </c>
      <c r="J888" s="8">
        <v>7.6882944000000011</v>
      </c>
      <c r="K888" s="8">
        <v>0.87800322048000001</v>
      </c>
      <c r="L888" s="8"/>
      <c r="M888" s="8"/>
      <c r="N888" s="8"/>
      <c r="O888" s="8"/>
      <c r="P888" s="8"/>
      <c r="Q888" t="s">
        <v>26</v>
      </c>
    </row>
    <row r="889" spans="1:17" hidden="1" x14ac:dyDescent="0.25">
      <c r="A889" s="7" t="s">
        <v>17</v>
      </c>
      <c r="B889" s="7" t="s">
        <v>18</v>
      </c>
      <c r="C889" s="7" t="s">
        <v>19</v>
      </c>
      <c r="D889" s="7" t="s">
        <v>20</v>
      </c>
      <c r="E889" s="7" t="s">
        <v>21</v>
      </c>
      <c r="F889" s="7" t="s">
        <v>65</v>
      </c>
      <c r="G889" s="7" t="s">
        <v>66</v>
      </c>
      <c r="H889" s="7" t="s">
        <v>143</v>
      </c>
      <c r="I889" s="7" t="s">
        <v>147</v>
      </c>
      <c r="J889" s="8">
        <v>0</v>
      </c>
      <c r="K889" s="8">
        <v>0</v>
      </c>
      <c r="L889" s="8"/>
      <c r="M889" s="8"/>
      <c r="N889" s="8"/>
      <c r="O889" s="8"/>
      <c r="P889" s="8"/>
      <c r="Q889" t="s">
        <v>26</v>
      </c>
    </row>
    <row r="890" spans="1:17" hidden="1" x14ac:dyDescent="0.25">
      <c r="A890" s="7" t="s">
        <v>17</v>
      </c>
      <c r="B890" s="7" t="s">
        <v>18</v>
      </c>
      <c r="C890" s="7" t="s">
        <v>19</v>
      </c>
      <c r="D890" s="7"/>
      <c r="E890" s="7"/>
      <c r="F890" s="7" t="s">
        <v>67</v>
      </c>
      <c r="G890" s="7" t="s">
        <v>68</v>
      </c>
      <c r="H890" s="7" t="s">
        <v>143</v>
      </c>
      <c r="I890" s="7" t="s">
        <v>147</v>
      </c>
      <c r="J890" s="8">
        <v>12.368170800000001</v>
      </c>
      <c r="K890" s="8">
        <v>1.41244510536</v>
      </c>
      <c r="L890" s="8"/>
      <c r="M890" s="8"/>
      <c r="N890" s="8"/>
      <c r="O890" s="8"/>
      <c r="P890" s="8"/>
      <c r="Q890" t="s">
        <v>26</v>
      </c>
    </row>
    <row r="891" spans="1:17" hidden="1" x14ac:dyDescent="0.25">
      <c r="A891" s="7" t="s">
        <v>17</v>
      </c>
      <c r="B891" s="7" t="s">
        <v>18</v>
      </c>
      <c r="C891" s="7" t="s">
        <v>19</v>
      </c>
      <c r="D891" s="7"/>
      <c r="E891" s="7"/>
      <c r="F891" s="7" t="s">
        <v>69</v>
      </c>
      <c r="G891" s="7" t="s">
        <v>70</v>
      </c>
      <c r="H891" s="7" t="s">
        <v>143</v>
      </c>
      <c r="I891" s="7" t="s">
        <v>147</v>
      </c>
      <c r="J891" s="8">
        <v>1.0967004000000002</v>
      </c>
      <c r="K891" s="8">
        <v>0.12524318568000001</v>
      </c>
      <c r="L891" s="8"/>
      <c r="M891" s="8"/>
      <c r="N891" s="8"/>
      <c r="O891" s="8"/>
      <c r="P891" s="8"/>
      <c r="Q891" t="s">
        <v>26</v>
      </c>
    </row>
    <row r="892" spans="1:17" hidden="1" x14ac:dyDescent="0.25">
      <c r="A892" s="7" t="s">
        <v>17</v>
      </c>
      <c r="B892" s="7" t="s">
        <v>18</v>
      </c>
      <c r="C892" s="7" t="s">
        <v>19</v>
      </c>
      <c r="D892" s="7"/>
      <c r="E892" s="7"/>
      <c r="F892" s="7" t="s">
        <v>71</v>
      </c>
      <c r="G892" s="7" t="s">
        <v>72</v>
      </c>
      <c r="H892" s="7" t="s">
        <v>143</v>
      </c>
      <c r="I892" s="7" t="s">
        <v>147</v>
      </c>
      <c r="J892" s="8">
        <v>0.67003320000000011</v>
      </c>
      <c r="K892" s="8">
        <v>7.6517791439999996E-2</v>
      </c>
      <c r="L892" s="8"/>
      <c r="M892" s="8"/>
      <c r="N892" s="8"/>
      <c r="O892" s="8"/>
      <c r="P892" s="8"/>
      <c r="Q892" t="s">
        <v>26</v>
      </c>
    </row>
    <row r="893" spans="1:17" hidden="1" x14ac:dyDescent="0.25">
      <c r="A893" s="7" t="s">
        <v>17</v>
      </c>
      <c r="B893" s="7" t="s">
        <v>18</v>
      </c>
      <c r="C893" s="7" t="s">
        <v>19</v>
      </c>
      <c r="D893" s="7" t="s">
        <v>20</v>
      </c>
      <c r="E893" s="7" t="s">
        <v>21</v>
      </c>
      <c r="F893" s="7" t="s">
        <v>73</v>
      </c>
      <c r="G893" s="7" t="s">
        <v>74</v>
      </c>
      <c r="H893" s="7" t="s">
        <v>143</v>
      </c>
      <c r="I893" s="7" t="s">
        <v>147</v>
      </c>
      <c r="J893" s="8">
        <v>2.4502296000000001</v>
      </c>
      <c r="K893" s="8">
        <v>0.27981622032000003</v>
      </c>
      <c r="L893" s="8"/>
      <c r="M893" s="8"/>
      <c r="N893" s="8"/>
      <c r="O893" s="8"/>
      <c r="P893" s="8"/>
      <c r="Q893" t="s">
        <v>26</v>
      </c>
    </row>
    <row r="894" spans="1:17" hidden="1" x14ac:dyDescent="0.25">
      <c r="A894" s="7" t="s">
        <v>17</v>
      </c>
      <c r="B894" s="7" t="s">
        <v>18</v>
      </c>
      <c r="C894" s="7" t="s">
        <v>19</v>
      </c>
      <c r="D894" s="7" t="s">
        <v>20</v>
      </c>
      <c r="E894" s="7" t="s">
        <v>21</v>
      </c>
      <c r="F894" s="7" t="s">
        <v>75</v>
      </c>
      <c r="G894" s="7" t="s">
        <v>76</v>
      </c>
      <c r="H894" s="7" t="s">
        <v>143</v>
      </c>
      <c r="I894" s="7" t="s">
        <v>147</v>
      </c>
      <c r="J894" s="8">
        <v>0</v>
      </c>
      <c r="K894" s="8">
        <v>0</v>
      </c>
      <c r="L894" s="8"/>
      <c r="M894" s="8"/>
      <c r="N894" s="8"/>
      <c r="O894" s="8"/>
      <c r="P894" s="8"/>
      <c r="Q894" t="s">
        <v>26</v>
      </c>
    </row>
    <row r="895" spans="1:17" hidden="1" x14ac:dyDescent="0.25">
      <c r="A895" s="7" t="s">
        <v>17</v>
      </c>
      <c r="B895" s="7" t="s">
        <v>18</v>
      </c>
      <c r="C895" s="7" t="s">
        <v>19</v>
      </c>
      <c r="D895" s="7"/>
      <c r="E895" s="7"/>
      <c r="F895" s="7" t="s">
        <v>77</v>
      </c>
      <c r="G895" s="7" t="s">
        <v>78</v>
      </c>
      <c r="H895" s="7" t="s">
        <v>143</v>
      </c>
      <c r="I895" s="7" t="s">
        <v>147</v>
      </c>
      <c r="J895" s="8">
        <v>0.86161920000000014</v>
      </c>
      <c r="K895" s="8">
        <v>9.839691264E-2</v>
      </c>
      <c r="L895" s="8"/>
      <c r="M895" s="8"/>
      <c r="N895" s="8"/>
      <c r="O895" s="8"/>
      <c r="P895" s="8"/>
      <c r="Q895" t="s">
        <v>26</v>
      </c>
    </row>
    <row r="896" spans="1:17" hidden="1" x14ac:dyDescent="0.25">
      <c r="A896" s="7" t="s">
        <v>17</v>
      </c>
      <c r="B896" s="7" t="s">
        <v>18</v>
      </c>
      <c r="C896" s="7" t="s">
        <v>19</v>
      </c>
      <c r="D896" s="7"/>
      <c r="E896" s="7"/>
      <c r="F896" s="7" t="s">
        <v>79</v>
      </c>
      <c r="G896" s="7" t="s">
        <v>80</v>
      </c>
      <c r="H896" s="7" t="s">
        <v>143</v>
      </c>
      <c r="I896" s="7" t="s">
        <v>147</v>
      </c>
      <c r="J896" s="8">
        <v>0.61307520000000004</v>
      </c>
      <c r="K896" s="8">
        <v>7.0013187840000005E-2</v>
      </c>
      <c r="L896" s="8"/>
      <c r="M896" s="8"/>
      <c r="N896" s="8"/>
      <c r="O896" s="8"/>
      <c r="P896" s="8"/>
      <c r="Q896" t="s">
        <v>26</v>
      </c>
    </row>
    <row r="897" spans="1:17" hidden="1" x14ac:dyDescent="0.25">
      <c r="A897" s="7" t="s">
        <v>17</v>
      </c>
      <c r="B897" s="7" t="s">
        <v>18</v>
      </c>
      <c r="C897" s="7" t="s">
        <v>19</v>
      </c>
      <c r="D897" s="7"/>
      <c r="E897" s="7"/>
      <c r="F897" s="7" t="s">
        <v>81</v>
      </c>
      <c r="G897" s="7" t="s">
        <v>82</v>
      </c>
      <c r="H897" s="7" t="s">
        <v>143</v>
      </c>
      <c r="I897" s="7" t="s">
        <v>147</v>
      </c>
      <c r="J897" s="8">
        <v>0.10356</v>
      </c>
      <c r="K897" s="8">
        <v>1.1826551999999999E-2</v>
      </c>
      <c r="L897" s="8"/>
      <c r="M897" s="8"/>
      <c r="N897" s="8"/>
      <c r="O897" s="8"/>
      <c r="P897" s="8"/>
      <c r="Q897" t="s">
        <v>26</v>
      </c>
    </row>
    <row r="898" spans="1:17" hidden="1" x14ac:dyDescent="0.25">
      <c r="A898" s="7" t="s">
        <v>17</v>
      </c>
      <c r="B898" s="7" t="s">
        <v>18</v>
      </c>
      <c r="C898" s="7" t="s">
        <v>19</v>
      </c>
      <c r="D898" s="7"/>
      <c r="E898" s="7"/>
      <c r="F898" s="7" t="s">
        <v>83</v>
      </c>
      <c r="G898" s="7" t="s">
        <v>84</v>
      </c>
      <c r="H898" s="7" t="s">
        <v>143</v>
      </c>
      <c r="I898" s="7" t="s">
        <v>147</v>
      </c>
      <c r="J898" s="8">
        <v>0</v>
      </c>
      <c r="K898" s="8">
        <v>0</v>
      </c>
      <c r="L898" s="8"/>
      <c r="M898" s="8"/>
      <c r="N898" s="8"/>
      <c r="O898" s="8"/>
      <c r="P898" s="8"/>
      <c r="Q898" t="s">
        <v>26</v>
      </c>
    </row>
    <row r="899" spans="1:17" hidden="1" x14ac:dyDescent="0.25">
      <c r="A899" s="7" t="s">
        <v>17</v>
      </c>
      <c r="B899" s="7" t="s">
        <v>18</v>
      </c>
      <c r="C899" s="7" t="s">
        <v>19</v>
      </c>
      <c r="D899" s="7" t="s">
        <v>20</v>
      </c>
      <c r="E899" s="7" t="s">
        <v>21</v>
      </c>
      <c r="F899" s="7" t="s">
        <v>85</v>
      </c>
      <c r="G899" s="7" t="s">
        <v>86</v>
      </c>
      <c r="H899" s="7" t="s">
        <v>143</v>
      </c>
      <c r="I899" s="7" t="s">
        <v>147</v>
      </c>
      <c r="J899" s="8">
        <v>0.43805880000000003</v>
      </c>
      <c r="K899" s="8">
        <v>5.0026314959999998E-2</v>
      </c>
      <c r="L899" s="8"/>
      <c r="M899" s="8"/>
      <c r="N899" s="8"/>
      <c r="O899" s="8"/>
      <c r="P899" s="8"/>
      <c r="Q899" t="s">
        <v>26</v>
      </c>
    </row>
    <row r="900" spans="1:17" hidden="1" x14ac:dyDescent="0.25">
      <c r="A900" s="7" t="s">
        <v>17</v>
      </c>
      <c r="B900" s="7" t="s">
        <v>18</v>
      </c>
      <c r="C900" s="7" t="s">
        <v>19</v>
      </c>
      <c r="D900" s="7"/>
      <c r="E900" s="7"/>
      <c r="F900" s="7" t="s">
        <v>87</v>
      </c>
      <c r="G900" s="7" t="s">
        <v>88</v>
      </c>
      <c r="H900" s="7" t="s">
        <v>143</v>
      </c>
      <c r="I900" s="7" t="s">
        <v>147</v>
      </c>
      <c r="J900" s="8">
        <v>3.9725616000000006</v>
      </c>
      <c r="K900" s="8">
        <v>0.45366653472000001</v>
      </c>
      <c r="L900" s="8"/>
      <c r="M900" s="8"/>
      <c r="N900" s="8"/>
      <c r="O900" s="8"/>
      <c r="P900" s="8"/>
      <c r="Q900" t="s">
        <v>26</v>
      </c>
    </row>
    <row r="901" spans="1:17" hidden="1" x14ac:dyDescent="0.25">
      <c r="A901" s="7" t="s">
        <v>17</v>
      </c>
      <c r="B901" s="7" t="s">
        <v>18</v>
      </c>
      <c r="C901" s="7" t="s">
        <v>19</v>
      </c>
      <c r="D901" s="7"/>
      <c r="E901" s="7"/>
      <c r="F901" s="7" t="s">
        <v>89</v>
      </c>
      <c r="G901" s="7" t="s">
        <v>90</v>
      </c>
      <c r="H901" s="7" t="s">
        <v>143</v>
      </c>
      <c r="I901" s="7" t="s">
        <v>147</v>
      </c>
      <c r="J901" s="8">
        <v>1.3069272000000001</v>
      </c>
      <c r="K901" s="8">
        <v>0.14925108624</v>
      </c>
      <c r="L901" s="8"/>
      <c r="M901" s="8"/>
      <c r="N901" s="8"/>
      <c r="O901" s="8"/>
      <c r="P901" s="8"/>
      <c r="Q901" t="s">
        <v>26</v>
      </c>
    </row>
    <row r="902" spans="1:17" hidden="1" x14ac:dyDescent="0.25">
      <c r="A902" s="7" t="s">
        <v>17</v>
      </c>
      <c r="B902" s="7" t="s">
        <v>18</v>
      </c>
      <c r="C902" s="7" t="s">
        <v>19</v>
      </c>
      <c r="D902" s="7"/>
      <c r="E902" s="7"/>
      <c r="F902" s="7" t="s">
        <v>91</v>
      </c>
      <c r="G902" s="7" t="s">
        <v>92</v>
      </c>
      <c r="H902" s="7" t="s">
        <v>143</v>
      </c>
      <c r="I902" s="7" t="s">
        <v>147</v>
      </c>
      <c r="J902" s="8">
        <v>0.12841440000000001</v>
      </c>
      <c r="K902" s="8">
        <v>1.4664924479999999E-2</v>
      </c>
      <c r="L902" s="8"/>
      <c r="M902" s="8"/>
      <c r="N902" s="8"/>
      <c r="O902" s="8"/>
      <c r="P902" s="8"/>
      <c r="Q902" t="s">
        <v>26</v>
      </c>
    </row>
    <row r="903" spans="1:17" hidden="1" x14ac:dyDescent="0.25">
      <c r="A903" s="7" t="s">
        <v>17</v>
      </c>
      <c r="B903" s="7" t="s">
        <v>18</v>
      </c>
      <c r="C903" s="7" t="s">
        <v>19</v>
      </c>
      <c r="D903" s="7"/>
      <c r="E903" s="7"/>
      <c r="F903" s="7" t="s">
        <v>93</v>
      </c>
      <c r="G903" s="7" t="s">
        <v>94</v>
      </c>
      <c r="H903" s="7" t="s">
        <v>143</v>
      </c>
      <c r="I903" s="7" t="s">
        <v>147</v>
      </c>
      <c r="J903" s="8">
        <v>0.57786480000000007</v>
      </c>
      <c r="K903" s="8">
        <v>6.5992160159999994E-2</v>
      </c>
      <c r="L903" s="8"/>
      <c r="M903" s="8"/>
      <c r="N903" s="8"/>
      <c r="O903" s="8"/>
      <c r="P903" s="8"/>
      <c r="Q903" t="s">
        <v>26</v>
      </c>
    </row>
    <row r="904" spans="1:17" hidden="1" x14ac:dyDescent="0.25">
      <c r="A904" s="7" t="s">
        <v>17</v>
      </c>
      <c r="B904" s="7" t="s">
        <v>18</v>
      </c>
      <c r="C904" s="7" t="s">
        <v>19</v>
      </c>
      <c r="D904" s="7"/>
      <c r="E904" s="7"/>
      <c r="F904" s="7" t="s">
        <v>95</v>
      </c>
      <c r="G904" s="7" t="s">
        <v>96</v>
      </c>
      <c r="H904" s="7" t="s">
        <v>143</v>
      </c>
      <c r="I904" s="7" t="s">
        <v>147</v>
      </c>
      <c r="J904" s="8">
        <v>0.91754160000000007</v>
      </c>
      <c r="K904" s="8">
        <v>0.10478325072</v>
      </c>
      <c r="L904" s="8"/>
      <c r="M904" s="8"/>
      <c r="N904" s="8"/>
      <c r="O904" s="8"/>
      <c r="P904" s="8"/>
      <c r="Q904" t="s">
        <v>26</v>
      </c>
    </row>
    <row r="905" spans="1:17" hidden="1" x14ac:dyDescent="0.25">
      <c r="A905" s="7" t="s">
        <v>17</v>
      </c>
      <c r="B905" s="7" t="s">
        <v>18</v>
      </c>
      <c r="C905" s="7" t="s">
        <v>19</v>
      </c>
      <c r="D905" s="7"/>
      <c r="E905" s="7"/>
      <c r="F905" s="7" t="s">
        <v>97</v>
      </c>
      <c r="G905" s="7" t="s">
        <v>98</v>
      </c>
      <c r="H905" s="7" t="s">
        <v>143</v>
      </c>
      <c r="I905" s="7" t="s">
        <v>147</v>
      </c>
      <c r="J905" s="8">
        <v>1.3990956000000001</v>
      </c>
      <c r="K905" s="8">
        <v>0.15977671752</v>
      </c>
      <c r="L905" s="8"/>
      <c r="M905" s="8"/>
      <c r="N905" s="8"/>
      <c r="O905" s="8"/>
      <c r="P905" s="8"/>
      <c r="Q905" t="s">
        <v>26</v>
      </c>
    </row>
    <row r="906" spans="1:17" hidden="1" x14ac:dyDescent="0.25">
      <c r="A906" s="7" t="s">
        <v>17</v>
      </c>
      <c r="B906" s="7" t="s">
        <v>18</v>
      </c>
      <c r="C906" s="7" t="s">
        <v>19</v>
      </c>
      <c r="D906" s="7"/>
      <c r="E906" s="7"/>
      <c r="F906" s="7" t="s">
        <v>99</v>
      </c>
      <c r="G906" s="7" t="s">
        <v>100</v>
      </c>
      <c r="H906" s="7" t="s">
        <v>143</v>
      </c>
      <c r="I906" s="7" t="s">
        <v>147</v>
      </c>
      <c r="J906" s="8">
        <v>88.746777600000001</v>
      </c>
      <c r="K906" s="8">
        <v>10.134882001919999</v>
      </c>
      <c r="L906" s="8"/>
      <c r="M906" s="8"/>
      <c r="N906" s="8"/>
      <c r="O906" s="8"/>
      <c r="P906" s="8"/>
      <c r="Q906" t="s">
        <v>26</v>
      </c>
    </row>
    <row r="907" spans="1:17" hidden="1" x14ac:dyDescent="0.25">
      <c r="A907" s="7" t="s">
        <v>17</v>
      </c>
      <c r="B907" s="7" t="s">
        <v>18</v>
      </c>
      <c r="C907" s="7" t="s">
        <v>19</v>
      </c>
      <c r="D907" s="7" t="s">
        <v>20</v>
      </c>
      <c r="E907" s="7" t="s">
        <v>21</v>
      </c>
      <c r="F907" s="7" t="s">
        <v>101</v>
      </c>
      <c r="G907" s="7" t="s">
        <v>21</v>
      </c>
      <c r="H907" s="7" t="s">
        <v>143</v>
      </c>
      <c r="I907" s="7" t="s">
        <v>147</v>
      </c>
      <c r="J907" s="8">
        <v>0</v>
      </c>
      <c r="K907" s="8">
        <v>0</v>
      </c>
      <c r="L907" s="8"/>
      <c r="M907" s="8"/>
      <c r="N907" s="8"/>
      <c r="O907" s="8"/>
      <c r="P907" s="8"/>
      <c r="Q907" t="s">
        <v>26</v>
      </c>
    </row>
    <row r="908" spans="1:17" hidden="1" x14ac:dyDescent="0.25">
      <c r="A908" s="7" t="s">
        <v>17</v>
      </c>
      <c r="B908" s="7" t="s">
        <v>18</v>
      </c>
      <c r="C908" s="7" t="s">
        <v>19</v>
      </c>
      <c r="D908" s="7"/>
      <c r="E908" s="7"/>
      <c r="F908" s="7" t="s">
        <v>102</v>
      </c>
      <c r="G908" s="7" t="s">
        <v>103</v>
      </c>
      <c r="H908" s="7" t="s">
        <v>143</v>
      </c>
      <c r="I908" s="7" t="s">
        <v>147</v>
      </c>
      <c r="J908" s="8">
        <v>0.59857680000000002</v>
      </c>
      <c r="K908" s="8">
        <v>6.8357470559999994E-2</v>
      </c>
      <c r="L908" s="8"/>
      <c r="M908" s="8"/>
      <c r="N908" s="8"/>
      <c r="O908" s="8"/>
      <c r="P908" s="8"/>
      <c r="Q908" t="s">
        <v>26</v>
      </c>
    </row>
    <row r="909" spans="1:17" hidden="1" x14ac:dyDescent="0.25">
      <c r="A909" s="7" t="s">
        <v>17</v>
      </c>
      <c r="B909" s="7" t="s">
        <v>18</v>
      </c>
      <c r="C909" s="7" t="s">
        <v>19</v>
      </c>
      <c r="D909" s="7" t="s">
        <v>20</v>
      </c>
      <c r="E909" s="7" t="s">
        <v>21</v>
      </c>
      <c r="F909" s="7" t="s">
        <v>104</v>
      </c>
      <c r="G909" s="7" t="s">
        <v>105</v>
      </c>
      <c r="H909" s="7" t="s">
        <v>143</v>
      </c>
      <c r="I909" s="7" t="s">
        <v>147</v>
      </c>
      <c r="J909" s="8">
        <v>2.0774136000000003</v>
      </c>
      <c r="K909" s="8">
        <v>0.23724063311999999</v>
      </c>
      <c r="L909" s="8"/>
      <c r="M909" s="8"/>
      <c r="N909" s="8"/>
      <c r="O909" s="8"/>
      <c r="P909" s="8"/>
      <c r="Q909" t="s">
        <v>26</v>
      </c>
    </row>
    <row r="910" spans="1:17" hidden="1" x14ac:dyDescent="0.25">
      <c r="A910" s="7" t="s">
        <v>17</v>
      </c>
      <c r="B910" s="7" t="s">
        <v>18</v>
      </c>
      <c r="C910" s="7" t="s">
        <v>19</v>
      </c>
      <c r="D910" s="7"/>
      <c r="E910" s="7"/>
      <c r="F910" s="7" t="s">
        <v>106</v>
      </c>
      <c r="G910" s="7" t="s">
        <v>107</v>
      </c>
      <c r="H910" s="7" t="s">
        <v>143</v>
      </c>
      <c r="I910" s="7" t="s">
        <v>147</v>
      </c>
      <c r="J910" s="8">
        <v>2.8737900000000005</v>
      </c>
      <c r="K910" s="8">
        <v>0.32818681799999999</v>
      </c>
      <c r="L910" s="8"/>
      <c r="M910" s="8"/>
      <c r="N910" s="8"/>
      <c r="O910" s="8"/>
      <c r="P910" s="8"/>
      <c r="Q910" t="s">
        <v>26</v>
      </c>
    </row>
    <row r="911" spans="1:17" hidden="1" x14ac:dyDescent="0.25">
      <c r="A911" s="7" t="s">
        <v>17</v>
      </c>
      <c r="B911" s="7" t="s">
        <v>18</v>
      </c>
      <c r="C911" s="7" t="s">
        <v>19</v>
      </c>
      <c r="D911" s="7"/>
      <c r="E911" s="7"/>
      <c r="F911" s="7" t="s">
        <v>108</v>
      </c>
      <c r="G911" s="7" t="s">
        <v>109</v>
      </c>
      <c r="H911" s="7" t="s">
        <v>143</v>
      </c>
      <c r="I911" s="7" t="s">
        <v>147</v>
      </c>
      <c r="J911" s="8">
        <v>4.9708800000000004E-2</v>
      </c>
      <c r="K911" s="8">
        <v>5.6767449599999997E-3</v>
      </c>
      <c r="L911" s="8"/>
      <c r="M911" s="8"/>
      <c r="N911" s="8"/>
      <c r="O911" s="8"/>
      <c r="P911" s="8"/>
      <c r="Q911" t="s">
        <v>26</v>
      </c>
    </row>
    <row r="912" spans="1:17" hidden="1" x14ac:dyDescent="0.25">
      <c r="A912" s="7" t="s">
        <v>17</v>
      </c>
      <c r="B912" s="7" t="s">
        <v>18</v>
      </c>
      <c r="C912" s="7" t="s">
        <v>19</v>
      </c>
      <c r="D912" s="7"/>
      <c r="E912" s="7"/>
      <c r="F912" s="7" t="s">
        <v>110</v>
      </c>
      <c r="G912" s="7" t="s">
        <v>111</v>
      </c>
      <c r="H912" s="7" t="s">
        <v>143</v>
      </c>
      <c r="I912" s="7" t="s">
        <v>147</v>
      </c>
      <c r="J912" s="8">
        <v>5.5456380000000012</v>
      </c>
      <c r="K912" s="8">
        <v>0.63331185960000003</v>
      </c>
      <c r="L912" s="8"/>
      <c r="M912" s="8"/>
      <c r="N912" s="8"/>
      <c r="O912" s="8"/>
      <c r="P912" s="8"/>
      <c r="Q912" t="s">
        <v>26</v>
      </c>
    </row>
    <row r="913" spans="1:17" hidden="1" x14ac:dyDescent="0.25">
      <c r="A913" s="7" t="s">
        <v>17</v>
      </c>
      <c r="B913" s="7" t="s">
        <v>18</v>
      </c>
      <c r="C913" s="7" t="s">
        <v>19</v>
      </c>
      <c r="D913" s="7" t="s">
        <v>20</v>
      </c>
      <c r="E913" s="7" t="s">
        <v>21</v>
      </c>
      <c r="F913" s="7" t="s">
        <v>112</v>
      </c>
      <c r="G913" s="7" t="s">
        <v>113</v>
      </c>
      <c r="H913" s="7" t="s">
        <v>143</v>
      </c>
      <c r="I913" s="7" t="s">
        <v>147</v>
      </c>
      <c r="J913" s="8">
        <v>3.9062832000000003</v>
      </c>
      <c r="K913" s="8">
        <v>0.44609754143999997</v>
      </c>
      <c r="L913" s="8"/>
      <c r="M913" s="8"/>
      <c r="N913" s="8"/>
      <c r="O913" s="8"/>
      <c r="P913" s="8"/>
      <c r="Q913" t="s">
        <v>26</v>
      </c>
    </row>
    <row r="914" spans="1:17" hidden="1" x14ac:dyDescent="0.25">
      <c r="A914" s="7" t="s">
        <v>17</v>
      </c>
      <c r="B914" s="7" t="s">
        <v>18</v>
      </c>
      <c r="C914" s="7" t="s">
        <v>19</v>
      </c>
      <c r="D914" s="7" t="s">
        <v>20</v>
      </c>
      <c r="E914" s="7" t="s">
        <v>21</v>
      </c>
      <c r="F914" s="7" t="s">
        <v>114</v>
      </c>
      <c r="G914" s="7" t="s">
        <v>115</v>
      </c>
      <c r="H914" s="7" t="s">
        <v>143</v>
      </c>
      <c r="I914" s="7" t="s">
        <v>147</v>
      </c>
      <c r="J914" s="8">
        <v>0</v>
      </c>
      <c r="K914" s="8">
        <v>0</v>
      </c>
      <c r="L914" s="8"/>
      <c r="M914" s="8"/>
      <c r="N914" s="8"/>
      <c r="O914" s="8"/>
      <c r="P914" s="8"/>
      <c r="Q914" t="s">
        <v>26</v>
      </c>
    </row>
    <row r="915" spans="1:17" hidden="1" x14ac:dyDescent="0.25">
      <c r="A915" s="7" t="s">
        <v>17</v>
      </c>
      <c r="B915" s="7" t="s">
        <v>18</v>
      </c>
      <c r="C915" s="7" t="s">
        <v>19</v>
      </c>
      <c r="D915" s="7" t="s">
        <v>20</v>
      </c>
      <c r="E915" s="7" t="s">
        <v>21</v>
      </c>
      <c r="F915" s="7" t="s">
        <v>116</v>
      </c>
      <c r="G915" s="7" t="s">
        <v>117</v>
      </c>
      <c r="H915" s="7" t="s">
        <v>143</v>
      </c>
      <c r="I915" s="7" t="s">
        <v>147</v>
      </c>
      <c r="J915" s="8">
        <v>5.0071260000000004</v>
      </c>
      <c r="K915" s="8">
        <v>0.57181378919999992</v>
      </c>
      <c r="L915" s="8"/>
      <c r="M915" s="8"/>
      <c r="N915" s="8"/>
      <c r="O915" s="8"/>
      <c r="P915" s="8"/>
      <c r="Q915" t="s">
        <v>26</v>
      </c>
    </row>
    <row r="916" spans="1:17" hidden="1" x14ac:dyDescent="0.25">
      <c r="A916" s="7" t="s">
        <v>17</v>
      </c>
      <c r="B916" s="7" t="s">
        <v>18</v>
      </c>
      <c r="C916" s="7" t="s">
        <v>19</v>
      </c>
      <c r="D916" s="7" t="s">
        <v>20</v>
      </c>
      <c r="E916" s="7" t="s">
        <v>21</v>
      </c>
      <c r="F916" s="7" t="s">
        <v>118</v>
      </c>
      <c r="G916" s="7" t="s">
        <v>119</v>
      </c>
      <c r="H916" s="7" t="s">
        <v>143</v>
      </c>
      <c r="I916" s="7" t="s">
        <v>147</v>
      </c>
      <c r="J916" s="8">
        <v>0.19158600000000001</v>
      </c>
      <c r="K916" s="8">
        <v>2.1879121200000001E-2</v>
      </c>
      <c r="L916" s="8"/>
      <c r="M916" s="8"/>
      <c r="N916" s="8"/>
      <c r="O916" s="8"/>
      <c r="P916" s="8"/>
      <c r="Q916" t="s">
        <v>26</v>
      </c>
    </row>
    <row r="917" spans="1:17" hidden="1" x14ac:dyDescent="0.25">
      <c r="A917" s="7" t="s">
        <v>17</v>
      </c>
      <c r="B917" s="7" t="s">
        <v>18</v>
      </c>
      <c r="C917" s="7" t="s">
        <v>19</v>
      </c>
      <c r="D917" s="7" t="s">
        <v>20</v>
      </c>
      <c r="E917" s="7" t="s">
        <v>21</v>
      </c>
      <c r="F917" s="7" t="s">
        <v>120</v>
      </c>
      <c r="G917" s="7" t="s">
        <v>121</v>
      </c>
      <c r="H917" s="7" t="s">
        <v>143</v>
      </c>
      <c r="I917" s="7" t="s">
        <v>147</v>
      </c>
      <c r="J917" s="8">
        <v>0</v>
      </c>
      <c r="K917" s="8">
        <v>0</v>
      </c>
      <c r="L917" s="8"/>
      <c r="M917" s="8"/>
      <c r="N917" s="8"/>
      <c r="O917" s="8"/>
      <c r="P917" s="8"/>
      <c r="Q917" t="s">
        <v>26</v>
      </c>
    </row>
    <row r="918" spans="1:17" hidden="1" x14ac:dyDescent="0.25">
      <c r="A918" s="7" t="s">
        <v>17</v>
      </c>
      <c r="B918" s="7" t="s">
        <v>18</v>
      </c>
      <c r="C918" s="7" t="s">
        <v>19</v>
      </c>
      <c r="D918" s="7"/>
      <c r="E918" s="7"/>
      <c r="F918" s="7" t="s">
        <v>122</v>
      </c>
      <c r="G918" s="7" t="s">
        <v>123</v>
      </c>
      <c r="H918" s="7" t="s">
        <v>143</v>
      </c>
      <c r="I918" s="7" t="s">
        <v>147</v>
      </c>
      <c r="J918" s="8">
        <v>4.1382576000000002</v>
      </c>
      <c r="K918" s="8">
        <v>0.47258901792000002</v>
      </c>
      <c r="L918" s="8"/>
      <c r="M918" s="8"/>
      <c r="N918" s="8"/>
      <c r="O918" s="8"/>
      <c r="P918" s="8"/>
      <c r="Q918" t="s">
        <v>26</v>
      </c>
    </row>
    <row r="919" spans="1:17" hidden="1" x14ac:dyDescent="0.25">
      <c r="A919" s="7" t="s">
        <v>17</v>
      </c>
      <c r="B919" s="7" t="s">
        <v>18</v>
      </c>
      <c r="C919" s="7" t="s">
        <v>19</v>
      </c>
      <c r="D919" s="7"/>
      <c r="E919" s="7"/>
      <c r="F919" s="7" t="s">
        <v>124</v>
      </c>
      <c r="G919" s="7" t="s">
        <v>125</v>
      </c>
      <c r="H919" s="7" t="s">
        <v>143</v>
      </c>
      <c r="I919" s="7" t="s">
        <v>147</v>
      </c>
      <c r="J919" s="8">
        <v>2.4823332000000002</v>
      </c>
      <c r="K919" s="8">
        <v>0.28348245143999995</v>
      </c>
      <c r="L919" s="8"/>
      <c r="M919" s="8"/>
      <c r="N919" s="8"/>
      <c r="O919" s="8"/>
      <c r="P919" s="8"/>
      <c r="Q919" t="s">
        <v>26</v>
      </c>
    </row>
    <row r="920" spans="1:17" hidden="1" x14ac:dyDescent="0.25">
      <c r="A920" s="7" t="s">
        <v>17</v>
      </c>
      <c r="B920" s="7" t="s">
        <v>18</v>
      </c>
      <c r="C920" s="7" t="s">
        <v>19</v>
      </c>
      <c r="D920" s="7" t="s">
        <v>20</v>
      </c>
      <c r="E920" s="7" t="s">
        <v>21</v>
      </c>
      <c r="F920" s="7" t="s">
        <v>22</v>
      </c>
      <c r="G920" s="7" t="s">
        <v>23</v>
      </c>
      <c r="H920" s="7" t="s">
        <v>143</v>
      </c>
      <c r="I920" s="7" t="s">
        <v>148</v>
      </c>
      <c r="J920" s="8">
        <v>0.24191573333333333</v>
      </c>
      <c r="K920" s="8">
        <v>5.3632718080000003E-2</v>
      </c>
      <c r="L920" s="8"/>
      <c r="M920" s="8"/>
      <c r="N920" s="8"/>
      <c r="O920" s="8"/>
      <c r="P920" s="8"/>
      <c r="Q920" t="s">
        <v>26</v>
      </c>
    </row>
    <row r="921" spans="1:17" hidden="1" x14ac:dyDescent="0.25">
      <c r="A921" s="7" t="s">
        <v>17</v>
      </c>
      <c r="B921" s="7" t="s">
        <v>18</v>
      </c>
      <c r="C921" s="7" t="s">
        <v>19</v>
      </c>
      <c r="D921" s="7"/>
      <c r="E921" s="7"/>
      <c r="F921" s="7" t="s">
        <v>27</v>
      </c>
      <c r="G921" s="7" t="s">
        <v>28</v>
      </c>
      <c r="H921" s="7" t="s">
        <v>143</v>
      </c>
      <c r="I921" s="7" t="s">
        <v>148</v>
      </c>
      <c r="J921" s="8">
        <v>18.559545519347665</v>
      </c>
      <c r="K921" s="8">
        <v>4.1146512416393781</v>
      </c>
      <c r="L921" s="8"/>
      <c r="M921" s="8"/>
      <c r="N921" s="8"/>
      <c r="O921" s="8"/>
      <c r="P921" s="8"/>
      <c r="Q921" t="s">
        <v>26</v>
      </c>
    </row>
    <row r="922" spans="1:17" hidden="1" x14ac:dyDescent="0.25">
      <c r="A922" s="7" t="s">
        <v>17</v>
      </c>
      <c r="B922" s="7" t="s">
        <v>18</v>
      </c>
      <c r="C922" s="7" t="s">
        <v>19</v>
      </c>
      <c r="D922" s="7"/>
      <c r="E922" s="7"/>
      <c r="F922" s="7" t="s">
        <v>29</v>
      </c>
      <c r="G922" s="7" t="s">
        <v>30</v>
      </c>
      <c r="H922" s="7" t="s">
        <v>143</v>
      </c>
      <c r="I922" s="7" t="s">
        <v>148</v>
      </c>
      <c r="J922" s="8">
        <v>0.67427958290091417</v>
      </c>
      <c r="K922" s="8">
        <v>0.14948778352913267</v>
      </c>
      <c r="L922" s="8"/>
      <c r="M922" s="8"/>
      <c r="N922" s="8"/>
      <c r="O922" s="8"/>
      <c r="P922" s="8"/>
      <c r="Q922" t="s">
        <v>26</v>
      </c>
    </row>
    <row r="923" spans="1:17" hidden="1" x14ac:dyDescent="0.25">
      <c r="A923" s="7" t="s">
        <v>17</v>
      </c>
      <c r="B923" s="7" t="s">
        <v>18</v>
      </c>
      <c r="C923" s="7" t="s">
        <v>19</v>
      </c>
      <c r="D923" s="7"/>
      <c r="E923" s="7"/>
      <c r="F923" s="7" t="s">
        <v>31</v>
      </c>
      <c r="G923" s="7" t="s">
        <v>32</v>
      </c>
      <c r="H923" s="7" t="s">
        <v>143</v>
      </c>
      <c r="I923" s="7" t="s">
        <v>148</v>
      </c>
      <c r="J923" s="8">
        <v>6.3911639580924131</v>
      </c>
      <c r="K923" s="8">
        <v>1.4169210495090883</v>
      </c>
      <c r="L923" s="8"/>
      <c r="M923" s="8"/>
      <c r="N923" s="8"/>
      <c r="O923" s="8"/>
      <c r="P923" s="8"/>
      <c r="Q923" t="s">
        <v>26</v>
      </c>
    </row>
    <row r="924" spans="1:17" hidden="1" x14ac:dyDescent="0.25">
      <c r="A924" s="7" t="s">
        <v>17</v>
      </c>
      <c r="B924" s="7" t="s">
        <v>18</v>
      </c>
      <c r="C924" s="7" t="s">
        <v>19</v>
      </c>
      <c r="D924" s="7"/>
      <c r="E924" s="7"/>
      <c r="F924" s="7" t="s">
        <v>33</v>
      </c>
      <c r="G924" s="7" t="s">
        <v>34</v>
      </c>
      <c r="H924" s="7" t="s">
        <v>143</v>
      </c>
      <c r="I924" s="7" t="s">
        <v>148</v>
      </c>
      <c r="J924" s="8">
        <v>37.3677047354386</v>
      </c>
      <c r="K924" s="8">
        <v>8.2844201398467376</v>
      </c>
      <c r="L924" s="8"/>
      <c r="M924" s="8"/>
      <c r="N924" s="8"/>
      <c r="O924" s="8"/>
      <c r="P924" s="8"/>
      <c r="Q924" t="s">
        <v>26</v>
      </c>
    </row>
    <row r="925" spans="1:17" hidden="1" x14ac:dyDescent="0.25">
      <c r="A925" s="7" t="s">
        <v>17</v>
      </c>
      <c r="B925" s="7" t="s">
        <v>18</v>
      </c>
      <c r="C925" s="7" t="s">
        <v>19</v>
      </c>
      <c r="D925" s="7" t="s">
        <v>20</v>
      </c>
      <c r="E925" s="7" t="s">
        <v>21</v>
      </c>
      <c r="F925" s="7" t="s">
        <v>35</v>
      </c>
      <c r="G925" s="7" t="s">
        <v>36</v>
      </c>
      <c r="H925" s="7" t="s">
        <v>143</v>
      </c>
      <c r="I925" s="7" t="s">
        <v>148</v>
      </c>
      <c r="J925" s="8">
        <v>0.38101727999999996</v>
      </c>
      <c r="K925" s="8">
        <v>8.4471530975999992E-2</v>
      </c>
      <c r="L925" s="8"/>
      <c r="M925" s="8"/>
      <c r="N925" s="8"/>
      <c r="O925" s="8"/>
      <c r="P925" s="8"/>
      <c r="Q925" t="s">
        <v>26</v>
      </c>
    </row>
    <row r="926" spans="1:17" hidden="1" x14ac:dyDescent="0.25">
      <c r="A926" s="7" t="s">
        <v>17</v>
      </c>
      <c r="B926" s="7" t="s">
        <v>18</v>
      </c>
      <c r="C926" s="7" t="s">
        <v>19</v>
      </c>
      <c r="D926" s="7"/>
      <c r="E926" s="7"/>
      <c r="F926" s="7" t="s">
        <v>37</v>
      </c>
      <c r="G926" s="7" t="s">
        <v>38</v>
      </c>
      <c r="H926" s="7" t="s">
        <v>143</v>
      </c>
      <c r="I926" s="7" t="s">
        <v>148</v>
      </c>
      <c r="J926" s="8">
        <v>77.244801014084501</v>
      </c>
      <c r="K926" s="8">
        <v>17.125172384822541</v>
      </c>
      <c r="L926" s="8"/>
      <c r="M926" s="8"/>
      <c r="N926" s="8"/>
      <c r="O926" s="8"/>
      <c r="P926" s="8"/>
      <c r="Q926" t="s">
        <v>26</v>
      </c>
    </row>
    <row r="927" spans="1:17" hidden="1" x14ac:dyDescent="0.25">
      <c r="A927" s="7" t="s">
        <v>17</v>
      </c>
      <c r="B927" s="7" t="s">
        <v>18</v>
      </c>
      <c r="C927" s="7" t="s">
        <v>19</v>
      </c>
      <c r="D927" s="7"/>
      <c r="E927" s="7"/>
      <c r="F927" s="7" t="s">
        <v>39</v>
      </c>
      <c r="G927" s="7" t="s">
        <v>40</v>
      </c>
      <c r="H927" s="7" t="s">
        <v>143</v>
      </c>
      <c r="I927" s="7" t="s">
        <v>148</v>
      </c>
      <c r="J927" s="8">
        <v>37.120391178848529</v>
      </c>
      <c r="K927" s="8">
        <v>8.2295907243507198</v>
      </c>
      <c r="L927" s="8"/>
      <c r="M927" s="8"/>
      <c r="N927" s="8"/>
      <c r="O927" s="8"/>
      <c r="P927" s="8"/>
      <c r="Q927" t="s">
        <v>26</v>
      </c>
    </row>
    <row r="928" spans="1:17" hidden="1" x14ac:dyDescent="0.25">
      <c r="A928" s="7" t="s">
        <v>17</v>
      </c>
      <c r="B928" s="7" t="s">
        <v>18</v>
      </c>
      <c r="C928" s="7" t="s">
        <v>19</v>
      </c>
      <c r="D928" s="7" t="s">
        <v>20</v>
      </c>
      <c r="E928" s="7" t="s">
        <v>21</v>
      </c>
      <c r="F928" s="7" t="s">
        <v>41</v>
      </c>
      <c r="G928" s="7" t="s">
        <v>42</v>
      </c>
      <c r="H928" s="7" t="s">
        <v>143</v>
      </c>
      <c r="I928" s="7" t="s">
        <v>148</v>
      </c>
      <c r="J928" s="8">
        <v>146.92951344102795</v>
      </c>
      <c r="K928" s="8">
        <v>32.574273129875891</v>
      </c>
      <c r="L928" s="8"/>
      <c r="M928" s="8"/>
      <c r="N928" s="8"/>
      <c r="O928" s="8"/>
      <c r="P928" s="8"/>
      <c r="Q928" t="s">
        <v>26</v>
      </c>
    </row>
    <row r="929" spans="1:17" hidden="1" x14ac:dyDescent="0.25">
      <c r="A929" s="7" t="s">
        <v>17</v>
      </c>
      <c r="B929" s="7" t="s">
        <v>18</v>
      </c>
      <c r="C929" s="7" t="s">
        <v>19</v>
      </c>
      <c r="D929" s="7" t="s">
        <v>20</v>
      </c>
      <c r="E929" s="7" t="s">
        <v>21</v>
      </c>
      <c r="F929" s="7" t="s">
        <v>43</v>
      </c>
      <c r="G929" s="7" t="s">
        <v>44</v>
      </c>
      <c r="H929" s="7" t="s">
        <v>143</v>
      </c>
      <c r="I929" s="7" t="s">
        <v>148</v>
      </c>
      <c r="J929" s="8">
        <v>12.207598719841856</v>
      </c>
      <c r="K929" s="8">
        <v>2.7064246361889395</v>
      </c>
      <c r="L929" s="8"/>
      <c r="M929" s="8"/>
      <c r="N929" s="8"/>
      <c r="O929" s="8"/>
      <c r="P929" s="8"/>
      <c r="Q929" t="s">
        <v>26</v>
      </c>
    </row>
    <row r="930" spans="1:17" hidden="1" x14ac:dyDescent="0.25">
      <c r="A930" s="7" t="s">
        <v>17</v>
      </c>
      <c r="B930" s="7" t="s">
        <v>18</v>
      </c>
      <c r="C930" s="7" t="s">
        <v>19</v>
      </c>
      <c r="D930" s="7"/>
      <c r="E930" s="7"/>
      <c r="F930" s="7" t="s">
        <v>45</v>
      </c>
      <c r="G930" s="7" t="s">
        <v>46</v>
      </c>
      <c r="H930" s="7" t="s">
        <v>143</v>
      </c>
      <c r="I930" s="7" t="s">
        <v>148</v>
      </c>
      <c r="J930" s="8">
        <v>38.77367629710897</v>
      </c>
      <c r="K930" s="8">
        <v>8.5961240350690584</v>
      </c>
      <c r="L930" s="8"/>
      <c r="M930" s="8"/>
      <c r="N930" s="8"/>
      <c r="O930" s="8"/>
      <c r="P930" s="8"/>
      <c r="Q930" t="s">
        <v>26</v>
      </c>
    </row>
    <row r="931" spans="1:17" hidden="1" x14ac:dyDescent="0.25">
      <c r="A931" s="7" t="s">
        <v>17</v>
      </c>
      <c r="B931" s="7" t="s">
        <v>18</v>
      </c>
      <c r="C931" s="7" t="s">
        <v>19</v>
      </c>
      <c r="D931" s="7" t="s">
        <v>20</v>
      </c>
      <c r="E931" s="7" t="s">
        <v>21</v>
      </c>
      <c r="F931" s="7" t="s">
        <v>47</v>
      </c>
      <c r="G931" s="7" t="s">
        <v>48</v>
      </c>
      <c r="H931" s="7" t="s">
        <v>143</v>
      </c>
      <c r="I931" s="7" t="s">
        <v>148</v>
      </c>
      <c r="J931" s="8">
        <v>1.8748469333333333</v>
      </c>
      <c r="K931" s="8">
        <v>0.41565356511999996</v>
      </c>
      <c r="L931" s="8"/>
      <c r="M931" s="8"/>
      <c r="N931" s="8"/>
      <c r="O931" s="8"/>
      <c r="P931" s="8"/>
      <c r="Q931" t="s">
        <v>26</v>
      </c>
    </row>
    <row r="932" spans="1:17" hidden="1" x14ac:dyDescent="0.25">
      <c r="A932" s="7" t="s">
        <v>17</v>
      </c>
      <c r="B932" s="7" t="s">
        <v>18</v>
      </c>
      <c r="C932" s="7" t="s">
        <v>19</v>
      </c>
      <c r="D932" s="7"/>
      <c r="E932" s="7"/>
      <c r="F932" s="7" t="s">
        <v>49</v>
      </c>
      <c r="G932" s="7" t="s">
        <v>50</v>
      </c>
      <c r="H932" s="7" t="s">
        <v>143</v>
      </c>
      <c r="I932" s="7" t="s">
        <v>148</v>
      </c>
      <c r="J932" s="8">
        <v>36.711810927600695</v>
      </c>
      <c r="K932" s="8">
        <v>8.1390084826490749</v>
      </c>
      <c r="L932" s="8"/>
      <c r="M932" s="8"/>
      <c r="N932" s="8"/>
      <c r="O932" s="8"/>
      <c r="P932" s="8"/>
      <c r="Q932" t="s">
        <v>26</v>
      </c>
    </row>
    <row r="933" spans="1:17" hidden="1" x14ac:dyDescent="0.25">
      <c r="A933" s="7" t="s">
        <v>17</v>
      </c>
      <c r="B933" s="7" t="s">
        <v>18</v>
      </c>
      <c r="C933" s="7" t="s">
        <v>19</v>
      </c>
      <c r="D933" s="7"/>
      <c r="E933" s="7"/>
      <c r="F933" s="7" t="s">
        <v>51</v>
      </c>
      <c r="G933" s="7" t="s">
        <v>52</v>
      </c>
      <c r="H933" s="7" t="s">
        <v>143</v>
      </c>
      <c r="I933" s="7" t="s">
        <v>148</v>
      </c>
      <c r="J933" s="8">
        <v>232.78193493017045</v>
      </c>
      <c r="K933" s="8">
        <v>51.607754974018796</v>
      </c>
      <c r="L933" s="8"/>
      <c r="M933" s="8"/>
      <c r="N933" s="8"/>
      <c r="O933" s="8"/>
      <c r="P933" s="8"/>
      <c r="Q933" t="s">
        <v>26</v>
      </c>
    </row>
    <row r="934" spans="1:17" hidden="1" x14ac:dyDescent="0.25">
      <c r="A934" s="7" t="s">
        <v>17</v>
      </c>
      <c r="B934" s="7" t="s">
        <v>18</v>
      </c>
      <c r="C934" s="7" t="s">
        <v>19</v>
      </c>
      <c r="D934" s="7"/>
      <c r="E934" s="7"/>
      <c r="F934" s="7" t="s">
        <v>53</v>
      </c>
      <c r="G934" s="7" t="s">
        <v>54</v>
      </c>
      <c r="H934" s="7" t="s">
        <v>143</v>
      </c>
      <c r="I934" s="7" t="s">
        <v>148</v>
      </c>
      <c r="J934" s="8">
        <v>4.8885269760316286</v>
      </c>
      <c r="K934" s="8">
        <v>1.0837864305862122</v>
      </c>
      <c r="L934" s="8"/>
      <c r="M934" s="8"/>
      <c r="N934" s="8"/>
      <c r="O934" s="8"/>
      <c r="P934" s="8"/>
      <c r="Q934" t="s">
        <v>26</v>
      </c>
    </row>
    <row r="935" spans="1:17" hidden="1" x14ac:dyDescent="0.25">
      <c r="A935" s="7" t="s">
        <v>17</v>
      </c>
      <c r="B935" s="7" t="s">
        <v>18</v>
      </c>
      <c r="C935" s="7" t="s">
        <v>19</v>
      </c>
      <c r="D935" s="7"/>
      <c r="E935" s="7"/>
      <c r="F935" s="7" t="s">
        <v>55</v>
      </c>
      <c r="G935" s="7" t="s">
        <v>56</v>
      </c>
      <c r="H935" s="7" t="s">
        <v>143</v>
      </c>
      <c r="I935" s="7" t="s">
        <v>148</v>
      </c>
      <c r="J935" s="8">
        <v>10.381663955720287</v>
      </c>
      <c r="K935" s="8">
        <v>2.3016148989831873</v>
      </c>
      <c r="L935" s="8"/>
      <c r="M935" s="8"/>
      <c r="N935" s="8"/>
      <c r="O935" s="8"/>
      <c r="P935" s="8"/>
      <c r="Q935" t="s">
        <v>26</v>
      </c>
    </row>
    <row r="936" spans="1:17" hidden="1" x14ac:dyDescent="0.25">
      <c r="A936" s="7" t="s">
        <v>17</v>
      </c>
      <c r="B936" s="7" t="s">
        <v>18</v>
      </c>
      <c r="C936" s="7" t="s">
        <v>19</v>
      </c>
      <c r="D936" s="7"/>
      <c r="E936" s="7"/>
      <c r="F936" s="7" t="s">
        <v>57</v>
      </c>
      <c r="G936" s="7" t="s">
        <v>58</v>
      </c>
      <c r="H936" s="7" t="s">
        <v>143</v>
      </c>
      <c r="I936" s="7" t="s">
        <v>148</v>
      </c>
      <c r="J936" s="8">
        <v>187.15366868384481</v>
      </c>
      <c r="K936" s="8">
        <v>41.491968347208392</v>
      </c>
      <c r="L936" s="8"/>
      <c r="M936" s="8"/>
      <c r="N936" s="8"/>
      <c r="O936" s="8"/>
      <c r="P936" s="8"/>
      <c r="Q936" t="s">
        <v>26</v>
      </c>
    </row>
    <row r="937" spans="1:17" hidden="1" x14ac:dyDescent="0.25">
      <c r="A937" s="7" t="s">
        <v>17</v>
      </c>
      <c r="B937" s="7" t="s">
        <v>18</v>
      </c>
      <c r="C937" s="7" t="s">
        <v>19</v>
      </c>
      <c r="D937" s="7" t="s">
        <v>20</v>
      </c>
      <c r="E937" s="7" t="s">
        <v>21</v>
      </c>
      <c r="F937" s="7" t="s">
        <v>59</v>
      </c>
      <c r="G937" s="7" t="s">
        <v>60</v>
      </c>
      <c r="H937" s="7" t="s">
        <v>143</v>
      </c>
      <c r="I937" s="7" t="s">
        <v>148</v>
      </c>
      <c r="J937" s="8">
        <v>12.121273896911292</v>
      </c>
      <c r="K937" s="8">
        <v>2.6872864229452329</v>
      </c>
      <c r="L937" s="8"/>
      <c r="M937" s="8"/>
      <c r="N937" s="8"/>
      <c r="O937" s="8"/>
      <c r="P937" s="8"/>
      <c r="Q937" t="s">
        <v>26</v>
      </c>
    </row>
    <row r="938" spans="1:17" hidden="1" x14ac:dyDescent="0.25">
      <c r="A938" s="7" t="s">
        <v>17</v>
      </c>
      <c r="B938" s="7" t="s">
        <v>18</v>
      </c>
      <c r="C938" s="7" t="s">
        <v>19</v>
      </c>
      <c r="D938" s="7" t="s">
        <v>20</v>
      </c>
      <c r="E938" s="7" t="s">
        <v>21</v>
      </c>
      <c r="F938" s="7" t="s">
        <v>61</v>
      </c>
      <c r="G938" s="7" t="s">
        <v>62</v>
      </c>
      <c r="H938" s="7" t="s">
        <v>143</v>
      </c>
      <c r="I938" s="7" t="s">
        <v>148</v>
      </c>
      <c r="J938" s="8">
        <v>0</v>
      </c>
      <c r="K938" s="8">
        <v>0</v>
      </c>
      <c r="L938" s="8"/>
      <c r="M938" s="8"/>
      <c r="N938" s="8"/>
      <c r="O938" s="8"/>
      <c r="P938" s="8"/>
      <c r="Q938" t="s">
        <v>26</v>
      </c>
    </row>
    <row r="939" spans="1:17" hidden="1" x14ac:dyDescent="0.25">
      <c r="A939" s="7" t="s">
        <v>17</v>
      </c>
      <c r="B939" s="7" t="s">
        <v>18</v>
      </c>
      <c r="C939" s="7" t="s">
        <v>19</v>
      </c>
      <c r="D939" s="7"/>
      <c r="E939" s="7"/>
      <c r="F939" s="7" t="s">
        <v>63</v>
      </c>
      <c r="G939" s="7" t="s">
        <v>64</v>
      </c>
      <c r="H939" s="7" t="s">
        <v>143</v>
      </c>
      <c r="I939" s="7" t="s">
        <v>148</v>
      </c>
      <c r="J939" s="8">
        <v>35.256156975758834</v>
      </c>
      <c r="K939" s="8">
        <v>7.8162900015257337</v>
      </c>
      <c r="L939" s="8"/>
      <c r="M939" s="8"/>
      <c r="N939" s="8"/>
      <c r="O939" s="8"/>
      <c r="P939" s="8"/>
      <c r="Q939" t="s">
        <v>26</v>
      </c>
    </row>
    <row r="940" spans="1:17" hidden="1" x14ac:dyDescent="0.25">
      <c r="A940" s="7" t="s">
        <v>17</v>
      </c>
      <c r="B940" s="7" t="s">
        <v>18</v>
      </c>
      <c r="C940" s="7" t="s">
        <v>19</v>
      </c>
      <c r="D940" s="7" t="s">
        <v>20</v>
      </c>
      <c r="E940" s="7" t="s">
        <v>21</v>
      </c>
      <c r="F940" s="7" t="s">
        <v>65</v>
      </c>
      <c r="G940" s="7" t="s">
        <v>66</v>
      </c>
      <c r="H940" s="7" t="s">
        <v>143</v>
      </c>
      <c r="I940" s="7" t="s">
        <v>148</v>
      </c>
      <c r="J940" s="8">
        <v>1.7362699259698544</v>
      </c>
      <c r="K940" s="8">
        <v>0.38493104258751676</v>
      </c>
      <c r="L940" s="8"/>
      <c r="M940" s="8"/>
      <c r="N940" s="8"/>
      <c r="O940" s="8"/>
      <c r="P940" s="8"/>
      <c r="Q940" t="s">
        <v>26</v>
      </c>
    </row>
    <row r="941" spans="1:17" hidden="1" x14ac:dyDescent="0.25">
      <c r="A941" s="7" t="s">
        <v>17</v>
      </c>
      <c r="B941" s="7" t="s">
        <v>18</v>
      </c>
      <c r="C941" s="7" t="s">
        <v>19</v>
      </c>
      <c r="D941" s="7"/>
      <c r="E941" s="7"/>
      <c r="F941" s="7" t="s">
        <v>67</v>
      </c>
      <c r="G941" s="7" t="s">
        <v>68</v>
      </c>
      <c r="H941" s="7" t="s">
        <v>143</v>
      </c>
      <c r="I941" s="7" t="s">
        <v>148</v>
      </c>
      <c r="J941" s="8">
        <v>195.94971533303681</v>
      </c>
      <c r="K941" s="8">
        <v>43.442051889334266</v>
      </c>
      <c r="L941" s="8"/>
      <c r="M941" s="8"/>
      <c r="N941" s="8"/>
      <c r="O941" s="8"/>
      <c r="P941" s="8"/>
      <c r="Q941" t="s">
        <v>26</v>
      </c>
    </row>
    <row r="942" spans="1:17" hidden="1" x14ac:dyDescent="0.25">
      <c r="A942" s="7" t="s">
        <v>17</v>
      </c>
      <c r="B942" s="7" t="s">
        <v>18</v>
      </c>
      <c r="C942" s="7" t="s">
        <v>19</v>
      </c>
      <c r="D942" s="7"/>
      <c r="E942" s="7"/>
      <c r="F942" s="7" t="s">
        <v>69</v>
      </c>
      <c r="G942" s="7" t="s">
        <v>70</v>
      </c>
      <c r="H942" s="7" t="s">
        <v>143</v>
      </c>
      <c r="I942" s="7" t="s">
        <v>148</v>
      </c>
      <c r="J942" s="8">
        <v>11.51646214736842</v>
      </c>
      <c r="K942" s="8">
        <v>2.5531996580715788</v>
      </c>
      <c r="L942" s="8"/>
      <c r="M942" s="8"/>
      <c r="N942" s="8"/>
      <c r="O942" s="8"/>
      <c r="P942" s="8"/>
      <c r="Q942" t="s">
        <v>26</v>
      </c>
    </row>
    <row r="943" spans="1:17" hidden="1" x14ac:dyDescent="0.25">
      <c r="A943" s="7" t="s">
        <v>17</v>
      </c>
      <c r="B943" s="7" t="s">
        <v>18</v>
      </c>
      <c r="C943" s="7" t="s">
        <v>19</v>
      </c>
      <c r="D943" s="7"/>
      <c r="E943" s="7"/>
      <c r="F943" s="7" t="s">
        <v>71</v>
      </c>
      <c r="G943" s="7" t="s">
        <v>72</v>
      </c>
      <c r="H943" s="7" t="s">
        <v>143</v>
      </c>
      <c r="I943" s="7" t="s">
        <v>148</v>
      </c>
      <c r="J943" s="8">
        <v>29.294914845366939</v>
      </c>
      <c r="K943" s="8">
        <v>6.4946826212178488</v>
      </c>
      <c r="L943" s="8"/>
      <c r="M943" s="8"/>
      <c r="N943" s="8"/>
      <c r="O943" s="8"/>
      <c r="P943" s="8"/>
      <c r="Q943" t="s">
        <v>26</v>
      </c>
    </row>
    <row r="944" spans="1:17" hidden="1" x14ac:dyDescent="0.25">
      <c r="A944" s="7" t="s">
        <v>17</v>
      </c>
      <c r="B944" s="7" t="s">
        <v>18</v>
      </c>
      <c r="C944" s="7" t="s">
        <v>19</v>
      </c>
      <c r="D944" s="7" t="s">
        <v>20</v>
      </c>
      <c r="E944" s="7" t="s">
        <v>21</v>
      </c>
      <c r="F944" s="7" t="s">
        <v>73</v>
      </c>
      <c r="G944" s="7" t="s">
        <v>74</v>
      </c>
      <c r="H944" s="7" t="s">
        <v>143</v>
      </c>
      <c r="I944" s="7" t="s">
        <v>148</v>
      </c>
      <c r="J944" s="8">
        <v>0.84174660111687671</v>
      </c>
      <c r="K944" s="8">
        <v>0.18661522146761156</v>
      </c>
      <c r="L944" s="8"/>
      <c r="M944" s="8"/>
      <c r="N944" s="8"/>
      <c r="O944" s="8"/>
      <c r="P944" s="8"/>
      <c r="Q944" t="s">
        <v>26</v>
      </c>
    </row>
    <row r="945" spans="1:17" hidden="1" x14ac:dyDescent="0.25">
      <c r="A945" s="7" t="s">
        <v>17</v>
      </c>
      <c r="B945" s="7" t="s">
        <v>18</v>
      </c>
      <c r="C945" s="7" t="s">
        <v>19</v>
      </c>
      <c r="D945" s="7" t="s">
        <v>20</v>
      </c>
      <c r="E945" s="7" t="s">
        <v>21</v>
      </c>
      <c r="F945" s="7" t="s">
        <v>75</v>
      </c>
      <c r="G945" s="7" t="s">
        <v>76</v>
      </c>
      <c r="H945" s="7" t="s">
        <v>143</v>
      </c>
      <c r="I945" s="7" t="s">
        <v>148</v>
      </c>
      <c r="J945" s="8">
        <v>0</v>
      </c>
      <c r="K945" s="8">
        <v>0</v>
      </c>
      <c r="L945" s="8"/>
      <c r="M945" s="8"/>
      <c r="N945" s="8"/>
      <c r="O945" s="8"/>
      <c r="P945" s="8"/>
      <c r="Q945" t="s">
        <v>26</v>
      </c>
    </row>
    <row r="946" spans="1:17" hidden="1" x14ac:dyDescent="0.25">
      <c r="A946" s="7" t="s">
        <v>17</v>
      </c>
      <c r="B946" s="7" t="s">
        <v>18</v>
      </c>
      <c r="C946" s="7" t="s">
        <v>19</v>
      </c>
      <c r="D946" s="7"/>
      <c r="E946" s="7"/>
      <c r="F946" s="7" t="s">
        <v>77</v>
      </c>
      <c r="G946" s="7" t="s">
        <v>78</v>
      </c>
      <c r="H946" s="7" t="s">
        <v>143</v>
      </c>
      <c r="I946" s="7" t="s">
        <v>148</v>
      </c>
      <c r="J946" s="8">
        <v>5.7313764546577719</v>
      </c>
      <c r="K946" s="8">
        <v>1.2706461599976282</v>
      </c>
      <c r="L946" s="8"/>
      <c r="M946" s="8"/>
      <c r="N946" s="8"/>
      <c r="O946" s="8"/>
      <c r="P946" s="8"/>
      <c r="Q946" t="s">
        <v>26</v>
      </c>
    </row>
    <row r="947" spans="1:17" hidden="1" x14ac:dyDescent="0.25">
      <c r="A947" s="7" t="s">
        <v>17</v>
      </c>
      <c r="B947" s="7" t="s">
        <v>18</v>
      </c>
      <c r="C947" s="7" t="s">
        <v>19</v>
      </c>
      <c r="D947" s="7"/>
      <c r="E947" s="7"/>
      <c r="F947" s="7" t="s">
        <v>79</v>
      </c>
      <c r="G947" s="7" t="s">
        <v>80</v>
      </c>
      <c r="H947" s="7" t="s">
        <v>143</v>
      </c>
      <c r="I947" s="7" t="s">
        <v>148</v>
      </c>
      <c r="J947" s="8">
        <v>0</v>
      </c>
      <c r="K947" s="8">
        <v>0</v>
      </c>
      <c r="L947" s="8"/>
      <c r="M947" s="8"/>
      <c r="N947" s="8"/>
      <c r="O947" s="8"/>
      <c r="P947" s="8"/>
      <c r="Q947" t="s">
        <v>26</v>
      </c>
    </row>
    <row r="948" spans="1:17" hidden="1" x14ac:dyDescent="0.25">
      <c r="A948" s="7" t="s">
        <v>17</v>
      </c>
      <c r="B948" s="7" t="s">
        <v>18</v>
      </c>
      <c r="C948" s="7" t="s">
        <v>19</v>
      </c>
      <c r="D948" s="7"/>
      <c r="E948" s="7"/>
      <c r="F948" s="7" t="s">
        <v>81</v>
      </c>
      <c r="G948" s="7" t="s">
        <v>82</v>
      </c>
      <c r="H948" s="7" t="s">
        <v>143</v>
      </c>
      <c r="I948" s="7" t="s">
        <v>148</v>
      </c>
      <c r="J948" s="8">
        <v>13.215868616753149</v>
      </c>
      <c r="K948" s="8">
        <v>2.9299580723341734</v>
      </c>
      <c r="L948" s="8"/>
      <c r="M948" s="8"/>
      <c r="N948" s="8"/>
      <c r="O948" s="8"/>
      <c r="P948" s="8"/>
      <c r="Q948" t="s">
        <v>26</v>
      </c>
    </row>
    <row r="949" spans="1:17" hidden="1" x14ac:dyDescent="0.25">
      <c r="A949" s="7" t="s">
        <v>17</v>
      </c>
      <c r="B949" s="7" t="s">
        <v>18</v>
      </c>
      <c r="C949" s="7" t="s">
        <v>19</v>
      </c>
      <c r="D949" s="7"/>
      <c r="E949" s="7"/>
      <c r="F949" s="7" t="s">
        <v>83</v>
      </c>
      <c r="G949" s="7" t="s">
        <v>84</v>
      </c>
      <c r="H949" s="7" t="s">
        <v>143</v>
      </c>
      <c r="I949" s="7" t="s">
        <v>148</v>
      </c>
      <c r="J949" s="8">
        <v>2.90666505836422</v>
      </c>
      <c r="K949" s="8">
        <v>0.64440764343934753</v>
      </c>
      <c r="L949" s="8"/>
      <c r="M949" s="8"/>
      <c r="N949" s="8"/>
      <c r="O949" s="8"/>
      <c r="P949" s="8"/>
      <c r="Q949" t="s">
        <v>26</v>
      </c>
    </row>
    <row r="950" spans="1:17" hidden="1" x14ac:dyDescent="0.25">
      <c r="A950" s="7" t="s">
        <v>17</v>
      </c>
      <c r="B950" s="7" t="s">
        <v>18</v>
      </c>
      <c r="C950" s="7" t="s">
        <v>19</v>
      </c>
      <c r="D950" s="7" t="s">
        <v>20</v>
      </c>
      <c r="E950" s="7" t="s">
        <v>21</v>
      </c>
      <c r="F950" s="7" t="s">
        <v>85</v>
      </c>
      <c r="G950" s="7" t="s">
        <v>86</v>
      </c>
      <c r="H950" s="7" t="s">
        <v>143</v>
      </c>
      <c r="I950" s="7" t="s">
        <v>148</v>
      </c>
      <c r="J950" s="8">
        <v>1.7069046914751669</v>
      </c>
      <c r="K950" s="8">
        <v>0.37842077010004449</v>
      </c>
      <c r="L950" s="8"/>
      <c r="M950" s="8"/>
      <c r="N950" s="8"/>
      <c r="O950" s="8"/>
      <c r="P950" s="8"/>
      <c r="Q950" t="s">
        <v>26</v>
      </c>
    </row>
    <row r="951" spans="1:17" hidden="1" x14ac:dyDescent="0.25">
      <c r="A951" s="7" t="s">
        <v>17</v>
      </c>
      <c r="B951" s="7" t="s">
        <v>18</v>
      </c>
      <c r="C951" s="7" t="s">
        <v>19</v>
      </c>
      <c r="D951" s="7"/>
      <c r="E951" s="7"/>
      <c r="F951" s="7" t="s">
        <v>87</v>
      </c>
      <c r="G951" s="7" t="s">
        <v>88</v>
      </c>
      <c r="H951" s="7" t="s">
        <v>143</v>
      </c>
      <c r="I951" s="7" t="s">
        <v>148</v>
      </c>
      <c r="J951" s="8">
        <v>1.4598332299481098</v>
      </c>
      <c r="K951" s="8">
        <v>0.32364502707949594</v>
      </c>
      <c r="L951" s="8"/>
      <c r="M951" s="8"/>
      <c r="N951" s="8"/>
      <c r="O951" s="8"/>
      <c r="P951" s="8"/>
      <c r="Q951" t="s">
        <v>26</v>
      </c>
    </row>
    <row r="952" spans="1:17" hidden="1" x14ac:dyDescent="0.25">
      <c r="A952" s="7" t="s">
        <v>17</v>
      </c>
      <c r="B952" s="7" t="s">
        <v>18</v>
      </c>
      <c r="C952" s="7" t="s">
        <v>19</v>
      </c>
      <c r="D952" s="7"/>
      <c r="E952" s="7"/>
      <c r="F952" s="7" t="s">
        <v>89</v>
      </c>
      <c r="G952" s="7" t="s">
        <v>90</v>
      </c>
      <c r="H952" s="7" t="s">
        <v>143</v>
      </c>
      <c r="I952" s="7" t="s">
        <v>148</v>
      </c>
      <c r="J952" s="8">
        <v>71.717591395898197</v>
      </c>
      <c r="K952" s="8">
        <v>15.899790012470628</v>
      </c>
      <c r="L952" s="8"/>
      <c r="M952" s="8"/>
      <c r="N952" s="8"/>
      <c r="O952" s="8"/>
      <c r="P952" s="8"/>
      <c r="Q952" t="s">
        <v>26</v>
      </c>
    </row>
    <row r="953" spans="1:17" hidden="1" x14ac:dyDescent="0.25">
      <c r="A953" s="7" t="s">
        <v>17</v>
      </c>
      <c r="B953" s="7" t="s">
        <v>18</v>
      </c>
      <c r="C953" s="7" t="s">
        <v>19</v>
      </c>
      <c r="D953" s="7"/>
      <c r="E953" s="7"/>
      <c r="F953" s="7" t="s">
        <v>91</v>
      </c>
      <c r="G953" s="7" t="s">
        <v>92</v>
      </c>
      <c r="H953" s="7" t="s">
        <v>143</v>
      </c>
      <c r="I953" s="7" t="s">
        <v>148</v>
      </c>
      <c r="J953" s="8">
        <v>0.33713979145045708</v>
      </c>
      <c r="K953" s="8">
        <v>7.4743891764566334E-2</v>
      </c>
      <c r="L953" s="8"/>
      <c r="M953" s="8"/>
      <c r="N953" s="8"/>
      <c r="O953" s="8"/>
      <c r="P953" s="8"/>
      <c r="Q953" t="s">
        <v>26</v>
      </c>
    </row>
    <row r="954" spans="1:17" hidden="1" x14ac:dyDescent="0.25">
      <c r="A954" s="7" t="s">
        <v>17</v>
      </c>
      <c r="B954" s="7" t="s">
        <v>18</v>
      </c>
      <c r="C954" s="7" t="s">
        <v>19</v>
      </c>
      <c r="D954" s="7"/>
      <c r="E954" s="7"/>
      <c r="F954" s="7" t="s">
        <v>93</v>
      </c>
      <c r="G954" s="7" t="s">
        <v>94</v>
      </c>
      <c r="H954" s="7" t="s">
        <v>143</v>
      </c>
      <c r="I954" s="7" t="s">
        <v>148</v>
      </c>
      <c r="J954" s="8">
        <v>4.1973904035581917</v>
      </c>
      <c r="K954" s="8">
        <v>0.93056145246885114</v>
      </c>
      <c r="L954" s="8"/>
      <c r="M954" s="8"/>
      <c r="N954" s="8"/>
      <c r="O954" s="8"/>
      <c r="P954" s="8"/>
      <c r="Q954" t="s">
        <v>26</v>
      </c>
    </row>
    <row r="955" spans="1:17" hidden="1" x14ac:dyDescent="0.25">
      <c r="A955" s="7" t="s">
        <v>17</v>
      </c>
      <c r="B955" s="7" t="s">
        <v>18</v>
      </c>
      <c r="C955" s="7" t="s">
        <v>19</v>
      </c>
      <c r="D955" s="7"/>
      <c r="E955" s="7"/>
      <c r="F955" s="7" t="s">
        <v>95</v>
      </c>
      <c r="G955" s="7" t="s">
        <v>96</v>
      </c>
      <c r="H955" s="7" t="s">
        <v>143</v>
      </c>
      <c r="I955" s="7" t="s">
        <v>148</v>
      </c>
      <c r="J955" s="8">
        <v>25.461675765752407</v>
      </c>
      <c r="K955" s="8">
        <v>5.6448535172673084</v>
      </c>
      <c r="L955" s="8"/>
      <c r="M955" s="8"/>
      <c r="N955" s="8"/>
      <c r="O955" s="8"/>
      <c r="P955" s="8"/>
      <c r="Q955" t="s">
        <v>26</v>
      </c>
    </row>
    <row r="956" spans="1:17" hidden="1" x14ac:dyDescent="0.25">
      <c r="A956" s="7" t="s">
        <v>17</v>
      </c>
      <c r="B956" s="7" t="s">
        <v>18</v>
      </c>
      <c r="C956" s="7" t="s">
        <v>19</v>
      </c>
      <c r="D956" s="7"/>
      <c r="E956" s="7"/>
      <c r="F956" s="7" t="s">
        <v>97</v>
      </c>
      <c r="G956" s="7" t="s">
        <v>98</v>
      </c>
      <c r="H956" s="7" t="s">
        <v>143</v>
      </c>
      <c r="I956" s="7" t="s">
        <v>148</v>
      </c>
      <c r="J956" s="8">
        <v>0.59555385500370639</v>
      </c>
      <c r="K956" s="8">
        <v>0.13203428965432173</v>
      </c>
      <c r="L956" s="8"/>
      <c r="M956" s="8"/>
      <c r="N956" s="8"/>
      <c r="O956" s="8"/>
      <c r="P956" s="8"/>
      <c r="Q956" t="s">
        <v>26</v>
      </c>
    </row>
    <row r="957" spans="1:17" hidden="1" x14ac:dyDescent="0.25">
      <c r="A957" s="7" t="s">
        <v>17</v>
      </c>
      <c r="B957" s="7" t="s">
        <v>18</v>
      </c>
      <c r="C957" s="7" t="s">
        <v>19</v>
      </c>
      <c r="D957" s="7"/>
      <c r="E957" s="7"/>
      <c r="F957" s="7" t="s">
        <v>99</v>
      </c>
      <c r="G957" s="7" t="s">
        <v>100</v>
      </c>
      <c r="H957" s="7" t="s">
        <v>143</v>
      </c>
      <c r="I957" s="7" t="s">
        <v>148</v>
      </c>
      <c r="J957" s="8">
        <v>67.04092001620954</v>
      </c>
      <c r="K957" s="8">
        <v>14.86297196759365</v>
      </c>
      <c r="L957" s="8"/>
      <c r="M957" s="8"/>
      <c r="N957" s="8"/>
      <c r="O957" s="8"/>
      <c r="P957" s="8"/>
      <c r="Q957" t="s">
        <v>26</v>
      </c>
    </row>
    <row r="958" spans="1:17" hidden="1" x14ac:dyDescent="0.25">
      <c r="A958" s="7" t="s">
        <v>17</v>
      </c>
      <c r="B958" s="7" t="s">
        <v>18</v>
      </c>
      <c r="C958" s="7" t="s">
        <v>19</v>
      </c>
      <c r="D958" s="7" t="s">
        <v>20</v>
      </c>
      <c r="E958" s="7" t="s">
        <v>21</v>
      </c>
      <c r="F958" s="7" t="s">
        <v>101</v>
      </c>
      <c r="G958" s="7" t="s">
        <v>21</v>
      </c>
      <c r="H958" s="7" t="s">
        <v>143</v>
      </c>
      <c r="I958" s="7" t="s">
        <v>148</v>
      </c>
      <c r="J958" s="8">
        <v>0</v>
      </c>
      <c r="K958" s="8">
        <v>0</v>
      </c>
      <c r="L958" s="8"/>
      <c r="M958" s="8"/>
      <c r="N958" s="8"/>
      <c r="O958" s="8"/>
      <c r="P958" s="8"/>
      <c r="Q958" t="s">
        <v>26</v>
      </c>
    </row>
    <row r="959" spans="1:17" hidden="1" x14ac:dyDescent="0.25">
      <c r="A959" s="7" t="s">
        <v>17</v>
      </c>
      <c r="B959" s="7" t="s">
        <v>18</v>
      </c>
      <c r="C959" s="7" t="s">
        <v>19</v>
      </c>
      <c r="D959" s="7"/>
      <c r="E959" s="7"/>
      <c r="F959" s="7" t="s">
        <v>102</v>
      </c>
      <c r="G959" s="7" t="s">
        <v>103</v>
      </c>
      <c r="H959" s="7" t="s">
        <v>143</v>
      </c>
      <c r="I959" s="7" t="s">
        <v>148</v>
      </c>
      <c r="J959" s="8">
        <v>6.7427958290091419E-2</v>
      </c>
      <c r="K959" s="8">
        <v>1.4948778352913269E-2</v>
      </c>
      <c r="L959" s="8"/>
      <c r="M959" s="8"/>
      <c r="N959" s="8"/>
      <c r="O959" s="8"/>
      <c r="P959" s="8"/>
      <c r="Q959" t="s">
        <v>26</v>
      </c>
    </row>
    <row r="960" spans="1:17" hidden="1" x14ac:dyDescent="0.25">
      <c r="A960" s="7" t="s">
        <v>17</v>
      </c>
      <c r="B960" s="7" t="s">
        <v>18</v>
      </c>
      <c r="C960" s="7" t="s">
        <v>19</v>
      </c>
      <c r="D960" s="7" t="s">
        <v>20</v>
      </c>
      <c r="E960" s="7" t="s">
        <v>21</v>
      </c>
      <c r="F960" s="7" t="s">
        <v>104</v>
      </c>
      <c r="G960" s="7" t="s">
        <v>105</v>
      </c>
      <c r="H960" s="7" t="s">
        <v>143</v>
      </c>
      <c r="I960" s="7" t="s">
        <v>148</v>
      </c>
      <c r="J960" s="8">
        <v>131.90241285198911</v>
      </c>
      <c r="K960" s="8">
        <v>29.242764929285993</v>
      </c>
      <c r="L960" s="8"/>
      <c r="M960" s="8"/>
      <c r="N960" s="8"/>
      <c r="O960" s="8"/>
      <c r="P960" s="8"/>
      <c r="Q960" t="s">
        <v>26</v>
      </c>
    </row>
    <row r="961" spans="1:17" hidden="1" x14ac:dyDescent="0.25">
      <c r="A961" s="7" t="s">
        <v>17</v>
      </c>
      <c r="B961" s="7" t="s">
        <v>18</v>
      </c>
      <c r="C961" s="7" t="s">
        <v>19</v>
      </c>
      <c r="D961" s="7"/>
      <c r="E961" s="7"/>
      <c r="F961" s="7" t="s">
        <v>106</v>
      </c>
      <c r="G961" s="7" t="s">
        <v>107</v>
      </c>
      <c r="H961" s="7" t="s">
        <v>143</v>
      </c>
      <c r="I961" s="7" t="s">
        <v>148</v>
      </c>
      <c r="J961" s="8">
        <v>44.543070643143068</v>
      </c>
      <c r="K961" s="8">
        <v>9.8751987615848158</v>
      </c>
      <c r="L961" s="8"/>
      <c r="M961" s="8"/>
      <c r="N961" s="8"/>
      <c r="O961" s="8"/>
      <c r="P961" s="8"/>
      <c r="Q961" t="s">
        <v>26</v>
      </c>
    </row>
    <row r="962" spans="1:17" hidden="1" x14ac:dyDescent="0.25">
      <c r="A962" s="7" t="s">
        <v>17</v>
      </c>
      <c r="B962" s="7" t="s">
        <v>18</v>
      </c>
      <c r="C962" s="7" t="s">
        <v>19</v>
      </c>
      <c r="D962" s="7"/>
      <c r="E962" s="7"/>
      <c r="F962" s="7" t="s">
        <v>108</v>
      </c>
      <c r="G962" s="7" t="s">
        <v>109</v>
      </c>
      <c r="H962" s="7" t="s">
        <v>143</v>
      </c>
      <c r="I962" s="7" t="s">
        <v>148</v>
      </c>
      <c r="J962" s="8">
        <v>0</v>
      </c>
      <c r="K962" s="8">
        <v>0</v>
      </c>
      <c r="L962" s="8"/>
      <c r="M962" s="8"/>
      <c r="N962" s="8"/>
      <c r="O962" s="8"/>
      <c r="P962" s="8"/>
      <c r="Q962" t="s">
        <v>26</v>
      </c>
    </row>
    <row r="963" spans="1:17" hidden="1" x14ac:dyDescent="0.25">
      <c r="A963" s="7" t="s">
        <v>17</v>
      </c>
      <c r="B963" s="7" t="s">
        <v>18</v>
      </c>
      <c r="C963" s="7" t="s">
        <v>19</v>
      </c>
      <c r="D963" s="7"/>
      <c r="E963" s="7"/>
      <c r="F963" s="7" t="s">
        <v>110</v>
      </c>
      <c r="G963" s="7" t="s">
        <v>111</v>
      </c>
      <c r="H963" s="7" t="s">
        <v>143</v>
      </c>
      <c r="I963" s="7" t="s">
        <v>148</v>
      </c>
      <c r="J963" s="8">
        <v>12.224723583118358</v>
      </c>
      <c r="K963" s="8">
        <v>2.7102212183773404</v>
      </c>
      <c r="L963" s="8"/>
      <c r="M963" s="8"/>
      <c r="N963" s="8"/>
      <c r="O963" s="8"/>
      <c r="P963" s="8"/>
      <c r="Q963" t="s">
        <v>26</v>
      </c>
    </row>
    <row r="964" spans="1:17" hidden="1" x14ac:dyDescent="0.25">
      <c r="A964" s="7" t="s">
        <v>17</v>
      </c>
      <c r="B964" s="7" t="s">
        <v>18</v>
      </c>
      <c r="C964" s="7" t="s">
        <v>19</v>
      </c>
      <c r="D964" s="7" t="s">
        <v>20</v>
      </c>
      <c r="E964" s="7" t="s">
        <v>21</v>
      </c>
      <c r="F964" s="7" t="s">
        <v>112</v>
      </c>
      <c r="G964" s="7" t="s">
        <v>113</v>
      </c>
      <c r="H964" s="7" t="s">
        <v>143</v>
      </c>
      <c r="I964" s="7" t="s">
        <v>148</v>
      </c>
      <c r="J964" s="8">
        <v>2.1924173738571784</v>
      </c>
      <c r="K964" s="8">
        <v>0.48605893178413639</v>
      </c>
      <c r="L964" s="8"/>
      <c r="M964" s="8"/>
      <c r="N964" s="8"/>
      <c r="O964" s="8"/>
      <c r="P964" s="8"/>
      <c r="Q964" t="s">
        <v>26</v>
      </c>
    </row>
    <row r="965" spans="1:17" hidden="1" x14ac:dyDescent="0.25">
      <c r="A965" s="7" t="s">
        <v>17</v>
      </c>
      <c r="B965" s="7" t="s">
        <v>18</v>
      </c>
      <c r="C965" s="7" t="s">
        <v>19</v>
      </c>
      <c r="D965" s="7" t="s">
        <v>20</v>
      </c>
      <c r="E965" s="7" t="s">
        <v>21</v>
      </c>
      <c r="F965" s="7" t="s">
        <v>114</v>
      </c>
      <c r="G965" s="7" t="s">
        <v>115</v>
      </c>
      <c r="H965" s="7" t="s">
        <v>143</v>
      </c>
      <c r="I965" s="7" t="s">
        <v>148</v>
      </c>
      <c r="J965" s="8">
        <v>0</v>
      </c>
      <c r="K965" s="8">
        <v>0</v>
      </c>
      <c r="L965" s="8"/>
      <c r="M965" s="8"/>
      <c r="N965" s="8"/>
      <c r="O965" s="8"/>
      <c r="P965" s="8"/>
      <c r="Q965" t="s">
        <v>26</v>
      </c>
    </row>
    <row r="966" spans="1:17" hidden="1" x14ac:dyDescent="0.25">
      <c r="A966" s="7" t="s">
        <v>17</v>
      </c>
      <c r="B966" s="7" t="s">
        <v>18</v>
      </c>
      <c r="C966" s="7" t="s">
        <v>19</v>
      </c>
      <c r="D966" s="7" t="s">
        <v>20</v>
      </c>
      <c r="E966" s="7" t="s">
        <v>21</v>
      </c>
      <c r="F966" s="7" t="s">
        <v>116</v>
      </c>
      <c r="G966" s="7" t="s">
        <v>117</v>
      </c>
      <c r="H966" s="7" t="s">
        <v>143</v>
      </c>
      <c r="I966" s="7" t="s">
        <v>148</v>
      </c>
      <c r="J966" s="8">
        <v>0.38432591252779835</v>
      </c>
      <c r="K966" s="8">
        <v>8.5205054807412903E-2</v>
      </c>
      <c r="L966" s="8"/>
      <c r="M966" s="8"/>
      <c r="N966" s="8"/>
      <c r="O966" s="8"/>
      <c r="P966" s="8"/>
      <c r="Q966" t="s">
        <v>26</v>
      </c>
    </row>
    <row r="967" spans="1:17" hidden="1" x14ac:dyDescent="0.25">
      <c r="A967" s="7" t="s">
        <v>17</v>
      </c>
      <c r="B967" s="7" t="s">
        <v>18</v>
      </c>
      <c r="C967" s="7" t="s">
        <v>19</v>
      </c>
      <c r="D967" s="7" t="s">
        <v>20</v>
      </c>
      <c r="E967" s="7" t="s">
        <v>21</v>
      </c>
      <c r="F967" s="7" t="s">
        <v>118</v>
      </c>
      <c r="G967" s="7" t="s">
        <v>119</v>
      </c>
      <c r="H967" s="7" t="s">
        <v>143</v>
      </c>
      <c r="I967" s="7" t="s">
        <v>148</v>
      </c>
      <c r="J967" s="8">
        <v>0.71767736456634534</v>
      </c>
      <c r="K967" s="8">
        <v>0.15910907172435876</v>
      </c>
      <c r="L967" s="8"/>
      <c r="M967" s="8"/>
      <c r="N967" s="8"/>
      <c r="O967" s="8"/>
      <c r="P967" s="8"/>
      <c r="Q967" t="s">
        <v>26</v>
      </c>
    </row>
    <row r="968" spans="1:17" hidden="1" x14ac:dyDescent="0.25">
      <c r="A968" s="7" t="s">
        <v>17</v>
      </c>
      <c r="B968" s="7" t="s">
        <v>18</v>
      </c>
      <c r="C968" s="7" t="s">
        <v>19</v>
      </c>
      <c r="D968" s="7" t="s">
        <v>20</v>
      </c>
      <c r="E968" s="7" t="s">
        <v>21</v>
      </c>
      <c r="F968" s="7" t="s">
        <v>120</v>
      </c>
      <c r="G968" s="7" t="s">
        <v>121</v>
      </c>
      <c r="H968" s="7" t="s">
        <v>143</v>
      </c>
      <c r="I968" s="7" t="s">
        <v>148</v>
      </c>
      <c r="J968" s="8">
        <v>1.0999185696071161</v>
      </c>
      <c r="K968" s="8">
        <v>0.24385194688189768</v>
      </c>
      <c r="L968" s="8"/>
      <c r="M968" s="8"/>
      <c r="N968" s="8"/>
      <c r="O968" s="8"/>
      <c r="P968" s="8"/>
      <c r="Q968" t="s">
        <v>26</v>
      </c>
    </row>
    <row r="969" spans="1:17" hidden="1" x14ac:dyDescent="0.25">
      <c r="A969" s="7" t="s">
        <v>17</v>
      </c>
      <c r="B969" s="7" t="s">
        <v>18</v>
      </c>
      <c r="C969" s="7" t="s">
        <v>19</v>
      </c>
      <c r="D969" s="7"/>
      <c r="E969" s="7"/>
      <c r="F969" s="7" t="s">
        <v>122</v>
      </c>
      <c r="G969" s="7" t="s">
        <v>123</v>
      </c>
      <c r="H969" s="7" t="s">
        <v>143</v>
      </c>
      <c r="I969" s="7" t="s">
        <v>148</v>
      </c>
      <c r="J969" s="8">
        <v>2.146654682085495</v>
      </c>
      <c r="K969" s="8">
        <v>0.47591334301835436</v>
      </c>
      <c r="L969" s="8"/>
      <c r="M969" s="8"/>
      <c r="N969" s="8"/>
      <c r="O969" s="8"/>
      <c r="P969" s="8"/>
      <c r="Q969" t="s">
        <v>26</v>
      </c>
    </row>
    <row r="970" spans="1:17" hidden="1" x14ac:dyDescent="0.25">
      <c r="A970" s="7" t="s">
        <v>17</v>
      </c>
      <c r="B970" s="7" t="s">
        <v>18</v>
      </c>
      <c r="C970" s="7" t="s">
        <v>19</v>
      </c>
      <c r="D970" s="7"/>
      <c r="E970" s="7"/>
      <c r="F970" s="7" t="s">
        <v>124</v>
      </c>
      <c r="G970" s="7" t="s">
        <v>125</v>
      </c>
      <c r="H970" s="7" t="s">
        <v>143</v>
      </c>
      <c r="I970" s="7" t="s">
        <v>148</v>
      </c>
      <c r="J970" s="8">
        <v>13.953516582396839</v>
      </c>
      <c r="K970" s="8">
        <v>3.093494626317379</v>
      </c>
      <c r="L970" s="8"/>
      <c r="M970" s="8"/>
      <c r="N970" s="8"/>
      <c r="O970" s="8"/>
      <c r="P970" s="8"/>
      <c r="Q970" t="s">
        <v>26</v>
      </c>
    </row>
    <row r="971" spans="1:17" hidden="1" x14ac:dyDescent="0.25">
      <c r="A971" s="7" t="s">
        <v>17</v>
      </c>
      <c r="B971" s="7" t="s">
        <v>18</v>
      </c>
      <c r="C971" s="7" t="s">
        <v>19</v>
      </c>
      <c r="D971" s="7" t="s">
        <v>20</v>
      </c>
      <c r="E971" s="7" t="s">
        <v>21</v>
      </c>
      <c r="F971" s="7" t="s">
        <v>22</v>
      </c>
      <c r="G971" s="7" t="s">
        <v>23</v>
      </c>
      <c r="H971" s="7" t="s">
        <v>149</v>
      </c>
      <c r="I971" s="7" t="s">
        <v>150</v>
      </c>
      <c r="J971" s="8"/>
      <c r="K971" s="8"/>
      <c r="L971" s="8"/>
      <c r="M971" s="8"/>
      <c r="N971" s="8"/>
      <c r="O971" s="8">
        <v>0.85695864532782651</v>
      </c>
      <c r="P971" s="8"/>
      <c r="Q971" t="s">
        <v>26</v>
      </c>
    </row>
    <row r="972" spans="1:17" hidden="1" x14ac:dyDescent="0.25">
      <c r="A972" s="7" t="s">
        <v>17</v>
      </c>
      <c r="B972" s="7" t="s">
        <v>18</v>
      </c>
      <c r="C972" s="7" t="s">
        <v>19</v>
      </c>
      <c r="D972" s="7"/>
      <c r="E972" s="7"/>
      <c r="F972" s="7" t="s">
        <v>27</v>
      </c>
      <c r="G972" s="7" t="s">
        <v>28</v>
      </c>
      <c r="H972" s="7" t="s">
        <v>149</v>
      </c>
      <c r="I972" s="7" t="s">
        <v>150</v>
      </c>
      <c r="J972" s="8"/>
      <c r="K972" s="8"/>
      <c r="L972" s="8"/>
      <c r="M972" s="8"/>
      <c r="N972" s="8"/>
      <c r="O972" s="8">
        <v>1.2854379679917396</v>
      </c>
      <c r="P972" s="8"/>
      <c r="Q972" t="s">
        <v>26</v>
      </c>
    </row>
    <row r="973" spans="1:17" hidden="1" x14ac:dyDescent="0.25">
      <c r="A973" s="7" t="s">
        <v>17</v>
      </c>
      <c r="B973" s="7" t="s">
        <v>18</v>
      </c>
      <c r="C973" s="7" t="s">
        <v>19</v>
      </c>
      <c r="D973" s="7"/>
      <c r="E973" s="7"/>
      <c r="F973" s="7" t="s">
        <v>29</v>
      </c>
      <c r="G973" s="7" t="s">
        <v>30</v>
      </c>
      <c r="H973" s="7" t="s">
        <v>149</v>
      </c>
      <c r="I973" s="7" t="s">
        <v>150</v>
      </c>
      <c r="J973" s="8"/>
      <c r="K973" s="8"/>
      <c r="L973" s="8"/>
      <c r="M973" s="8"/>
      <c r="N973" s="8"/>
      <c r="O973" s="8">
        <v>0</v>
      </c>
      <c r="P973" s="8"/>
      <c r="Q973" t="s">
        <v>26</v>
      </c>
    </row>
    <row r="974" spans="1:17" hidden="1" x14ac:dyDescent="0.25">
      <c r="A974" s="7" t="s">
        <v>17</v>
      </c>
      <c r="B974" s="7" t="s">
        <v>18</v>
      </c>
      <c r="C974" s="7" t="s">
        <v>19</v>
      </c>
      <c r="D974" s="7"/>
      <c r="E974" s="7"/>
      <c r="F974" s="7" t="s">
        <v>31</v>
      </c>
      <c r="G974" s="7" t="s">
        <v>32</v>
      </c>
      <c r="H974" s="7" t="s">
        <v>149</v>
      </c>
      <c r="I974" s="7" t="s">
        <v>150</v>
      </c>
      <c r="J974" s="8"/>
      <c r="K974" s="8"/>
      <c r="L974" s="8"/>
      <c r="M974" s="8"/>
      <c r="N974" s="8"/>
      <c r="O974" s="8">
        <v>35.221000322973666</v>
      </c>
      <c r="P974" s="8"/>
      <c r="Q974" t="s">
        <v>26</v>
      </c>
    </row>
    <row r="975" spans="1:17" hidden="1" x14ac:dyDescent="0.25">
      <c r="A975" s="7" t="s">
        <v>17</v>
      </c>
      <c r="B975" s="7" t="s">
        <v>18</v>
      </c>
      <c r="C975" s="7" t="s">
        <v>19</v>
      </c>
      <c r="D975" s="7"/>
      <c r="E975" s="7"/>
      <c r="F975" s="7" t="s">
        <v>33</v>
      </c>
      <c r="G975" s="7" t="s">
        <v>34</v>
      </c>
      <c r="H975" s="7" t="s">
        <v>149</v>
      </c>
      <c r="I975" s="7" t="s">
        <v>150</v>
      </c>
      <c r="J975" s="8"/>
      <c r="K975" s="8"/>
      <c r="L975" s="8"/>
      <c r="M975" s="8"/>
      <c r="N975" s="8"/>
      <c r="O975" s="8">
        <v>17.139172906556528</v>
      </c>
      <c r="P975" s="8"/>
      <c r="Q975" t="s">
        <v>26</v>
      </c>
    </row>
    <row r="976" spans="1:17" hidden="1" x14ac:dyDescent="0.25">
      <c r="A976" s="7" t="s">
        <v>17</v>
      </c>
      <c r="B976" s="7" t="s">
        <v>18</v>
      </c>
      <c r="C976" s="7" t="s">
        <v>19</v>
      </c>
      <c r="D976" s="7" t="s">
        <v>20</v>
      </c>
      <c r="E976" s="7" t="s">
        <v>21</v>
      </c>
      <c r="F976" s="7" t="s">
        <v>35</v>
      </c>
      <c r="G976" s="7" t="s">
        <v>36</v>
      </c>
      <c r="H976" s="7" t="s">
        <v>149</v>
      </c>
      <c r="I976" s="7" t="s">
        <v>150</v>
      </c>
      <c r="J976" s="8"/>
      <c r="K976" s="8"/>
      <c r="L976" s="8"/>
      <c r="M976" s="8"/>
      <c r="N976" s="8"/>
      <c r="O976" s="8">
        <v>629.0076456706247</v>
      </c>
      <c r="P976" s="8"/>
      <c r="Q976" t="s">
        <v>26</v>
      </c>
    </row>
    <row r="977" spans="1:17" hidden="1" x14ac:dyDescent="0.25">
      <c r="A977" s="7" t="s">
        <v>17</v>
      </c>
      <c r="B977" s="7" t="s">
        <v>18</v>
      </c>
      <c r="C977" s="7" t="s">
        <v>19</v>
      </c>
      <c r="D977" s="7"/>
      <c r="E977" s="7"/>
      <c r="F977" s="7" t="s">
        <v>37</v>
      </c>
      <c r="G977" s="7" t="s">
        <v>38</v>
      </c>
      <c r="H977" s="7" t="s">
        <v>149</v>
      </c>
      <c r="I977" s="7" t="s">
        <v>150</v>
      </c>
      <c r="J977" s="8"/>
      <c r="K977" s="8"/>
      <c r="L977" s="8"/>
      <c r="M977" s="8"/>
      <c r="N977" s="8"/>
      <c r="O977" s="8">
        <v>1.713917290655653</v>
      </c>
      <c r="P977" s="8"/>
      <c r="Q977" t="s">
        <v>26</v>
      </c>
    </row>
    <row r="978" spans="1:17" hidden="1" x14ac:dyDescent="0.25">
      <c r="A978" s="7" t="s">
        <v>17</v>
      </c>
      <c r="B978" s="7" t="s">
        <v>18</v>
      </c>
      <c r="C978" s="7" t="s">
        <v>19</v>
      </c>
      <c r="D978" s="7"/>
      <c r="E978" s="7"/>
      <c r="F978" s="7" t="s">
        <v>39</v>
      </c>
      <c r="G978" s="7" t="s">
        <v>40</v>
      </c>
      <c r="H978" s="7" t="s">
        <v>149</v>
      </c>
      <c r="I978" s="7" t="s">
        <v>150</v>
      </c>
      <c r="J978" s="8"/>
      <c r="K978" s="8"/>
      <c r="L978" s="8"/>
      <c r="M978" s="8"/>
      <c r="N978" s="8"/>
      <c r="O978" s="8">
        <v>2.9993552586473928</v>
      </c>
      <c r="P978" s="8"/>
      <c r="Q978" t="s">
        <v>26</v>
      </c>
    </row>
    <row r="979" spans="1:17" hidden="1" x14ac:dyDescent="0.25">
      <c r="A979" s="7" t="s">
        <v>17</v>
      </c>
      <c r="B979" s="7" t="s">
        <v>18</v>
      </c>
      <c r="C979" s="7" t="s">
        <v>19</v>
      </c>
      <c r="D979" s="7" t="s">
        <v>20</v>
      </c>
      <c r="E979" s="7" t="s">
        <v>21</v>
      </c>
      <c r="F979" s="7" t="s">
        <v>41</v>
      </c>
      <c r="G979" s="7" t="s">
        <v>42</v>
      </c>
      <c r="H979" s="7" t="s">
        <v>149</v>
      </c>
      <c r="I979" s="7" t="s">
        <v>150</v>
      </c>
      <c r="J979" s="8"/>
      <c r="K979" s="8"/>
      <c r="L979" s="8"/>
      <c r="M979" s="8"/>
      <c r="N979" s="8"/>
      <c r="O979" s="8">
        <v>93.408492340733076</v>
      </c>
      <c r="P979" s="8"/>
      <c r="Q979" t="s">
        <v>26</v>
      </c>
    </row>
    <row r="980" spans="1:17" hidden="1" x14ac:dyDescent="0.25">
      <c r="A980" s="7" t="s">
        <v>17</v>
      </c>
      <c r="B980" s="7" t="s">
        <v>18</v>
      </c>
      <c r="C980" s="7" t="s">
        <v>19</v>
      </c>
      <c r="D980" s="7" t="s">
        <v>20</v>
      </c>
      <c r="E980" s="7" t="s">
        <v>21</v>
      </c>
      <c r="F980" s="7" t="s">
        <v>43</v>
      </c>
      <c r="G980" s="7" t="s">
        <v>44</v>
      </c>
      <c r="H980" s="7" t="s">
        <v>149</v>
      </c>
      <c r="I980" s="7" t="s">
        <v>150</v>
      </c>
      <c r="J980" s="8"/>
      <c r="K980" s="8"/>
      <c r="L980" s="8"/>
      <c r="M980" s="8"/>
      <c r="N980" s="8"/>
      <c r="O980" s="8">
        <v>6.8556691626226121</v>
      </c>
      <c r="P980" s="8"/>
      <c r="Q980" t="s">
        <v>26</v>
      </c>
    </row>
    <row r="981" spans="1:17" hidden="1" x14ac:dyDescent="0.25">
      <c r="A981" s="7" t="s">
        <v>17</v>
      </c>
      <c r="B981" s="7" t="s">
        <v>18</v>
      </c>
      <c r="C981" s="7" t="s">
        <v>19</v>
      </c>
      <c r="D981" s="7"/>
      <c r="E981" s="7"/>
      <c r="F981" s="7" t="s">
        <v>45</v>
      </c>
      <c r="G981" s="7" t="s">
        <v>46</v>
      </c>
      <c r="H981" s="7" t="s">
        <v>149</v>
      </c>
      <c r="I981" s="7" t="s">
        <v>150</v>
      </c>
      <c r="J981" s="8"/>
      <c r="K981" s="8"/>
      <c r="L981" s="8"/>
      <c r="M981" s="8"/>
      <c r="N981" s="8"/>
      <c r="O981" s="8">
        <v>10.711983066597831</v>
      </c>
      <c r="P981" s="8"/>
      <c r="Q981" t="s">
        <v>26</v>
      </c>
    </row>
    <row r="982" spans="1:17" hidden="1" x14ac:dyDescent="0.25">
      <c r="A982" s="7" t="s">
        <v>17</v>
      </c>
      <c r="B982" s="7" t="s">
        <v>18</v>
      </c>
      <c r="C982" s="7" t="s">
        <v>19</v>
      </c>
      <c r="D982" s="7" t="s">
        <v>20</v>
      </c>
      <c r="E982" s="7" t="s">
        <v>21</v>
      </c>
      <c r="F982" s="7" t="s">
        <v>47</v>
      </c>
      <c r="G982" s="7" t="s">
        <v>48</v>
      </c>
      <c r="H982" s="7" t="s">
        <v>149</v>
      </c>
      <c r="I982" s="7" t="s">
        <v>150</v>
      </c>
      <c r="J982" s="8"/>
      <c r="K982" s="8"/>
      <c r="L982" s="8"/>
      <c r="M982" s="8"/>
      <c r="N982" s="8"/>
      <c r="O982" s="8">
        <v>2.5708759359834792</v>
      </c>
      <c r="P982" s="8"/>
      <c r="Q982" t="s">
        <v>26</v>
      </c>
    </row>
    <row r="983" spans="1:17" hidden="1" x14ac:dyDescent="0.25">
      <c r="A983" s="7" t="s">
        <v>17</v>
      </c>
      <c r="B983" s="7" t="s">
        <v>18</v>
      </c>
      <c r="C983" s="7" t="s">
        <v>19</v>
      </c>
      <c r="D983" s="7"/>
      <c r="E983" s="7"/>
      <c r="F983" s="7" t="s">
        <v>49</v>
      </c>
      <c r="G983" s="7" t="s">
        <v>50</v>
      </c>
      <c r="H983" s="7" t="s">
        <v>149</v>
      </c>
      <c r="I983" s="7" t="s">
        <v>150</v>
      </c>
      <c r="J983" s="8"/>
      <c r="K983" s="8"/>
      <c r="L983" s="8"/>
      <c r="M983" s="8"/>
      <c r="N983" s="8"/>
      <c r="O983" s="8">
        <v>3.427834581311306</v>
      </c>
      <c r="P983" s="8"/>
      <c r="Q983" t="s">
        <v>26</v>
      </c>
    </row>
    <row r="984" spans="1:17" hidden="1" x14ac:dyDescent="0.25">
      <c r="A984" s="7" t="s">
        <v>17</v>
      </c>
      <c r="B984" s="7" t="s">
        <v>18</v>
      </c>
      <c r="C984" s="7" t="s">
        <v>19</v>
      </c>
      <c r="D984" s="7"/>
      <c r="E984" s="7"/>
      <c r="F984" s="7" t="s">
        <v>51</v>
      </c>
      <c r="G984" s="7" t="s">
        <v>52</v>
      </c>
      <c r="H984" s="7" t="s">
        <v>149</v>
      </c>
      <c r="I984" s="7" t="s">
        <v>150</v>
      </c>
      <c r="J984" s="8"/>
      <c r="K984" s="8"/>
      <c r="L984" s="8"/>
      <c r="M984" s="8"/>
      <c r="N984" s="8"/>
      <c r="O984" s="8">
        <v>5.1417518719669584</v>
      </c>
      <c r="P984" s="8"/>
      <c r="Q984" t="s">
        <v>26</v>
      </c>
    </row>
    <row r="985" spans="1:17" hidden="1" x14ac:dyDescent="0.25">
      <c r="A985" s="7" t="s">
        <v>17</v>
      </c>
      <c r="B985" s="7" t="s">
        <v>18</v>
      </c>
      <c r="C985" s="7" t="s">
        <v>19</v>
      </c>
      <c r="D985" s="7"/>
      <c r="E985" s="7"/>
      <c r="F985" s="7" t="s">
        <v>53</v>
      </c>
      <c r="G985" s="7" t="s">
        <v>54</v>
      </c>
      <c r="H985" s="7" t="s">
        <v>149</v>
      </c>
      <c r="I985" s="7" t="s">
        <v>150</v>
      </c>
      <c r="J985" s="8"/>
      <c r="K985" s="8"/>
      <c r="L985" s="8"/>
      <c r="M985" s="8"/>
      <c r="N985" s="8"/>
      <c r="O985" s="8">
        <v>0</v>
      </c>
      <c r="P985" s="8"/>
      <c r="Q985" t="s">
        <v>26</v>
      </c>
    </row>
    <row r="986" spans="1:17" hidden="1" x14ac:dyDescent="0.25">
      <c r="A986" s="7" t="s">
        <v>17</v>
      </c>
      <c r="B986" s="7" t="s">
        <v>18</v>
      </c>
      <c r="C986" s="7" t="s">
        <v>19</v>
      </c>
      <c r="D986" s="7"/>
      <c r="E986" s="7"/>
      <c r="F986" s="7" t="s">
        <v>55</v>
      </c>
      <c r="G986" s="7" t="s">
        <v>56</v>
      </c>
      <c r="H986" s="7" t="s">
        <v>149</v>
      </c>
      <c r="I986" s="7" t="s">
        <v>150</v>
      </c>
      <c r="J986" s="8"/>
      <c r="K986" s="8"/>
      <c r="L986" s="8"/>
      <c r="M986" s="8"/>
      <c r="N986" s="8"/>
      <c r="O986" s="8">
        <v>2.142396613319566</v>
      </c>
      <c r="P986" s="8"/>
      <c r="Q986" t="s">
        <v>26</v>
      </c>
    </row>
    <row r="987" spans="1:17" hidden="1" x14ac:dyDescent="0.25">
      <c r="A987" s="7" t="s">
        <v>17</v>
      </c>
      <c r="B987" s="7" t="s">
        <v>18</v>
      </c>
      <c r="C987" s="7" t="s">
        <v>19</v>
      </c>
      <c r="D987" s="7"/>
      <c r="E987" s="7"/>
      <c r="F987" s="7" t="s">
        <v>57</v>
      </c>
      <c r="G987" s="7" t="s">
        <v>58</v>
      </c>
      <c r="H987" s="7" t="s">
        <v>149</v>
      </c>
      <c r="I987" s="7" t="s">
        <v>150</v>
      </c>
      <c r="J987" s="8"/>
      <c r="K987" s="8"/>
      <c r="L987" s="8"/>
      <c r="M987" s="8"/>
      <c r="N987" s="8"/>
      <c r="O987" s="8">
        <v>5.1417518719669584</v>
      </c>
      <c r="P987" s="8"/>
      <c r="Q987" t="s">
        <v>26</v>
      </c>
    </row>
    <row r="988" spans="1:17" hidden="1" x14ac:dyDescent="0.25">
      <c r="A988" s="7" t="s">
        <v>17</v>
      </c>
      <c r="B988" s="7" t="s">
        <v>18</v>
      </c>
      <c r="C988" s="7" t="s">
        <v>19</v>
      </c>
      <c r="D988" s="7" t="s">
        <v>20</v>
      </c>
      <c r="E988" s="7" t="s">
        <v>21</v>
      </c>
      <c r="F988" s="7" t="s">
        <v>59</v>
      </c>
      <c r="G988" s="7" t="s">
        <v>60</v>
      </c>
      <c r="H988" s="7" t="s">
        <v>149</v>
      </c>
      <c r="I988" s="7" t="s">
        <v>150</v>
      </c>
      <c r="J988" s="8"/>
      <c r="K988" s="8"/>
      <c r="L988" s="8"/>
      <c r="M988" s="8"/>
      <c r="N988" s="8"/>
      <c r="O988" s="8">
        <v>43.276411589055243</v>
      </c>
      <c r="P988" s="8"/>
      <c r="Q988" t="s">
        <v>26</v>
      </c>
    </row>
    <row r="989" spans="1:17" hidden="1" x14ac:dyDescent="0.25">
      <c r="A989" s="7" t="s">
        <v>17</v>
      </c>
      <c r="B989" s="7" t="s">
        <v>18</v>
      </c>
      <c r="C989" s="7" t="s">
        <v>19</v>
      </c>
      <c r="D989" s="7" t="s">
        <v>20</v>
      </c>
      <c r="E989" s="7" t="s">
        <v>21</v>
      </c>
      <c r="F989" s="7" t="s">
        <v>61</v>
      </c>
      <c r="G989" s="7" t="s">
        <v>62</v>
      </c>
      <c r="H989" s="7" t="s">
        <v>149</v>
      </c>
      <c r="I989" s="7" t="s">
        <v>150</v>
      </c>
      <c r="J989" s="8"/>
      <c r="K989" s="8"/>
      <c r="L989" s="8"/>
      <c r="M989" s="8"/>
      <c r="N989" s="8"/>
      <c r="O989" s="8">
        <v>0</v>
      </c>
      <c r="P989" s="8"/>
      <c r="Q989" t="s">
        <v>26</v>
      </c>
    </row>
    <row r="990" spans="1:17" hidden="1" x14ac:dyDescent="0.25">
      <c r="A990" s="7" t="s">
        <v>17</v>
      </c>
      <c r="B990" s="7" t="s">
        <v>18</v>
      </c>
      <c r="C990" s="7" t="s">
        <v>19</v>
      </c>
      <c r="D990" s="7"/>
      <c r="E990" s="7"/>
      <c r="F990" s="7" t="s">
        <v>63</v>
      </c>
      <c r="G990" s="7" t="s">
        <v>64</v>
      </c>
      <c r="H990" s="7" t="s">
        <v>149</v>
      </c>
      <c r="I990" s="7" t="s">
        <v>150</v>
      </c>
      <c r="J990" s="8"/>
      <c r="K990" s="8"/>
      <c r="L990" s="8"/>
      <c r="M990" s="8"/>
      <c r="N990" s="8"/>
      <c r="O990" s="8">
        <v>1.2854379679917396</v>
      </c>
      <c r="P990" s="8"/>
      <c r="Q990" t="s">
        <v>26</v>
      </c>
    </row>
    <row r="991" spans="1:17" hidden="1" x14ac:dyDescent="0.25">
      <c r="A991" s="7" t="s">
        <v>17</v>
      </c>
      <c r="B991" s="7" t="s">
        <v>18</v>
      </c>
      <c r="C991" s="7" t="s">
        <v>19</v>
      </c>
      <c r="D991" s="7" t="s">
        <v>20</v>
      </c>
      <c r="E991" s="7" t="s">
        <v>21</v>
      </c>
      <c r="F991" s="7" t="s">
        <v>65</v>
      </c>
      <c r="G991" s="7" t="s">
        <v>66</v>
      </c>
      <c r="H991" s="7" t="s">
        <v>149</v>
      </c>
      <c r="I991" s="7" t="s">
        <v>150</v>
      </c>
      <c r="J991" s="8"/>
      <c r="K991" s="8"/>
      <c r="L991" s="8"/>
      <c r="M991" s="8"/>
      <c r="N991" s="8"/>
      <c r="O991" s="8">
        <v>1102.4772972142487</v>
      </c>
      <c r="P991" s="8"/>
      <c r="Q991" t="s">
        <v>26</v>
      </c>
    </row>
    <row r="992" spans="1:17" hidden="1" x14ac:dyDescent="0.25">
      <c r="A992" s="7" t="s">
        <v>17</v>
      </c>
      <c r="B992" s="7" t="s">
        <v>18</v>
      </c>
      <c r="C992" s="7" t="s">
        <v>19</v>
      </c>
      <c r="D992" s="7"/>
      <c r="E992" s="7"/>
      <c r="F992" s="7" t="s">
        <v>67</v>
      </c>
      <c r="G992" s="7" t="s">
        <v>68</v>
      </c>
      <c r="H992" s="7" t="s">
        <v>149</v>
      </c>
      <c r="I992" s="7" t="s">
        <v>150</v>
      </c>
      <c r="J992" s="8"/>
      <c r="K992" s="8"/>
      <c r="L992" s="8"/>
      <c r="M992" s="8"/>
      <c r="N992" s="8"/>
      <c r="O992" s="8">
        <v>3.8563139039752192</v>
      </c>
      <c r="P992" s="8"/>
      <c r="Q992" t="s">
        <v>26</v>
      </c>
    </row>
    <row r="993" spans="1:17" hidden="1" x14ac:dyDescent="0.25">
      <c r="A993" s="7" t="s">
        <v>17</v>
      </c>
      <c r="B993" s="7" t="s">
        <v>18</v>
      </c>
      <c r="C993" s="7" t="s">
        <v>19</v>
      </c>
      <c r="D993" s="7"/>
      <c r="E993" s="7"/>
      <c r="F993" s="7" t="s">
        <v>69</v>
      </c>
      <c r="G993" s="7" t="s">
        <v>70</v>
      </c>
      <c r="H993" s="7" t="s">
        <v>149</v>
      </c>
      <c r="I993" s="7" t="s">
        <v>150</v>
      </c>
      <c r="J993" s="8"/>
      <c r="K993" s="8"/>
      <c r="L993" s="8"/>
      <c r="M993" s="8"/>
      <c r="N993" s="8"/>
      <c r="O993" s="8">
        <v>0.42847932266391325</v>
      </c>
      <c r="P993" s="8"/>
      <c r="Q993" t="s">
        <v>26</v>
      </c>
    </row>
    <row r="994" spans="1:17" hidden="1" x14ac:dyDescent="0.25">
      <c r="A994" s="7" t="s">
        <v>17</v>
      </c>
      <c r="B994" s="7" t="s">
        <v>18</v>
      </c>
      <c r="C994" s="7" t="s">
        <v>19</v>
      </c>
      <c r="D994" s="7"/>
      <c r="E994" s="7"/>
      <c r="F994" s="7" t="s">
        <v>71</v>
      </c>
      <c r="G994" s="7" t="s">
        <v>72</v>
      </c>
      <c r="H994" s="7" t="s">
        <v>149</v>
      </c>
      <c r="I994" s="7" t="s">
        <v>150</v>
      </c>
      <c r="J994" s="8"/>
      <c r="K994" s="8"/>
      <c r="L994" s="8"/>
      <c r="M994" s="8"/>
      <c r="N994" s="8"/>
      <c r="O994" s="8">
        <v>0.85695864532782651</v>
      </c>
      <c r="P994" s="8"/>
      <c r="Q994" t="s">
        <v>26</v>
      </c>
    </row>
    <row r="995" spans="1:17" hidden="1" x14ac:dyDescent="0.25">
      <c r="A995" s="7" t="s">
        <v>17</v>
      </c>
      <c r="B995" s="7" t="s">
        <v>18</v>
      </c>
      <c r="C995" s="7" t="s">
        <v>19</v>
      </c>
      <c r="D995" s="7" t="s">
        <v>20</v>
      </c>
      <c r="E995" s="7" t="s">
        <v>21</v>
      </c>
      <c r="F995" s="7" t="s">
        <v>73</v>
      </c>
      <c r="G995" s="7" t="s">
        <v>74</v>
      </c>
      <c r="H995" s="7" t="s">
        <v>149</v>
      </c>
      <c r="I995" s="7" t="s">
        <v>150</v>
      </c>
      <c r="J995" s="8"/>
      <c r="K995" s="8"/>
      <c r="L995" s="8"/>
      <c r="M995" s="8"/>
      <c r="N995" s="8"/>
      <c r="O995" s="8">
        <v>67.271253658234386</v>
      </c>
      <c r="P995" s="8"/>
      <c r="Q995" t="s">
        <v>26</v>
      </c>
    </row>
    <row r="996" spans="1:17" hidden="1" x14ac:dyDescent="0.25">
      <c r="A996" s="7" t="s">
        <v>17</v>
      </c>
      <c r="B996" s="7" t="s">
        <v>18</v>
      </c>
      <c r="C996" s="7" t="s">
        <v>19</v>
      </c>
      <c r="D996" s="7" t="s">
        <v>20</v>
      </c>
      <c r="E996" s="7" t="s">
        <v>21</v>
      </c>
      <c r="F996" s="7" t="s">
        <v>75</v>
      </c>
      <c r="G996" s="7" t="s">
        <v>76</v>
      </c>
      <c r="H996" s="7" t="s">
        <v>149</v>
      </c>
      <c r="I996" s="7" t="s">
        <v>150</v>
      </c>
      <c r="J996" s="8"/>
      <c r="K996" s="8"/>
      <c r="L996" s="8"/>
      <c r="M996" s="8"/>
      <c r="N996" s="8"/>
      <c r="O996" s="8">
        <v>0</v>
      </c>
      <c r="P996" s="8"/>
      <c r="Q996" t="s">
        <v>26</v>
      </c>
    </row>
    <row r="997" spans="1:17" hidden="1" x14ac:dyDescent="0.25">
      <c r="A997" s="7" t="s">
        <v>17</v>
      </c>
      <c r="B997" s="7" t="s">
        <v>18</v>
      </c>
      <c r="C997" s="7" t="s">
        <v>19</v>
      </c>
      <c r="D997" s="7"/>
      <c r="E997" s="7"/>
      <c r="F997" s="7" t="s">
        <v>77</v>
      </c>
      <c r="G997" s="7" t="s">
        <v>78</v>
      </c>
      <c r="H997" s="7" t="s">
        <v>149</v>
      </c>
      <c r="I997" s="7" t="s">
        <v>150</v>
      </c>
      <c r="J997" s="8"/>
      <c r="K997" s="8"/>
      <c r="L997" s="8"/>
      <c r="M997" s="8"/>
      <c r="N997" s="8"/>
      <c r="O997" s="8">
        <v>1.713917290655653</v>
      </c>
      <c r="P997" s="8"/>
      <c r="Q997" t="s">
        <v>26</v>
      </c>
    </row>
    <row r="998" spans="1:17" hidden="1" x14ac:dyDescent="0.25">
      <c r="A998" s="7" t="s">
        <v>17</v>
      </c>
      <c r="B998" s="7" t="s">
        <v>18</v>
      </c>
      <c r="C998" s="7" t="s">
        <v>19</v>
      </c>
      <c r="D998" s="7"/>
      <c r="E998" s="7"/>
      <c r="F998" s="7" t="s">
        <v>79</v>
      </c>
      <c r="G998" s="7" t="s">
        <v>80</v>
      </c>
      <c r="H998" s="7" t="s">
        <v>149</v>
      </c>
      <c r="I998" s="7" t="s">
        <v>150</v>
      </c>
      <c r="J998" s="8"/>
      <c r="K998" s="8"/>
      <c r="L998" s="8"/>
      <c r="M998" s="8"/>
      <c r="N998" s="8"/>
      <c r="O998" s="8">
        <v>0.85695864532782651</v>
      </c>
      <c r="P998" s="8"/>
      <c r="Q998" t="s">
        <v>26</v>
      </c>
    </row>
    <row r="999" spans="1:17" hidden="1" x14ac:dyDescent="0.25">
      <c r="A999" s="7" t="s">
        <v>17</v>
      </c>
      <c r="B999" s="7" t="s">
        <v>18</v>
      </c>
      <c r="C999" s="7" t="s">
        <v>19</v>
      </c>
      <c r="D999" s="7"/>
      <c r="E999" s="7"/>
      <c r="F999" s="7" t="s">
        <v>81</v>
      </c>
      <c r="G999" s="7" t="s">
        <v>82</v>
      </c>
      <c r="H999" s="7" t="s">
        <v>149</v>
      </c>
      <c r="I999" s="7" t="s">
        <v>150</v>
      </c>
      <c r="J999" s="8"/>
      <c r="K999" s="8"/>
      <c r="L999" s="8"/>
      <c r="M999" s="8"/>
      <c r="N999" s="8"/>
      <c r="O999" s="8">
        <v>4.284793226639132</v>
      </c>
      <c r="P999" s="8"/>
      <c r="Q999" t="s">
        <v>26</v>
      </c>
    </row>
    <row r="1000" spans="1:17" hidden="1" x14ac:dyDescent="0.25">
      <c r="A1000" s="7" t="s">
        <v>17</v>
      </c>
      <c r="B1000" s="7" t="s">
        <v>18</v>
      </c>
      <c r="C1000" s="7" t="s">
        <v>19</v>
      </c>
      <c r="D1000" s="7"/>
      <c r="E1000" s="7"/>
      <c r="F1000" s="7" t="s">
        <v>83</v>
      </c>
      <c r="G1000" s="7" t="s">
        <v>84</v>
      </c>
      <c r="H1000" s="7" t="s">
        <v>149</v>
      </c>
      <c r="I1000" s="7" t="s">
        <v>150</v>
      </c>
      <c r="J1000" s="8"/>
      <c r="K1000" s="8"/>
      <c r="L1000" s="8"/>
      <c r="M1000" s="8"/>
      <c r="N1000" s="8"/>
      <c r="O1000" s="8">
        <v>1.2854379679917396</v>
      </c>
      <c r="P1000" s="8"/>
      <c r="Q1000" t="s">
        <v>26</v>
      </c>
    </row>
    <row r="1001" spans="1:17" hidden="1" x14ac:dyDescent="0.25">
      <c r="A1001" s="7" t="s">
        <v>17</v>
      </c>
      <c r="B1001" s="7" t="s">
        <v>18</v>
      </c>
      <c r="C1001" s="7" t="s">
        <v>19</v>
      </c>
      <c r="D1001" s="7" t="s">
        <v>20</v>
      </c>
      <c r="E1001" s="7" t="s">
        <v>21</v>
      </c>
      <c r="F1001" s="7" t="s">
        <v>85</v>
      </c>
      <c r="G1001" s="7" t="s">
        <v>86</v>
      </c>
      <c r="H1001" s="7" t="s">
        <v>149</v>
      </c>
      <c r="I1001" s="7" t="s">
        <v>150</v>
      </c>
      <c r="J1001" s="8"/>
      <c r="K1001" s="8"/>
      <c r="L1001" s="8"/>
      <c r="M1001" s="8"/>
      <c r="N1001" s="8"/>
      <c r="O1001" s="8">
        <v>0</v>
      </c>
      <c r="P1001" s="8"/>
      <c r="Q1001" t="s">
        <v>26</v>
      </c>
    </row>
    <row r="1002" spans="1:17" hidden="1" x14ac:dyDescent="0.25">
      <c r="A1002" s="7" t="s">
        <v>17</v>
      </c>
      <c r="B1002" s="7" t="s">
        <v>18</v>
      </c>
      <c r="C1002" s="7" t="s">
        <v>19</v>
      </c>
      <c r="D1002" s="7"/>
      <c r="E1002" s="7"/>
      <c r="F1002" s="7" t="s">
        <v>87</v>
      </c>
      <c r="G1002" s="7" t="s">
        <v>88</v>
      </c>
      <c r="H1002" s="7" t="s">
        <v>149</v>
      </c>
      <c r="I1002" s="7" t="s">
        <v>150</v>
      </c>
      <c r="J1002" s="8"/>
      <c r="K1002" s="8"/>
      <c r="L1002" s="8"/>
      <c r="M1002" s="8"/>
      <c r="N1002" s="8"/>
      <c r="O1002" s="8">
        <v>1.2854379679917396</v>
      </c>
      <c r="P1002" s="8"/>
      <c r="Q1002" t="s">
        <v>26</v>
      </c>
    </row>
    <row r="1003" spans="1:17" hidden="1" x14ac:dyDescent="0.25">
      <c r="A1003" s="7" t="s">
        <v>17</v>
      </c>
      <c r="B1003" s="7" t="s">
        <v>18</v>
      </c>
      <c r="C1003" s="7" t="s">
        <v>19</v>
      </c>
      <c r="D1003" s="7"/>
      <c r="E1003" s="7"/>
      <c r="F1003" s="7" t="s">
        <v>89</v>
      </c>
      <c r="G1003" s="7" t="s">
        <v>90</v>
      </c>
      <c r="H1003" s="7" t="s">
        <v>149</v>
      </c>
      <c r="I1003" s="7" t="s">
        <v>150</v>
      </c>
      <c r="J1003" s="8"/>
      <c r="K1003" s="8"/>
      <c r="L1003" s="8"/>
      <c r="M1003" s="8"/>
      <c r="N1003" s="8"/>
      <c r="O1003" s="8">
        <v>67.69973298089829</v>
      </c>
      <c r="P1003" s="8"/>
      <c r="Q1003" t="s">
        <v>26</v>
      </c>
    </row>
    <row r="1004" spans="1:17" hidden="1" x14ac:dyDescent="0.25">
      <c r="A1004" s="7" t="s">
        <v>17</v>
      </c>
      <c r="B1004" s="7" t="s">
        <v>18</v>
      </c>
      <c r="C1004" s="7" t="s">
        <v>19</v>
      </c>
      <c r="D1004" s="7"/>
      <c r="E1004" s="7"/>
      <c r="F1004" s="7" t="s">
        <v>91</v>
      </c>
      <c r="G1004" s="7" t="s">
        <v>92</v>
      </c>
      <c r="H1004" s="7" t="s">
        <v>149</v>
      </c>
      <c r="I1004" s="7" t="s">
        <v>150</v>
      </c>
      <c r="J1004" s="8"/>
      <c r="K1004" s="8"/>
      <c r="L1004" s="8"/>
      <c r="M1004" s="8"/>
      <c r="N1004" s="8"/>
      <c r="O1004" s="8">
        <v>26.137238682498705</v>
      </c>
      <c r="P1004" s="8"/>
      <c r="Q1004" t="s">
        <v>26</v>
      </c>
    </row>
    <row r="1005" spans="1:17" hidden="1" x14ac:dyDescent="0.25">
      <c r="A1005" s="7" t="s">
        <v>17</v>
      </c>
      <c r="B1005" s="7" t="s">
        <v>18</v>
      </c>
      <c r="C1005" s="7" t="s">
        <v>19</v>
      </c>
      <c r="D1005" s="7"/>
      <c r="E1005" s="7"/>
      <c r="F1005" s="7" t="s">
        <v>93</v>
      </c>
      <c r="G1005" s="7" t="s">
        <v>94</v>
      </c>
      <c r="H1005" s="7" t="s">
        <v>149</v>
      </c>
      <c r="I1005" s="7" t="s">
        <v>150</v>
      </c>
      <c r="J1005" s="8"/>
      <c r="K1005" s="8"/>
      <c r="L1005" s="8"/>
      <c r="M1005" s="8"/>
      <c r="N1005" s="8"/>
      <c r="O1005" s="8">
        <v>1.2854379679917396</v>
      </c>
      <c r="P1005" s="8"/>
      <c r="Q1005" t="s">
        <v>26</v>
      </c>
    </row>
    <row r="1006" spans="1:17" hidden="1" x14ac:dyDescent="0.25">
      <c r="A1006" s="7" t="s">
        <v>17</v>
      </c>
      <c r="B1006" s="7" t="s">
        <v>18</v>
      </c>
      <c r="C1006" s="7" t="s">
        <v>19</v>
      </c>
      <c r="D1006" s="7"/>
      <c r="E1006" s="7"/>
      <c r="F1006" s="7" t="s">
        <v>95</v>
      </c>
      <c r="G1006" s="7" t="s">
        <v>96</v>
      </c>
      <c r="H1006" s="7" t="s">
        <v>149</v>
      </c>
      <c r="I1006" s="7" t="s">
        <v>150</v>
      </c>
      <c r="J1006" s="8"/>
      <c r="K1006" s="8"/>
      <c r="L1006" s="8"/>
      <c r="M1006" s="8"/>
      <c r="N1006" s="8"/>
      <c r="O1006" s="8">
        <v>0.85695864532782651</v>
      </c>
      <c r="P1006" s="8"/>
      <c r="Q1006" t="s">
        <v>26</v>
      </c>
    </row>
    <row r="1007" spans="1:17" hidden="1" x14ac:dyDescent="0.25">
      <c r="A1007" s="7" t="s">
        <v>17</v>
      </c>
      <c r="B1007" s="7" t="s">
        <v>18</v>
      </c>
      <c r="C1007" s="7" t="s">
        <v>19</v>
      </c>
      <c r="D1007" s="7"/>
      <c r="E1007" s="7"/>
      <c r="F1007" s="7" t="s">
        <v>97</v>
      </c>
      <c r="G1007" s="7" t="s">
        <v>98</v>
      </c>
      <c r="H1007" s="7" t="s">
        <v>149</v>
      </c>
      <c r="I1007" s="7" t="s">
        <v>150</v>
      </c>
      <c r="J1007" s="8"/>
      <c r="K1007" s="8"/>
      <c r="L1007" s="8"/>
      <c r="M1007" s="8"/>
      <c r="N1007" s="8"/>
      <c r="O1007" s="8">
        <v>2.142396613319566</v>
      </c>
      <c r="P1007" s="8"/>
      <c r="Q1007" t="s">
        <v>26</v>
      </c>
    </row>
    <row r="1008" spans="1:17" hidden="1" x14ac:dyDescent="0.25">
      <c r="A1008" s="7" t="s">
        <v>17</v>
      </c>
      <c r="B1008" s="7" t="s">
        <v>18</v>
      </c>
      <c r="C1008" s="7" t="s">
        <v>19</v>
      </c>
      <c r="D1008" s="7"/>
      <c r="E1008" s="7"/>
      <c r="F1008" s="7" t="s">
        <v>99</v>
      </c>
      <c r="G1008" s="7" t="s">
        <v>100</v>
      </c>
      <c r="H1008" s="7" t="s">
        <v>149</v>
      </c>
      <c r="I1008" s="7" t="s">
        <v>150</v>
      </c>
      <c r="J1008" s="8"/>
      <c r="K1008" s="8"/>
      <c r="L1008" s="8"/>
      <c r="M1008" s="8"/>
      <c r="N1008" s="8"/>
      <c r="O1008" s="8">
        <v>55.83085574310789</v>
      </c>
      <c r="P1008" s="8"/>
      <c r="Q1008" t="s">
        <v>26</v>
      </c>
    </row>
    <row r="1009" spans="1:17" hidden="1" x14ac:dyDescent="0.25">
      <c r="A1009" s="7" t="s">
        <v>17</v>
      </c>
      <c r="B1009" s="7" t="s">
        <v>18</v>
      </c>
      <c r="C1009" s="7" t="s">
        <v>19</v>
      </c>
      <c r="D1009" s="7" t="s">
        <v>20</v>
      </c>
      <c r="E1009" s="7" t="s">
        <v>21</v>
      </c>
      <c r="F1009" s="7" t="s">
        <v>101</v>
      </c>
      <c r="G1009" s="7" t="s">
        <v>21</v>
      </c>
      <c r="H1009" s="7" t="s">
        <v>149</v>
      </c>
      <c r="I1009" s="7" t="s">
        <v>150</v>
      </c>
      <c r="J1009" s="8"/>
      <c r="K1009" s="8"/>
      <c r="L1009" s="8"/>
      <c r="M1009" s="8"/>
      <c r="N1009" s="8"/>
      <c r="O1009" s="8">
        <v>0</v>
      </c>
      <c r="P1009" s="8"/>
      <c r="Q1009" t="s">
        <v>26</v>
      </c>
    </row>
    <row r="1010" spans="1:17" hidden="1" x14ac:dyDescent="0.25">
      <c r="A1010" s="7" t="s">
        <v>17</v>
      </c>
      <c r="B1010" s="7" t="s">
        <v>18</v>
      </c>
      <c r="C1010" s="7" t="s">
        <v>19</v>
      </c>
      <c r="D1010" s="7"/>
      <c r="E1010" s="7"/>
      <c r="F1010" s="7" t="s">
        <v>102</v>
      </c>
      <c r="G1010" s="7" t="s">
        <v>103</v>
      </c>
      <c r="H1010" s="7" t="s">
        <v>149</v>
      </c>
      <c r="I1010" s="7" t="s">
        <v>150</v>
      </c>
      <c r="J1010" s="8"/>
      <c r="K1010" s="8"/>
      <c r="L1010" s="8"/>
      <c r="M1010" s="8"/>
      <c r="N1010" s="8"/>
      <c r="O1010" s="8">
        <v>0.85695864532782651</v>
      </c>
      <c r="P1010" s="8"/>
      <c r="Q1010" t="s">
        <v>26</v>
      </c>
    </row>
    <row r="1011" spans="1:17" hidden="1" x14ac:dyDescent="0.25">
      <c r="A1011" s="7" t="s">
        <v>17</v>
      </c>
      <c r="B1011" s="7" t="s">
        <v>18</v>
      </c>
      <c r="C1011" s="7" t="s">
        <v>19</v>
      </c>
      <c r="D1011" s="7" t="s">
        <v>20</v>
      </c>
      <c r="E1011" s="7" t="s">
        <v>21</v>
      </c>
      <c r="F1011" s="7" t="s">
        <v>104</v>
      </c>
      <c r="G1011" s="7" t="s">
        <v>105</v>
      </c>
      <c r="H1011" s="7" t="s">
        <v>149</v>
      </c>
      <c r="I1011" s="7" t="s">
        <v>150</v>
      </c>
      <c r="J1011" s="8"/>
      <c r="K1011" s="8"/>
      <c r="L1011" s="8"/>
      <c r="M1011" s="8"/>
      <c r="N1011" s="8"/>
      <c r="O1011" s="8">
        <v>3058.0569258523487</v>
      </c>
      <c r="P1011" s="8"/>
      <c r="Q1011" t="s">
        <v>26</v>
      </c>
    </row>
    <row r="1012" spans="1:17" hidden="1" x14ac:dyDescent="0.25">
      <c r="A1012" s="7" t="s">
        <v>17</v>
      </c>
      <c r="B1012" s="7" t="s">
        <v>18</v>
      </c>
      <c r="C1012" s="7" t="s">
        <v>19</v>
      </c>
      <c r="D1012" s="7"/>
      <c r="E1012" s="7"/>
      <c r="F1012" s="7" t="s">
        <v>106</v>
      </c>
      <c r="G1012" s="7" t="s">
        <v>107</v>
      </c>
      <c r="H1012" s="7" t="s">
        <v>149</v>
      </c>
      <c r="I1012" s="7" t="s">
        <v>150</v>
      </c>
      <c r="J1012" s="8"/>
      <c r="K1012" s="8"/>
      <c r="L1012" s="8"/>
      <c r="M1012" s="8"/>
      <c r="N1012" s="8"/>
      <c r="O1012" s="8">
        <v>1.2854379679917396</v>
      </c>
      <c r="P1012" s="8"/>
      <c r="Q1012" t="s">
        <v>26</v>
      </c>
    </row>
    <row r="1013" spans="1:17" hidden="1" x14ac:dyDescent="0.25">
      <c r="A1013" s="7" t="s">
        <v>17</v>
      </c>
      <c r="B1013" s="7" t="s">
        <v>18</v>
      </c>
      <c r="C1013" s="7" t="s">
        <v>19</v>
      </c>
      <c r="D1013" s="7"/>
      <c r="E1013" s="7"/>
      <c r="F1013" s="7" t="s">
        <v>108</v>
      </c>
      <c r="G1013" s="7" t="s">
        <v>109</v>
      </c>
      <c r="H1013" s="7" t="s">
        <v>149</v>
      </c>
      <c r="I1013" s="7" t="s">
        <v>150</v>
      </c>
      <c r="J1013" s="8"/>
      <c r="K1013" s="8"/>
      <c r="L1013" s="8"/>
      <c r="M1013" s="8"/>
      <c r="N1013" s="8"/>
      <c r="O1013" s="8">
        <v>0</v>
      </c>
      <c r="P1013" s="8"/>
      <c r="Q1013" t="s">
        <v>26</v>
      </c>
    </row>
    <row r="1014" spans="1:17" hidden="1" x14ac:dyDescent="0.25">
      <c r="A1014" s="7" t="s">
        <v>17</v>
      </c>
      <c r="B1014" s="7" t="s">
        <v>18</v>
      </c>
      <c r="C1014" s="7" t="s">
        <v>19</v>
      </c>
      <c r="D1014" s="7"/>
      <c r="E1014" s="7"/>
      <c r="F1014" s="7" t="s">
        <v>110</v>
      </c>
      <c r="G1014" s="7" t="s">
        <v>111</v>
      </c>
      <c r="H1014" s="7" t="s">
        <v>149</v>
      </c>
      <c r="I1014" s="7" t="s">
        <v>150</v>
      </c>
      <c r="J1014" s="8"/>
      <c r="K1014" s="8"/>
      <c r="L1014" s="8"/>
      <c r="M1014" s="8"/>
      <c r="N1014" s="8"/>
      <c r="O1014" s="8">
        <v>33.849866490449145</v>
      </c>
      <c r="P1014" s="8"/>
      <c r="Q1014" t="s">
        <v>26</v>
      </c>
    </row>
    <row r="1015" spans="1:17" hidden="1" x14ac:dyDescent="0.25">
      <c r="A1015" s="7" t="s">
        <v>17</v>
      </c>
      <c r="B1015" s="7" t="s">
        <v>18</v>
      </c>
      <c r="C1015" s="7" t="s">
        <v>19</v>
      </c>
      <c r="D1015" s="7" t="s">
        <v>20</v>
      </c>
      <c r="E1015" s="7" t="s">
        <v>21</v>
      </c>
      <c r="F1015" s="7" t="s">
        <v>112</v>
      </c>
      <c r="G1015" s="7" t="s">
        <v>113</v>
      </c>
      <c r="H1015" s="7" t="s">
        <v>149</v>
      </c>
      <c r="I1015" s="7" t="s">
        <v>150</v>
      </c>
      <c r="J1015" s="8"/>
      <c r="K1015" s="8"/>
      <c r="L1015" s="8"/>
      <c r="M1015" s="8"/>
      <c r="N1015" s="8"/>
      <c r="O1015" s="8">
        <v>0</v>
      </c>
      <c r="P1015" s="8"/>
      <c r="Q1015" t="s">
        <v>26</v>
      </c>
    </row>
    <row r="1016" spans="1:17" hidden="1" x14ac:dyDescent="0.25">
      <c r="A1016" s="7" t="s">
        <v>17</v>
      </c>
      <c r="B1016" s="7" t="s">
        <v>18</v>
      </c>
      <c r="C1016" s="7" t="s">
        <v>19</v>
      </c>
      <c r="D1016" s="7" t="s">
        <v>20</v>
      </c>
      <c r="E1016" s="7" t="s">
        <v>21</v>
      </c>
      <c r="F1016" s="7" t="s">
        <v>114</v>
      </c>
      <c r="G1016" s="7" t="s">
        <v>115</v>
      </c>
      <c r="H1016" s="7" t="s">
        <v>149</v>
      </c>
      <c r="I1016" s="7" t="s">
        <v>150</v>
      </c>
      <c r="J1016" s="8"/>
      <c r="K1016" s="8"/>
      <c r="L1016" s="8"/>
      <c r="M1016" s="8"/>
      <c r="N1016" s="8"/>
      <c r="O1016" s="8">
        <v>25.280280037170883</v>
      </c>
      <c r="P1016" s="8"/>
      <c r="Q1016" t="s">
        <v>26</v>
      </c>
    </row>
    <row r="1017" spans="1:17" hidden="1" x14ac:dyDescent="0.25">
      <c r="A1017" s="7" t="s">
        <v>17</v>
      </c>
      <c r="B1017" s="7" t="s">
        <v>18</v>
      </c>
      <c r="C1017" s="7" t="s">
        <v>19</v>
      </c>
      <c r="D1017" s="7" t="s">
        <v>20</v>
      </c>
      <c r="E1017" s="7" t="s">
        <v>21</v>
      </c>
      <c r="F1017" s="7" t="s">
        <v>116</v>
      </c>
      <c r="G1017" s="7" t="s">
        <v>117</v>
      </c>
      <c r="H1017" s="7" t="s">
        <v>149</v>
      </c>
      <c r="I1017" s="7" t="s">
        <v>150</v>
      </c>
      <c r="J1017" s="8"/>
      <c r="K1017" s="8"/>
      <c r="L1017" s="8"/>
      <c r="M1017" s="8"/>
      <c r="N1017" s="8"/>
      <c r="O1017" s="8">
        <v>7.2841484852865248</v>
      </c>
      <c r="P1017" s="8"/>
      <c r="Q1017" t="s">
        <v>26</v>
      </c>
    </row>
    <row r="1018" spans="1:17" hidden="1" x14ac:dyDescent="0.25">
      <c r="A1018" s="7" t="s">
        <v>17</v>
      </c>
      <c r="B1018" s="7" t="s">
        <v>18</v>
      </c>
      <c r="C1018" s="7" t="s">
        <v>19</v>
      </c>
      <c r="D1018" s="7" t="s">
        <v>20</v>
      </c>
      <c r="E1018" s="7" t="s">
        <v>21</v>
      </c>
      <c r="F1018" s="7" t="s">
        <v>118</v>
      </c>
      <c r="G1018" s="7" t="s">
        <v>119</v>
      </c>
      <c r="H1018" s="7" t="s">
        <v>149</v>
      </c>
      <c r="I1018" s="7" t="s">
        <v>150</v>
      </c>
      <c r="J1018" s="8"/>
      <c r="K1018" s="8"/>
      <c r="L1018" s="8"/>
      <c r="M1018" s="8"/>
      <c r="N1018" s="8"/>
      <c r="O1018" s="8">
        <v>0</v>
      </c>
      <c r="P1018" s="8"/>
      <c r="Q1018" t="s">
        <v>26</v>
      </c>
    </row>
    <row r="1019" spans="1:17" hidden="1" x14ac:dyDescent="0.25">
      <c r="A1019" s="7" t="s">
        <v>17</v>
      </c>
      <c r="B1019" s="7" t="s">
        <v>18</v>
      </c>
      <c r="C1019" s="7" t="s">
        <v>19</v>
      </c>
      <c r="D1019" s="7" t="s">
        <v>20</v>
      </c>
      <c r="E1019" s="7" t="s">
        <v>21</v>
      </c>
      <c r="F1019" s="7" t="s">
        <v>120</v>
      </c>
      <c r="G1019" s="7" t="s">
        <v>121</v>
      </c>
      <c r="H1019" s="7" t="s">
        <v>149</v>
      </c>
      <c r="I1019" s="7" t="s">
        <v>150</v>
      </c>
      <c r="J1019" s="8"/>
      <c r="K1019" s="8"/>
      <c r="L1019" s="8"/>
      <c r="M1019" s="8"/>
      <c r="N1019" s="8"/>
      <c r="O1019" s="8">
        <v>65.985815690242632</v>
      </c>
      <c r="P1019" s="8"/>
      <c r="Q1019" t="s">
        <v>26</v>
      </c>
    </row>
    <row r="1020" spans="1:17" hidden="1" x14ac:dyDescent="0.25">
      <c r="A1020" s="7" t="s">
        <v>17</v>
      </c>
      <c r="B1020" s="7" t="s">
        <v>18</v>
      </c>
      <c r="C1020" s="7" t="s">
        <v>19</v>
      </c>
      <c r="D1020" s="7"/>
      <c r="E1020" s="7"/>
      <c r="F1020" s="7" t="s">
        <v>122</v>
      </c>
      <c r="G1020" s="7" t="s">
        <v>123</v>
      </c>
      <c r="H1020" s="7" t="s">
        <v>149</v>
      </c>
      <c r="I1020" s="7" t="s">
        <v>150</v>
      </c>
      <c r="J1020" s="8"/>
      <c r="K1020" s="8"/>
      <c r="L1020" s="8"/>
      <c r="M1020" s="8"/>
      <c r="N1020" s="8"/>
      <c r="O1020" s="8">
        <v>0.42847932266391325</v>
      </c>
      <c r="P1020" s="8"/>
      <c r="Q1020" t="s">
        <v>26</v>
      </c>
    </row>
    <row r="1021" spans="1:17" hidden="1" x14ac:dyDescent="0.25">
      <c r="A1021" s="7" t="s">
        <v>17</v>
      </c>
      <c r="B1021" s="7" t="s">
        <v>18</v>
      </c>
      <c r="C1021" s="7" t="s">
        <v>19</v>
      </c>
      <c r="D1021" s="7"/>
      <c r="E1021" s="7"/>
      <c r="F1021" s="7" t="s">
        <v>124</v>
      </c>
      <c r="G1021" s="7" t="s">
        <v>125</v>
      </c>
      <c r="H1021" s="7" t="s">
        <v>149</v>
      </c>
      <c r="I1021" s="7" t="s">
        <v>150</v>
      </c>
      <c r="J1021" s="8"/>
      <c r="K1021" s="8"/>
      <c r="L1021" s="8"/>
      <c r="M1021" s="8"/>
      <c r="N1021" s="8"/>
      <c r="O1021" s="8">
        <v>1.2854379679917396</v>
      </c>
      <c r="P1021" s="8"/>
      <c r="Q1021" t="s">
        <v>26</v>
      </c>
    </row>
    <row r="1022" spans="1:17" hidden="1" x14ac:dyDescent="0.25">
      <c r="A1022" s="7" t="s">
        <v>17</v>
      </c>
      <c r="B1022" s="7" t="s">
        <v>18</v>
      </c>
      <c r="C1022" s="7" t="s">
        <v>19</v>
      </c>
      <c r="D1022" s="7" t="s">
        <v>20</v>
      </c>
      <c r="E1022" s="7" t="s">
        <v>21</v>
      </c>
      <c r="F1022" s="7" t="s">
        <v>22</v>
      </c>
      <c r="G1022" s="7" t="s">
        <v>23</v>
      </c>
      <c r="H1022" s="7" t="s">
        <v>149</v>
      </c>
      <c r="I1022" s="7" t="s">
        <v>151</v>
      </c>
      <c r="J1022" s="8">
        <v>9.7843422323242127E-2</v>
      </c>
      <c r="K1022" s="8">
        <v>8.9603976232863841E-2</v>
      </c>
      <c r="L1022" s="8">
        <v>2.5748269032432138E-3</v>
      </c>
      <c r="M1022" s="8">
        <v>0.21886028677567321</v>
      </c>
      <c r="N1022" s="8">
        <v>1.5448961419459284E-2</v>
      </c>
      <c r="O1022" s="8">
        <v>2.2030218984148937E-2</v>
      </c>
      <c r="P1022" s="8"/>
      <c r="Q1022" t="s">
        <v>26</v>
      </c>
    </row>
    <row r="1023" spans="1:17" hidden="1" x14ac:dyDescent="0.25">
      <c r="A1023" s="7" t="s">
        <v>17</v>
      </c>
      <c r="B1023" s="7" t="s">
        <v>18</v>
      </c>
      <c r="C1023" s="7" t="s">
        <v>19</v>
      </c>
      <c r="D1023" s="7"/>
      <c r="E1023" s="7"/>
      <c r="F1023" s="7" t="s">
        <v>27</v>
      </c>
      <c r="G1023" s="7" t="s">
        <v>28</v>
      </c>
      <c r="H1023" s="7" t="s">
        <v>149</v>
      </c>
      <c r="I1023" s="7" t="s">
        <v>151</v>
      </c>
      <c r="J1023" s="8">
        <v>4.8266258425435062E-2</v>
      </c>
      <c r="K1023" s="8">
        <v>4.4201731400135266E-2</v>
      </c>
      <c r="L1023" s="8">
        <v>1.2701646954061858E-3</v>
      </c>
      <c r="M1023" s="8">
        <v>0.1079639991095258</v>
      </c>
      <c r="N1023" s="8">
        <v>7.6209881724371145E-3</v>
      </c>
      <c r="O1023" s="8">
        <v>1.0867529133895324E-2</v>
      </c>
      <c r="P1023" s="8"/>
      <c r="Q1023" t="s">
        <v>26</v>
      </c>
    </row>
    <row r="1024" spans="1:17" hidden="1" x14ac:dyDescent="0.25">
      <c r="A1024" s="7" t="s">
        <v>17</v>
      </c>
      <c r="B1024" s="7" t="s">
        <v>18</v>
      </c>
      <c r="C1024" s="7" t="s">
        <v>19</v>
      </c>
      <c r="D1024" s="7"/>
      <c r="E1024" s="7"/>
      <c r="F1024" s="7" t="s">
        <v>29</v>
      </c>
      <c r="G1024" s="7" t="s">
        <v>30</v>
      </c>
      <c r="H1024" s="7" t="s">
        <v>149</v>
      </c>
      <c r="I1024" s="7" t="s">
        <v>151</v>
      </c>
      <c r="J1024" s="8">
        <v>5.9735404198917978E-2</v>
      </c>
      <c r="K1024" s="8">
        <v>5.4705054371640673E-2</v>
      </c>
      <c r="L1024" s="8">
        <v>1.5719843210241574E-3</v>
      </c>
      <c r="M1024" s="8">
        <v>0.13361866728705338</v>
      </c>
      <c r="N1024" s="8">
        <v>9.4319059261449446E-3</v>
      </c>
      <c r="O1024" s="8">
        <v>1.3449897850682688E-2</v>
      </c>
      <c r="P1024" s="8"/>
      <c r="Q1024" t="s">
        <v>26</v>
      </c>
    </row>
    <row r="1025" spans="1:17" hidden="1" x14ac:dyDescent="0.25">
      <c r="A1025" s="7" t="s">
        <v>17</v>
      </c>
      <c r="B1025" s="7" t="s">
        <v>18</v>
      </c>
      <c r="C1025" s="7" t="s">
        <v>19</v>
      </c>
      <c r="D1025" s="7"/>
      <c r="E1025" s="7"/>
      <c r="F1025" s="7" t="s">
        <v>31</v>
      </c>
      <c r="G1025" s="7" t="s">
        <v>32</v>
      </c>
      <c r="H1025" s="7" t="s">
        <v>149</v>
      </c>
      <c r="I1025" s="7" t="s">
        <v>151</v>
      </c>
      <c r="J1025" s="8">
        <v>0.40387992899500835</v>
      </c>
      <c r="K1025" s="8">
        <v>0.36986898760595499</v>
      </c>
      <c r="L1025" s="8">
        <v>1.0628419184079167E-2</v>
      </c>
      <c r="M1025" s="8">
        <v>0.90341563064672925</v>
      </c>
      <c r="N1025" s="8">
        <v>6.3770515104474998E-2</v>
      </c>
      <c r="O1025" s="8">
        <v>9.093675453898134E-2</v>
      </c>
      <c r="P1025" s="8"/>
      <c r="Q1025" t="s">
        <v>26</v>
      </c>
    </row>
    <row r="1026" spans="1:17" hidden="1" x14ac:dyDescent="0.25">
      <c r="A1026" s="7" t="s">
        <v>17</v>
      </c>
      <c r="B1026" s="7" t="s">
        <v>18</v>
      </c>
      <c r="C1026" s="7" t="s">
        <v>19</v>
      </c>
      <c r="D1026" s="7"/>
      <c r="E1026" s="7"/>
      <c r="F1026" s="7" t="s">
        <v>33</v>
      </c>
      <c r="G1026" s="7" t="s">
        <v>34</v>
      </c>
      <c r="H1026" s="7" t="s">
        <v>149</v>
      </c>
      <c r="I1026" s="7" t="s">
        <v>151</v>
      </c>
      <c r="J1026" s="8">
        <v>0.97881109603839089</v>
      </c>
      <c r="K1026" s="8">
        <v>0.89638489847726333</v>
      </c>
      <c r="L1026" s="8">
        <v>2.5758186737852396E-2</v>
      </c>
      <c r="M1026" s="8">
        <v>2.1894458727174539</v>
      </c>
      <c r="N1026" s="8">
        <v>0.15454912042711436</v>
      </c>
      <c r="O1026" s="8">
        <v>0.22038704572906506</v>
      </c>
      <c r="P1026" s="8"/>
      <c r="Q1026" t="s">
        <v>26</v>
      </c>
    </row>
    <row r="1027" spans="1:17" hidden="1" x14ac:dyDescent="0.25">
      <c r="A1027" s="7" t="s">
        <v>17</v>
      </c>
      <c r="B1027" s="7" t="s">
        <v>18</v>
      </c>
      <c r="C1027" s="7" t="s">
        <v>19</v>
      </c>
      <c r="D1027" s="7" t="s">
        <v>20</v>
      </c>
      <c r="E1027" s="7" t="s">
        <v>21</v>
      </c>
      <c r="F1027" s="7" t="s">
        <v>35</v>
      </c>
      <c r="G1027" s="7" t="s">
        <v>36</v>
      </c>
      <c r="H1027" s="7" t="s">
        <v>149</v>
      </c>
      <c r="I1027" s="7" t="s">
        <v>151</v>
      </c>
      <c r="J1027" s="8">
        <v>0.60897638326965786</v>
      </c>
      <c r="K1027" s="8">
        <v>0.557694161520634</v>
      </c>
      <c r="L1027" s="8">
        <v>1.6025694296569946E-2</v>
      </c>
      <c r="M1027" s="8">
        <v>1.3621840152084452</v>
      </c>
      <c r="N1027" s="8">
        <v>9.6154165779419654E-2</v>
      </c>
      <c r="O1027" s="8">
        <v>0.13711584040145244</v>
      </c>
      <c r="P1027" s="8"/>
      <c r="Q1027" t="s">
        <v>26</v>
      </c>
    </row>
    <row r="1028" spans="1:17" hidden="1" x14ac:dyDescent="0.25">
      <c r="A1028" s="7" t="s">
        <v>17</v>
      </c>
      <c r="B1028" s="7" t="s">
        <v>18</v>
      </c>
      <c r="C1028" s="7" t="s">
        <v>19</v>
      </c>
      <c r="D1028" s="7"/>
      <c r="E1028" s="7"/>
      <c r="F1028" s="7" t="s">
        <v>37</v>
      </c>
      <c r="G1028" s="7" t="s">
        <v>38</v>
      </c>
      <c r="H1028" s="7" t="s">
        <v>149</v>
      </c>
      <c r="I1028" s="7" t="s">
        <v>151</v>
      </c>
      <c r="J1028" s="8">
        <v>9.0666395436816636</v>
      </c>
      <c r="K1028" s="8">
        <v>8.3031330557926832</v>
      </c>
      <c r="L1028" s="8">
        <v>0.23859577746530697</v>
      </c>
      <c r="M1028" s="8">
        <v>20.280641084551096</v>
      </c>
      <c r="N1028" s="8">
        <v>1.4315746647918417</v>
      </c>
      <c r="O1028" s="8">
        <v>2.0414254719931662</v>
      </c>
      <c r="P1028" s="8"/>
      <c r="Q1028" t="s">
        <v>26</v>
      </c>
    </row>
    <row r="1029" spans="1:17" hidden="1" x14ac:dyDescent="0.25">
      <c r="A1029" s="7" t="s">
        <v>17</v>
      </c>
      <c r="B1029" s="7" t="s">
        <v>18</v>
      </c>
      <c r="C1029" s="7" t="s">
        <v>19</v>
      </c>
      <c r="D1029" s="7"/>
      <c r="E1029" s="7"/>
      <c r="F1029" s="7" t="s">
        <v>39</v>
      </c>
      <c r="G1029" s="7" t="s">
        <v>40</v>
      </c>
      <c r="H1029" s="7" t="s">
        <v>149</v>
      </c>
      <c r="I1029" s="7" t="s">
        <v>151</v>
      </c>
      <c r="J1029" s="8">
        <v>9.7184203465129571E-2</v>
      </c>
      <c r="K1029" s="8">
        <v>8.9000270541750234E-2</v>
      </c>
      <c r="L1029" s="8">
        <v>2.5574790385560417E-3</v>
      </c>
      <c r="M1029" s="8">
        <v>0.21738571827726355</v>
      </c>
      <c r="N1029" s="8">
        <v>1.5344874231336248E-2</v>
      </c>
      <c r="O1029" s="8">
        <v>2.1881790653885489E-2</v>
      </c>
      <c r="P1029" s="8"/>
      <c r="Q1029" t="s">
        <v>26</v>
      </c>
    </row>
    <row r="1030" spans="1:17" hidden="1" x14ac:dyDescent="0.25">
      <c r="A1030" s="7" t="s">
        <v>17</v>
      </c>
      <c r="B1030" s="7" t="s">
        <v>18</v>
      </c>
      <c r="C1030" s="7" t="s">
        <v>19</v>
      </c>
      <c r="D1030" s="7" t="s">
        <v>20</v>
      </c>
      <c r="E1030" s="7" t="s">
        <v>21</v>
      </c>
      <c r="F1030" s="7" t="s">
        <v>41</v>
      </c>
      <c r="G1030" s="7" t="s">
        <v>42</v>
      </c>
      <c r="H1030" s="7" t="s">
        <v>149</v>
      </c>
      <c r="I1030" s="7" t="s">
        <v>151</v>
      </c>
      <c r="J1030" s="8">
        <v>4.1943602868952032</v>
      </c>
      <c r="K1030" s="8">
        <v>3.841150999577712</v>
      </c>
      <c r="L1030" s="8">
        <v>0.11037790228671586</v>
      </c>
      <c r="M1030" s="8">
        <v>9.3821216943708503</v>
      </c>
      <c r="N1030" s="8">
        <v>0.66226741372029518</v>
      </c>
      <c r="O1030" s="8">
        <v>0.94439333196514086</v>
      </c>
      <c r="P1030" s="8"/>
      <c r="Q1030" t="s">
        <v>26</v>
      </c>
    </row>
    <row r="1031" spans="1:17" hidden="1" x14ac:dyDescent="0.25">
      <c r="A1031" s="7" t="s">
        <v>17</v>
      </c>
      <c r="B1031" s="7" t="s">
        <v>18</v>
      </c>
      <c r="C1031" s="7" t="s">
        <v>19</v>
      </c>
      <c r="D1031" s="7" t="s">
        <v>20</v>
      </c>
      <c r="E1031" s="7" t="s">
        <v>21</v>
      </c>
      <c r="F1031" s="7" t="s">
        <v>43</v>
      </c>
      <c r="G1031" s="7" t="s">
        <v>44</v>
      </c>
      <c r="H1031" s="7" t="s">
        <v>149</v>
      </c>
      <c r="I1031" s="7" t="s">
        <v>151</v>
      </c>
      <c r="J1031" s="8">
        <v>0.43070004909938447</v>
      </c>
      <c r="K1031" s="8">
        <v>0.39443057128048897</v>
      </c>
      <c r="L1031" s="8">
        <v>1.1334211818404855E-2</v>
      </c>
      <c r="M1031" s="8">
        <v>0.96340800456441278</v>
      </c>
      <c r="N1031" s="8">
        <v>6.8005270910429128E-2</v>
      </c>
      <c r="O1031" s="8">
        <v>9.6975516318271934E-2</v>
      </c>
      <c r="P1031" s="8"/>
      <c r="Q1031" t="s">
        <v>26</v>
      </c>
    </row>
    <row r="1032" spans="1:17" hidden="1" x14ac:dyDescent="0.25">
      <c r="A1032" s="7" t="s">
        <v>17</v>
      </c>
      <c r="B1032" s="7" t="s">
        <v>18</v>
      </c>
      <c r="C1032" s="7" t="s">
        <v>19</v>
      </c>
      <c r="D1032" s="7"/>
      <c r="E1032" s="7"/>
      <c r="F1032" s="7" t="s">
        <v>45</v>
      </c>
      <c r="G1032" s="7" t="s">
        <v>46</v>
      </c>
      <c r="H1032" s="7" t="s">
        <v>149</v>
      </c>
      <c r="I1032" s="7" t="s">
        <v>151</v>
      </c>
      <c r="J1032" s="8">
        <v>0.50061157758322739</v>
      </c>
      <c r="K1032" s="8">
        <v>0.45845481315516612</v>
      </c>
      <c r="L1032" s="8">
        <v>1.3173988883769141E-2</v>
      </c>
      <c r="M1032" s="8">
        <v>1.1197890551203771</v>
      </c>
      <c r="N1032" s="8">
        <v>7.9043933302614847E-2</v>
      </c>
      <c r="O1032" s="8">
        <v>0.11271664888952876</v>
      </c>
      <c r="P1032" s="8"/>
      <c r="Q1032" t="s">
        <v>26</v>
      </c>
    </row>
    <row r="1033" spans="1:17" hidden="1" x14ac:dyDescent="0.25">
      <c r="A1033" s="7" t="s">
        <v>17</v>
      </c>
      <c r="B1033" s="7" t="s">
        <v>18</v>
      </c>
      <c r="C1033" s="7" t="s">
        <v>19</v>
      </c>
      <c r="D1033" s="7" t="s">
        <v>20</v>
      </c>
      <c r="E1033" s="7" t="s">
        <v>21</v>
      </c>
      <c r="F1033" s="7" t="s">
        <v>47</v>
      </c>
      <c r="G1033" s="7" t="s">
        <v>48</v>
      </c>
      <c r="H1033" s="7" t="s">
        <v>149</v>
      </c>
      <c r="I1033" s="7" t="s">
        <v>151</v>
      </c>
      <c r="J1033" s="8">
        <v>0.42206303186098998</v>
      </c>
      <c r="K1033" s="8">
        <v>0.3865208818095382</v>
      </c>
      <c r="L1033" s="8">
        <v>1.1106921891078682E-2</v>
      </c>
      <c r="M1033" s="8">
        <v>0.94408836074168812</v>
      </c>
      <c r="N1033" s="8">
        <v>6.6641531346472105E-2</v>
      </c>
      <c r="O1033" s="8">
        <v>9.5030823700069211E-2</v>
      </c>
      <c r="P1033" s="8"/>
      <c r="Q1033" t="s">
        <v>26</v>
      </c>
    </row>
    <row r="1034" spans="1:17" hidden="1" x14ac:dyDescent="0.25">
      <c r="A1034" s="7" t="s">
        <v>17</v>
      </c>
      <c r="B1034" s="7" t="s">
        <v>18</v>
      </c>
      <c r="C1034" s="7" t="s">
        <v>19</v>
      </c>
      <c r="D1034" s="7"/>
      <c r="E1034" s="7"/>
      <c r="F1034" s="7" t="s">
        <v>49</v>
      </c>
      <c r="G1034" s="7" t="s">
        <v>50</v>
      </c>
      <c r="H1034" s="7" t="s">
        <v>149</v>
      </c>
      <c r="I1034" s="7" t="s">
        <v>151</v>
      </c>
      <c r="J1034" s="8">
        <v>1.6481425437919075</v>
      </c>
      <c r="K1034" s="8">
        <v>1.5093515927357466</v>
      </c>
      <c r="L1034" s="8">
        <v>4.33721722050502E-2</v>
      </c>
      <c r="M1034" s="8">
        <v>3.6866346374292664</v>
      </c>
      <c r="N1034" s="8">
        <v>0.26023303323030117</v>
      </c>
      <c r="O1034" s="8">
        <v>0.37109230538640942</v>
      </c>
      <c r="P1034" s="8"/>
      <c r="Q1034" t="s">
        <v>26</v>
      </c>
    </row>
    <row r="1035" spans="1:17" hidden="1" x14ac:dyDescent="0.25">
      <c r="A1035" s="7" t="s">
        <v>17</v>
      </c>
      <c r="B1035" s="7" t="s">
        <v>18</v>
      </c>
      <c r="C1035" s="7" t="s">
        <v>19</v>
      </c>
      <c r="D1035" s="7"/>
      <c r="E1035" s="7"/>
      <c r="F1035" s="7" t="s">
        <v>51</v>
      </c>
      <c r="G1035" s="7" t="s">
        <v>52</v>
      </c>
      <c r="H1035" s="7" t="s">
        <v>149</v>
      </c>
      <c r="I1035" s="7" t="s">
        <v>151</v>
      </c>
      <c r="J1035" s="8">
        <v>22.593152534495257</v>
      </c>
      <c r="K1035" s="8">
        <v>20.690571268432496</v>
      </c>
      <c r="L1035" s="8">
        <v>0.59455664564461197</v>
      </c>
      <c r="M1035" s="8">
        <v>50.537314879792028</v>
      </c>
      <c r="N1035" s="8">
        <v>3.5673398738676725</v>
      </c>
      <c r="O1035" s="8">
        <v>5.0870266601353</v>
      </c>
      <c r="P1035" s="8"/>
      <c r="Q1035" t="s">
        <v>26</v>
      </c>
    </row>
    <row r="1036" spans="1:17" hidden="1" x14ac:dyDescent="0.25">
      <c r="A1036" s="7" t="s">
        <v>17</v>
      </c>
      <c r="B1036" s="7" t="s">
        <v>18</v>
      </c>
      <c r="C1036" s="7" t="s">
        <v>19</v>
      </c>
      <c r="D1036" s="7"/>
      <c r="E1036" s="7"/>
      <c r="F1036" s="7" t="s">
        <v>53</v>
      </c>
      <c r="G1036" s="7" t="s">
        <v>54</v>
      </c>
      <c r="H1036" s="7" t="s">
        <v>149</v>
      </c>
      <c r="I1036" s="7" t="s">
        <v>151</v>
      </c>
      <c r="J1036" s="8">
        <v>0.31591609057914438</v>
      </c>
      <c r="K1036" s="8">
        <v>0.28931263031984805</v>
      </c>
      <c r="L1036" s="8">
        <v>8.313581331030117E-3</v>
      </c>
      <c r="M1036" s="8">
        <v>0.70665441313755994</v>
      </c>
      <c r="N1036" s="8">
        <v>4.9881487986180695E-2</v>
      </c>
      <c r="O1036" s="8">
        <v>7.1131001868293672E-2</v>
      </c>
      <c r="P1036" s="8"/>
      <c r="Q1036" t="s">
        <v>26</v>
      </c>
    </row>
    <row r="1037" spans="1:17" hidden="1" x14ac:dyDescent="0.25">
      <c r="A1037" s="7" t="s">
        <v>17</v>
      </c>
      <c r="B1037" s="7" t="s">
        <v>18</v>
      </c>
      <c r="C1037" s="7" t="s">
        <v>19</v>
      </c>
      <c r="D1037" s="7"/>
      <c r="E1037" s="7"/>
      <c r="F1037" s="7" t="s">
        <v>55</v>
      </c>
      <c r="G1037" s="7" t="s">
        <v>56</v>
      </c>
      <c r="H1037" s="7" t="s">
        <v>149</v>
      </c>
      <c r="I1037" s="7" t="s">
        <v>151</v>
      </c>
      <c r="J1037" s="8">
        <v>0.3511644454375043</v>
      </c>
      <c r="K1037" s="8">
        <v>0.32159270266381973</v>
      </c>
      <c r="L1037" s="8">
        <v>9.2411696167764307E-3</v>
      </c>
      <c r="M1037" s="8">
        <v>0.7854994174259966</v>
      </c>
      <c r="N1037" s="8">
        <v>5.5447017700658574E-2</v>
      </c>
      <c r="O1037" s="8">
        <v>7.9067447241139122E-2</v>
      </c>
      <c r="P1037" s="8"/>
      <c r="Q1037" t="s">
        <v>26</v>
      </c>
    </row>
    <row r="1038" spans="1:17" hidden="1" x14ac:dyDescent="0.25">
      <c r="A1038" s="7" t="s">
        <v>17</v>
      </c>
      <c r="B1038" s="7" t="s">
        <v>18</v>
      </c>
      <c r="C1038" s="7" t="s">
        <v>19</v>
      </c>
      <c r="D1038" s="7"/>
      <c r="E1038" s="7"/>
      <c r="F1038" s="7" t="s">
        <v>57</v>
      </c>
      <c r="G1038" s="7" t="s">
        <v>58</v>
      </c>
      <c r="H1038" s="7" t="s">
        <v>149</v>
      </c>
      <c r="I1038" s="7" t="s">
        <v>151</v>
      </c>
      <c r="J1038" s="8">
        <v>23.597137854600977</v>
      </c>
      <c r="K1038" s="8">
        <v>21.61001045631879</v>
      </c>
      <c r="L1038" s="8">
        <v>0.62097731196318362</v>
      </c>
      <c r="M1038" s="8">
        <v>52.783071516870606</v>
      </c>
      <c r="N1038" s="8">
        <v>3.7258638717791013</v>
      </c>
      <c r="O1038" s="8">
        <v>5.3130818811569975</v>
      </c>
      <c r="P1038" s="8"/>
      <c r="Q1038" t="s">
        <v>26</v>
      </c>
    </row>
    <row r="1039" spans="1:17" hidden="1" x14ac:dyDescent="0.25">
      <c r="A1039" s="7" t="s">
        <v>17</v>
      </c>
      <c r="B1039" s="7" t="s">
        <v>18</v>
      </c>
      <c r="C1039" s="7" t="s">
        <v>19</v>
      </c>
      <c r="D1039" s="7" t="s">
        <v>20</v>
      </c>
      <c r="E1039" s="7" t="s">
        <v>21</v>
      </c>
      <c r="F1039" s="7" t="s">
        <v>59</v>
      </c>
      <c r="G1039" s="7" t="s">
        <v>60</v>
      </c>
      <c r="H1039" s="7" t="s">
        <v>149</v>
      </c>
      <c r="I1039" s="7" t="s">
        <v>151</v>
      </c>
      <c r="J1039" s="8">
        <v>2.7735635400737566</v>
      </c>
      <c r="K1039" s="8">
        <v>2.5400002945938609</v>
      </c>
      <c r="L1039" s="8">
        <v>7.2988514212467284E-2</v>
      </c>
      <c r="M1039" s="8">
        <v>6.2040237080597187</v>
      </c>
      <c r="N1039" s="8">
        <v>0.43793108527480362</v>
      </c>
      <c r="O1039" s="8">
        <v>0.62448972760186994</v>
      </c>
      <c r="P1039" s="8"/>
      <c r="Q1039" t="s">
        <v>26</v>
      </c>
    </row>
    <row r="1040" spans="1:17" hidden="1" x14ac:dyDescent="0.25">
      <c r="A1040" s="7" t="s">
        <v>17</v>
      </c>
      <c r="B1040" s="7" t="s">
        <v>18</v>
      </c>
      <c r="C1040" s="7" t="s">
        <v>19</v>
      </c>
      <c r="D1040" s="7" t="s">
        <v>20</v>
      </c>
      <c r="E1040" s="7" t="s">
        <v>21</v>
      </c>
      <c r="F1040" s="7" t="s">
        <v>61</v>
      </c>
      <c r="G1040" s="7" t="s">
        <v>62</v>
      </c>
      <c r="H1040" s="7" t="s">
        <v>149</v>
      </c>
      <c r="I1040" s="7" t="s">
        <v>151</v>
      </c>
      <c r="J1040" s="8">
        <v>3.734962953526829E-2</v>
      </c>
      <c r="K1040" s="8">
        <v>3.4204397574403599E-2</v>
      </c>
      <c r="L1040" s="8">
        <v>9.8288498777021832E-4</v>
      </c>
      <c r="M1040" s="8">
        <v>8.3545223960468568E-2</v>
      </c>
      <c r="N1040" s="8">
        <v>5.8973099266213099E-3</v>
      </c>
      <c r="O1040" s="8">
        <v>8.4095639553619875E-3</v>
      </c>
      <c r="P1040" s="8"/>
      <c r="Q1040" t="s">
        <v>26</v>
      </c>
    </row>
    <row r="1041" spans="1:17" hidden="1" x14ac:dyDescent="0.25">
      <c r="A1041" s="7" t="s">
        <v>17</v>
      </c>
      <c r="B1041" s="7" t="s">
        <v>18</v>
      </c>
      <c r="C1041" s="7" t="s">
        <v>19</v>
      </c>
      <c r="D1041" s="7"/>
      <c r="E1041" s="7"/>
      <c r="F1041" s="7" t="s">
        <v>63</v>
      </c>
      <c r="G1041" s="7" t="s">
        <v>64</v>
      </c>
      <c r="H1041" s="7" t="s">
        <v>149</v>
      </c>
      <c r="I1041" s="7" t="s">
        <v>151</v>
      </c>
      <c r="J1041" s="8">
        <v>0.42625520908589409</v>
      </c>
      <c r="K1041" s="8">
        <v>0.39036003358392407</v>
      </c>
      <c r="L1041" s="8">
        <v>1.1217242344365634E-2</v>
      </c>
      <c r="M1041" s="8">
        <v>0.95346559927107899</v>
      </c>
      <c r="N1041" s="8">
        <v>6.7303454066193813E-2</v>
      </c>
      <c r="O1041" s="8">
        <v>9.5974725498392366E-2</v>
      </c>
      <c r="P1041" s="8"/>
      <c r="Q1041" t="s">
        <v>26</v>
      </c>
    </row>
    <row r="1042" spans="1:17" hidden="1" x14ac:dyDescent="0.25">
      <c r="A1042" s="7" t="s">
        <v>17</v>
      </c>
      <c r="B1042" s="7" t="s">
        <v>18</v>
      </c>
      <c r="C1042" s="7" t="s">
        <v>19</v>
      </c>
      <c r="D1042" s="7" t="s">
        <v>20</v>
      </c>
      <c r="E1042" s="7" t="s">
        <v>21</v>
      </c>
      <c r="F1042" s="7" t="s">
        <v>65</v>
      </c>
      <c r="G1042" s="7" t="s">
        <v>66</v>
      </c>
      <c r="H1042" s="7" t="s">
        <v>149</v>
      </c>
      <c r="I1042" s="7" t="s">
        <v>151</v>
      </c>
      <c r="J1042" s="8">
        <v>4.9168552438979454</v>
      </c>
      <c r="K1042" s="8">
        <v>4.5028042759907505</v>
      </c>
      <c r="L1042" s="8">
        <v>0.12939092747099859</v>
      </c>
      <c r="M1042" s="8">
        <v>10.99822883503488</v>
      </c>
      <c r="N1042" s="8">
        <v>0.77634556482599137</v>
      </c>
      <c r="O1042" s="8">
        <v>1.1070687754418636</v>
      </c>
      <c r="P1042" s="8"/>
      <c r="Q1042" t="s">
        <v>26</v>
      </c>
    </row>
    <row r="1043" spans="1:17" hidden="1" x14ac:dyDescent="0.25">
      <c r="A1043" s="7" t="s">
        <v>17</v>
      </c>
      <c r="B1043" s="7" t="s">
        <v>18</v>
      </c>
      <c r="C1043" s="7" t="s">
        <v>19</v>
      </c>
      <c r="D1043" s="7"/>
      <c r="E1043" s="7"/>
      <c r="F1043" s="7" t="s">
        <v>67</v>
      </c>
      <c r="G1043" s="7" t="s">
        <v>68</v>
      </c>
      <c r="H1043" s="7" t="s">
        <v>149</v>
      </c>
      <c r="I1043" s="7" t="s">
        <v>151</v>
      </c>
      <c r="J1043" s="8">
        <v>2.2270454823397046</v>
      </c>
      <c r="K1043" s="8">
        <v>2.0395048101426765</v>
      </c>
      <c r="L1043" s="8">
        <v>5.8606460061571171E-2</v>
      </c>
      <c r="M1043" s="8">
        <v>4.9815491052335501</v>
      </c>
      <c r="N1043" s="8">
        <v>0.35163876036942704</v>
      </c>
      <c r="O1043" s="8">
        <v>0.50143687228680289</v>
      </c>
      <c r="P1043" s="8"/>
      <c r="Q1043" t="s">
        <v>26</v>
      </c>
    </row>
    <row r="1044" spans="1:17" hidden="1" x14ac:dyDescent="0.25">
      <c r="A1044" s="7" t="s">
        <v>17</v>
      </c>
      <c r="B1044" s="7" t="s">
        <v>18</v>
      </c>
      <c r="C1044" s="7" t="s">
        <v>19</v>
      </c>
      <c r="D1044" s="7"/>
      <c r="E1044" s="7"/>
      <c r="F1044" s="7" t="s">
        <v>69</v>
      </c>
      <c r="G1044" s="7" t="s">
        <v>70</v>
      </c>
      <c r="H1044" s="7" t="s">
        <v>149</v>
      </c>
      <c r="I1044" s="7" t="s">
        <v>151</v>
      </c>
      <c r="J1044" s="8">
        <v>4.2878496920704279E-2</v>
      </c>
      <c r="K1044" s="8">
        <v>3.9267676127381822E-2</v>
      </c>
      <c r="L1044" s="8">
        <v>1.1283814979132706E-3</v>
      </c>
      <c r="M1044" s="8">
        <v>9.5912427322628002E-2</v>
      </c>
      <c r="N1044" s="8">
        <v>6.7702889874796243E-3</v>
      </c>
      <c r="O1044" s="8">
        <v>9.6544320961459429E-3</v>
      </c>
      <c r="P1044" s="8"/>
      <c r="Q1044" t="s">
        <v>26</v>
      </c>
    </row>
    <row r="1045" spans="1:17" hidden="1" x14ac:dyDescent="0.25">
      <c r="A1045" s="7" t="s">
        <v>17</v>
      </c>
      <c r="B1045" s="7" t="s">
        <v>18</v>
      </c>
      <c r="C1045" s="7" t="s">
        <v>19</v>
      </c>
      <c r="D1045" s="7"/>
      <c r="E1045" s="7"/>
      <c r="F1045" s="7" t="s">
        <v>71</v>
      </c>
      <c r="G1045" s="7" t="s">
        <v>72</v>
      </c>
      <c r="H1045" s="7" t="s">
        <v>149</v>
      </c>
      <c r="I1045" s="7" t="s">
        <v>151</v>
      </c>
      <c r="J1045" s="8">
        <v>2.2588552248396225</v>
      </c>
      <c r="K1045" s="8">
        <v>2.0686358374847074</v>
      </c>
      <c r="L1045" s="8">
        <v>5.944355854841113E-2</v>
      </c>
      <c r="M1045" s="8">
        <v>5.0527024766149458</v>
      </c>
      <c r="N1045" s="8">
        <v>0.35666135129046678</v>
      </c>
      <c r="O1045" s="8">
        <v>0.5085990869402055</v>
      </c>
      <c r="P1045" s="8"/>
      <c r="Q1045" t="s">
        <v>26</v>
      </c>
    </row>
    <row r="1046" spans="1:17" hidden="1" x14ac:dyDescent="0.25">
      <c r="A1046" s="7" t="s">
        <v>17</v>
      </c>
      <c r="B1046" s="7" t="s">
        <v>18</v>
      </c>
      <c r="C1046" s="7" t="s">
        <v>19</v>
      </c>
      <c r="D1046" s="7" t="s">
        <v>20</v>
      </c>
      <c r="E1046" s="7" t="s">
        <v>21</v>
      </c>
      <c r="F1046" s="7" t="s">
        <v>73</v>
      </c>
      <c r="G1046" s="7" t="s">
        <v>74</v>
      </c>
      <c r="H1046" s="7" t="s">
        <v>149</v>
      </c>
      <c r="I1046" s="7" t="s">
        <v>151</v>
      </c>
      <c r="J1046" s="8">
        <v>1.0978021993692118</v>
      </c>
      <c r="K1046" s="8">
        <v>1.0053556983696994</v>
      </c>
      <c r="L1046" s="8">
        <v>2.8889531562347685E-2</v>
      </c>
      <c r="M1046" s="8">
        <v>2.4556101827995533</v>
      </c>
      <c r="N1046" s="8">
        <v>0.1733371893740861</v>
      </c>
      <c r="O1046" s="8">
        <v>0.24717883204744676</v>
      </c>
      <c r="P1046" s="8"/>
      <c r="Q1046" t="s">
        <v>26</v>
      </c>
    </row>
    <row r="1047" spans="1:17" hidden="1" x14ac:dyDescent="0.25">
      <c r="A1047" s="7" t="s">
        <v>17</v>
      </c>
      <c r="B1047" s="7" t="s">
        <v>18</v>
      </c>
      <c r="C1047" s="7" t="s">
        <v>19</v>
      </c>
      <c r="D1047" s="7" t="s">
        <v>20</v>
      </c>
      <c r="E1047" s="7" t="s">
        <v>21</v>
      </c>
      <c r="F1047" s="7" t="s">
        <v>75</v>
      </c>
      <c r="G1047" s="7" t="s">
        <v>76</v>
      </c>
      <c r="H1047" s="7" t="s">
        <v>149</v>
      </c>
      <c r="I1047" s="7" t="s">
        <v>151</v>
      </c>
      <c r="J1047" s="8">
        <v>1.3669833480383529</v>
      </c>
      <c r="K1047" s="8">
        <v>1.2518689608351232</v>
      </c>
      <c r="L1047" s="8">
        <v>3.597324600100929E-2</v>
      </c>
      <c r="M1047" s="8">
        <v>3.0577259100857899</v>
      </c>
      <c r="N1047" s="8">
        <v>0.21583947600605574</v>
      </c>
      <c r="O1047" s="8">
        <v>0.30778709278463545</v>
      </c>
      <c r="P1047" s="8"/>
      <c r="Q1047" t="s">
        <v>26</v>
      </c>
    </row>
    <row r="1048" spans="1:17" hidden="1" x14ac:dyDescent="0.25">
      <c r="A1048" s="7" t="s">
        <v>17</v>
      </c>
      <c r="B1048" s="7" t="s">
        <v>18</v>
      </c>
      <c r="C1048" s="7" t="s">
        <v>19</v>
      </c>
      <c r="D1048" s="7"/>
      <c r="E1048" s="7"/>
      <c r="F1048" s="7" t="s">
        <v>77</v>
      </c>
      <c r="G1048" s="7" t="s">
        <v>78</v>
      </c>
      <c r="H1048" s="7" t="s">
        <v>149</v>
      </c>
      <c r="I1048" s="7" t="s">
        <v>151</v>
      </c>
      <c r="J1048" s="8">
        <v>5.6161147588487101E-2</v>
      </c>
      <c r="K1048" s="8">
        <v>5.1431787791561871E-2</v>
      </c>
      <c r="L1048" s="8">
        <v>1.4779249365391345E-3</v>
      </c>
      <c r="M1048" s="8">
        <v>0.12562361960582644</v>
      </c>
      <c r="N1048" s="8">
        <v>8.8675496192348064E-3</v>
      </c>
      <c r="O1048" s="8">
        <v>1.2645125757028832E-2</v>
      </c>
      <c r="P1048" s="8"/>
      <c r="Q1048" t="s">
        <v>26</v>
      </c>
    </row>
    <row r="1049" spans="1:17" hidden="1" x14ac:dyDescent="0.25">
      <c r="A1049" s="7" t="s">
        <v>17</v>
      </c>
      <c r="B1049" s="7" t="s">
        <v>18</v>
      </c>
      <c r="C1049" s="7" t="s">
        <v>19</v>
      </c>
      <c r="D1049" s="7"/>
      <c r="E1049" s="7"/>
      <c r="F1049" s="7" t="s">
        <v>79</v>
      </c>
      <c r="G1049" s="7" t="s">
        <v>80</v>
      </c>
      <c r="H1049" s="7" t="s">
        <v>149</v>
      </c>
      <c r="I1049" s="7" t="s">
        <v>151</v>
      </c>
      <c r="J1049" s="8">
        <v>7.9760372609113256E-2</v>
      </c>
      <c r="K1049" s="8">
        <v>7.3043709652556355E-2</v>
      </c>
      <c r="L1049" s="8">
        <v>2.0989571739240334E-3</v>
      </c>
      <c r="M1049" s="8">
        <v>0.17841135978354286</v>
      </c>
      <c r="N1049" s="8">
        <v>1.2593743043544199E-2</v>
      </c>
      <c r="O1049" s="8">
        <v>1.7958677580094028E-2</v>
      </c>
      <c r="P1049" s="8"/>
      <c r="Q1049" t="s">
        <v>26</v>
      </c>
    </row>
    <row r="1050" spans="1:17" hidden="1" x14ac:dyDescent="0.25">
      <c r="A1050" s="7" t="s">
        <v>17</v>
      </c>
      <c r="B1050" s="7" t="s">
        <v>18</v>
      </c>
      <c r="C1050" s="7" t="s">
        <v>19</v>
      </c>
      <c r="D1050" s="7"/>
      <c r="E1050" s="7"/>
      <c r="F1050" s="7" t="s">
        <v>81</v>
      </c>
      <c r="G1050" s="7" t="s">
        <v>82</v>
      </c>
      <c r="H1050" s="7" t="s">
        <v>149</v>
      </c>
      <c r="I1050" s="7" t="s">
        <v>151</v>
      </c>
      <c r="J1050" s="8">
        <v>0.56738147245668002</v>
      </c>
      <c r="K1050" s="8">
        <v>0.51960198003927549</v>
      </c>
      <c r="L1050" s="8">
        <v>1.4931091380438952E-2</v>
      </c>
      <c r="M1050" s="8">
        <v>1.269142767337311</v>
      </c>
      <c r="N1050" s="8">
        <v>8.9586548282633696E-2</v>
      </c>
      <c r="O1050" s="8">
        <v>0.12775041785103564</v>
      </c>
      <c r="P1050" s="8"/>
      <c r="Q1050" t="s">
        <v>26</v>
      </c>
    </row>
    <row r="1051" spans="1:17" hidden="1" x14ac:dyDescent="0.25">
      <c r="A1051" s="7" t="s">
        <v>17</v>
      </c>
      <c r="B1051" s="7" t="s">
        <v>18</v>
      </c>
      <c r="C1051" s="7" t="s">
        <v>19</v>
      </c>
      <c r="D1051" s="7"/>
      <c r="E1051" s="7"/>
      <c r="F1051" s="7" t="s">
        <v>83</v>
      </c>
      <c r="G1051" s="7" t="s">
        <v>84</v>
      </c>
      <c r="H1051" s="7" t="s">
        <v>149</v>
      </c>
      <c r="I1051" s="7" t="s">
        <v>151</v>
      </c>
      <c r="J1051" s="8">
        <v>1.3961214918359699</v>
      </c>
      <c r="K1051" s="8">
        <v>1.2785533662076778</v>
      </c>
      <c r="L1051" s="8">
        <v>3.6740039258841312E-2</v>
      </c>
      <c r="M1051" s="8">
        <v>3.122903337001512</v>
      </c>
      <c r="N1051" s="8">
        <v>0.2204402355530479</v>
      </c>
      <c r="O1051" s="8">
        <v>0.31434777589864626</v>
      </c>
      <c r="P1051" s="8"/>
      <c r="Q1051" t="s">
        <v>26</v>
      </c>
    </row>
    <row r="1052" spans="1:17" hidden="1" x14ac:dyDescent="0.25">
      <c r="A1052" s="7" t="s">
        <v>17</v>
      </c>
      <c r="B1052" s="7" t="s">
        <v>18</v>
      </c>
      <c r="C1052" s="7" t="s">
        <v>19</v>
      </c>
      <c r="D1052" s="7" t="s">
        <v>20</v>
      </c>
      <c r="E1052" s="7" t="s">
        <v>21</v>
      </c>
      <c r="F1052" s="7" t="s">
        <v>85</v>
      </c>
      <c r="G1052" s="7" t="s">
        <v>86</v>
      </c>
      <c r="H1052" s="7" t="s">
        <v>149</v>
      </c>
      <c r="I1052" s="7" t="s">
        <v>151</v>
      </c>
      <c r="J1052" s="8">
        <v>3.4852654009447162</v>
      </c>
      <c r="K1052" s="8">
        <v>3.1917693671809508</v>
      </c>
      <c r="L1052" s="8">
        <v>9.1717510551176745E-2</v>
      </c>
      <c r="M1052" s="8">
        <v>7.7959883968500234</v>
      </c>
      <c r="N1052" s="8">
        <v>0.55030506330706042</v>
      </c>
      <c r="O1052" s="8">
        <v>0.78473502027586817</v>
      </c>
      <c r="P1052" s="8"/>
      <c r="Q1052" t="s">
        <v>26</v>
      </c>
    </row>
    <row r="1053" spans="1:17" hidden="1" x14ac:dyDescent="0.25">
      <c r="A1053" s="7" t="s">
        <v>17</v>
      </c>
      <c r="B1053" s="7" t="s">
        <v>18</v>
      </c>
      <c r="C1053" s="7" t="s">
        <v>19</v>
      </c>
      <c r="D1053" s="7"/>
      <c r="E1053" s="7"/>
      <c r="F1053" s="7" t="s">
        <v>87</v>
      </c>
      <c r="G1053" s="7" t="s">
        <v>88</v>
      </c>
      <c r="H1053" s="7" t="s">
        <v>149</v>
      </c>
      <c r="I1053" s="7" t="s">
        <v>151</v>
      </c>
      <c r="J1053" s="8">
        <v>0.27983719213804442</v>
      </c>
      <c r="K1053" s="8">
        <v>0.25627195490536703</v>
      </c>
      <c r="L1053" s="8">
        <v>7.364136635211696E-3</v>
      </c>
      <c r="M1053" s="8">
        <v>0.62595161399299426</v>
      </c>
      <c r="N1053" s="8">
        <v>4.4184819811270176E-2</v>
      </c>
      <c r="O1053" s="8">
        <v>6.3007553050871259E-2</v>
      </c>
      <c r="P1053" s="8"/>
      <c r="Q1053" t="s">
        <v>26</v>
      </c>
    </row>
    <row r="1054" spans="1:17" hidden="1" x14ac:dyDescent="0.25">
      <c r="A1054" s="7" t="s">
        <v>17</v>
      </c>
      <c r="B1054" s="7" t="s">
        <v>18</v>
      </c>
      <c r="C1054" s="7" t="s">
        <v>19</v>
      </c>
      <c r="D1054" s="7"/>
      <c r="E1054" s="7"/>
      <c r="F1054" s="7" t="s">
        <v>89</v>
      </c>
      <c r="G1054" s="7" t="s">
        <v>90</v>
      </c>
      <c r="H1054" s="7" t="s">
        <v>149</v>
      </c>
      <c r="I1054" s="7" t="s">
        <v>151</v>
      </c>
      <c r="J1054" s="8">
        <v>9.8357812960896673</v>
      </c>
      <c r="K1054" s="8">
        <v>9.007504976418959</v>
      </c>
      <c r="L1054" s="8">
        <v>0.25883634989709653</v>
      </c>
      <c r="M1054" s="8">
        <v>22.001089741253207</v>
      </c>
      <c r="N1054" s="8">
        <v>1.5530180993825791</v>
      </c>
      <c r="O1054" s="8">
        <v>2.2146038097195575</v>
      </c>
      <c r="P1054" s="8"/>
      <c r="Q1054" t="s">
        <v>26</v>
      </c>
    </row>
    <row r="1055" spans="1:17" hidden="1" x14ac:dyDescent="0.25">
      <c r="A1055" s="7" t="s">
        <v>17</v>
      </c>
      <c r="B1055" s="7" t="s">
        <v>18</v>
      </c>
      <c r="C1055" s="7" t="s">
        <v>19</v>
      </c>
      <c r="D1055" s="7"/>
      <c r="E1055" s="7"/>
      <c r="F1055" s="7" t="s">
        <v>91</v>
      </c>
      <c r="G1055" s="7" t="s">
        <v>92</v>
      </c>
      <c r="H1055" s="7" t="s">
        <v>149</v>
      </c>
      <c r="I1055" s="7" t="s">
        <v>151</v>
      </c>
      <c r="J1055" s="8">
        <v>7.2426594821613274E-2</v>
      </c>
      <c r="K1055" s="8">
        <v>6.6327513152424786E-2</v>
      </c>
      <c r="L1055" s="8">
        <v>1.905963021621402E-3</v>
      </c>
      <c r="M1055" s="8">
        <v>0.16200685683781918</v>
      </c>
      <c r="N1055" s="8">
        <v>1.1435778129728413E-2</v>
      </c>
      <c r="O1055" s="8">
        <v>1.6307419612992712E-2</v>
      </c>
      <c r="P1055" s="8"/>
      <c r="Q1055" t="s">
        <v>26</v>
      </c>
    </row>
    <row r="1056" spans="1:17" hidden="1" x14ac:dyDescent="0.25">
      <c r="A1056" s="7" t="s">
        <v>17</v>
      </c>
      <c r="B1056" s="7" t="s">
        <v>18</v>
      </c>
      <c r="C1056" s="7" t="s">
        <v>19</v>
      </c>
      <c r="D1056" s="7"/>
      <c r="E1056" s="7"/>
      <c r="F1056" s="7" t="s">
        <v>93</v>
      </c>
      <c r="G1056" s="7" t="s">
        <v>94</v>
      </c>
      <c r="H1056" s="7" t="s">
        <v>149</v>
      </c>
      <c r="I1056" s="7" t="s">
        <v>151</v>
      </c>
      <c r="J1056" s="8">
        <v>1.5451529039564539E-2</v>
      </c>
      <c r="K1056" s="8">
        <v>1.4150347646759105E-2</v>
      </c>
      <c r="L1056" s="8">
        <v>4.0661918525169841E-4</v>
      </c>
      <c r="M1056" s="8">
        <v>3.4562630746394367E-2</v>
      </c>
      <c r="N1056" s="8">
        <v>2.4397151115101907E-3</v>
      </c>
      <c r="O1056" s="8">
        <v>3.4790337490135316E-3</v>
      </c>
      <c r="P1056" s="8"/>
      <c r="Q1056" t="s">
        <v>26</v>
      </c>
    </row>
    <row r="1057" spans="1:17" hidden="1" x14ac:dyDescent="0.25">
      <c r="A1057" s="7" t="s">
        <v>17</v>
      </c>
      <c r="B1057" s="7" t="s">
        <v>18</v>
      </c>
      <c r="C1057" s="7" t="s">
        <v>19</v>
      </c>
      <c r="D1057" s="7"/>
      <c r="E1057" s="7"/>
      <c r="F1057" s="7" t="s">
        <v>95</v>
      </c>
      <c r="G1057" s="7" t="s">
        <v>96</v>
      </c>
      <c r="H1057" s="7" t="s">
        <v>149</v>
      </c>
      <c r="I1057" s="7" t="s">
        <v>151</v>
      </c>
      <c r="J1057" s="8">
        <v>5.313407717707471</v>
      </c>
      <c r="K1057" s="8">
        <v>4.8659628572689471</v>
      </c>
      <c r="L1057" s="8">
        <v>0.13982651888703873</v>
      </c>
      <c r="M1057" s="8">
        <v>11.885254105398291</v>
      </c>
      <c r="N1057" s="8">
        <v>0.83895911332223227</v>
      </c>
      <c r="O1057" s="8">
        <v>1.1963556955975032</v>
      </c>
      <c r="P1057" s="8"/>
      <c r="Q1057" t="s">
        <v>26</v>
      </c>
    </row>
    <row r="1058" spans="1:17" hidden="1" x14ac:dyDescent="0.25">
      <c r="A1058" s="7" t="s">
        <v>17</v>
      </c>
      <c r="B1058" s="7" t="s">
        <v>18</v>
      </c>
      <c r="C1058" s="7" t="s">
        <v>19</v>
      </c>
      <c r="D1058" s="7"/>
      <c r="E1058" s="7"/>
      <c r="F1058" s="7" t="s">
        <v>97</v>
      </c>
      <c r="G1058" s="7" t="s">
        <v>98</v>
      </c>
      <c r="H1058" s="7" t="s">
        <v>149</v>
      </c>
      <c r="I1058" s="7" t="s">
        <v>151</v>
      </c>
      <c r="J1058" s="8">
        <v>0.72961185585018329</v>
      </c>
      <c r="K1058" s="8">
        <v>0.66817085746279936</v>
      </c>
      <c r="L1058" s="8">
        <v>1.9200311996057453E-2</v>
      </c>
      <c r="M1058" s="8">
        <v>1.6320265196648835</v>
      </c>
      <c r="N1058" s="8">
        <v>0.11520187197634472</v>
      </c>
      <c r="O1058" s="8">
        <v>0.16427786943826755</v>
      </c>
      <c r="P1058" s="8"/>
      <c r="Q1058" t="s">
        <v>26</v>
      </c>
    </row>
    <row r="1059" spans="1:17" hidden="1" x14ac:dyDescent="0.25">
      <c r="A1059" s="7" t="s">
        <v>17</v>
      </c>
      <c r="B1059" s="7" t="s">
        <v>18</v>
      </c>
      <c r="C1059" s="7" t="s">
        <v>19</v>
      </c>
      <c r="D1059" s="7"/>
      <c r="E1059" s="7"/>
      <c r="F1059" s="7" t="s">
        <v>99</v>
      </c>
      <c r="G1059" s="7" t="s">
        <v>100</v>
      </c>
      <c r="H1059" s="7" t="s">
        <v>149</v>
      </c>
      <c r="I1059" s="7" t="s">
        <v>151</v>
      </c>
      <c r="J1059" s="8">
        <v>6.1212853852490934</v>
      </c>
      <c r="K1059" s="8">
        <v>5.6058087212281169</v>
      </c>
      <c r="L1059" s="8">
        <v>0.16108645750655509</v>
      </c>
      <c r="M1059" s="8">
        <v>13.692348888057184</v>
      </c>
      <c r="N1059" s="8">
        <v>0.96651874503933066</v>
      </c>
      <c r="O1059" s="8">
        <v>1.3782557304260852</v>
      </c>
      <c r="P1059" s="8"/>
      <c r="Q1059" t="s">
        <v>26</v>
      </c>
    </row>
    <row r="1060" spans="1:17" hidden="1" x14ac:dyDescent="0.25">
      <c r="A1060" s="7" t="s">
        <v>17</v>
      </c>
      <c r="B1060" s="7" t="s">
        <v>18</v>
      </c>
      <c r="C1060" s="7" t="s">
        <v>19</v>
      </c>
      <c r="D1060" s="7" t="s">
        <v>20</v>
      </c>
      <c r="E1060" s="7" t="s">
        <v>21</v>
      </c>
      <c r="F1060" s="7" t="s">
        <v>101</v>
      </c>
      <c r="G1060" s="7" t="s">
        <v>21</v>
      </c>
      <c r="H1060" s="7" t="s">
        <v>149</v>
      </c>
      <c r="I1060" s="7" t="s">
        <v>151</v>
      </c>
      <c r="J1060" s="8">
        <v>1.5934126524506473</v>
      </c>
      <c r="K1060" s="8">
        <v>1.4592305343495402</v>
      </c>
      <c r="L1060" s="8">
        <v>4.1931911906595988E-2</v>
      </c>
      <c r="M1060" s="8">
        <v>3.5642125120606587</v>
      </c>
      <c r="N1060" s="8">
        <v>0.25159147143957589</v>
      </c>
      <c r="O1060" s="8">
        <v>0.35876943827283519</v>
      </c>
      <c r="P1060" s="8"/>
      <c r="Q1060" t="s">
        <v>26</v>
      </c>
    </row>
    <row r="1061" spans="1:17" hidden="1" x14ac:dyDescent="0.25">
      <c r="A1061" s="7" t="s">
        <v>17</v>
      </c>
      <c r="B1061" s="7" t="s">
        <v>18</v>
      </c>
      <c r="C1061" s="7" t="s">
        <v>19</v>
      </c>
      <c r="D1061" s="7"/>
      <c r="E1061" s="7"/>
      <c r="F1061" s="7" t="s">
        <v>102</v>
      </c>
      <c r="G1061" s="7" t="s">
        <v>103</v>
      </c>
      <c r="H1061" s="7" t="s">
        <v>149</v>
      </c>
      <c r="I1061" s="7" t="s">
        <v>151</v>
      </c>
      <c r="J1061" s="8">
        <v>6.2018730046876538E-2</v>
      </c>
      <c r="K1061" s="8">
        <v>5.6796100148192204E-2</v>
      </c>
      <c r="L1061" s="8">
        <v>1.6320718433388563E-3</v>
      </c>
      <c r="M1061" s="8">
        <v>0.13872610668380281</v>
      </c>
      <c r="N1061" s="8">
        <v>9.7924310600331389E-3</v>
      </c>
      <c r="O1061" s="8">
        <v>1.3964006691607255E-2</v>
      </c>
      <c r="P1061" s="8"/>
      <c r="Q1061" t="s">
        <v>26</v>
      </c>
    </row>
    <row r="1062" spans="1:17" hidden="1" x14ac:dyDescent="0.25">
      <c r="A1062" s="7" t="s">
        <v>17</v>
      </c>
      <c r="B1062" s="7" t="s">
        <v>18</v>
      </c>
      <c r="C1062" s="7" t="s">
        <v>19</v>
      </c>
      <c r="D1062" s="7" t="s">
        <v>20</v>
      </c>
      <c r="E1062" s="7" t="s">
        <v>21</v>
      </c>
      <c r="F1062" s="7" t="s">
        <v>104</v>
      </c>
      <c r="G1062" s="7" t="s">
        <v>105</v>
      </c>
      <c r="H1062" s="7" t="s">
        <v>149</v>
      </c>
      <c r="I1062" s="7" t="s">
        <v>151</v>
      </c>
      <c r="J1062" s="8">
        <v>0.84791130531223846</v>
      </c>
      <c r="K1062" s="8">
        <v>0.77650824802278695</v>
      </c>
      <c r="L1062" s="8">
        <v>2.2313455402953646E-2</v>
      </c>
      <c r="M1062" s="8">
        <v>1.89664370925106</v>
      </c>
      <c r="N1062" s="8">
        <v>0.13388073241772186</v>
      </c>
      <c r="O1062" s="8">
        <v>0.19091392442767136</v>
      </c>
      <c r="P1062" s="8"/>
      <c r="Q1062" t="s">
        <v>26</v>
      </c>
    </row>
    <row r="1063" spans="1:17" hidden="1" x14ac:dyDescent="0.25">
      <c r="A1063" s="7" t="s">
        <v>17</v>
      </c>
      <c r="B1063" s="7" t="s">
        <v>18</v>
      </c>
      <c r="C1063" s="7" t="s">
        <v>19</v>
      </c>
      <c r="D1063" s="7"/>
      <c r="E1063" s="7"/>
      <c r="F1063" s="7" t="s">
        <v>106</v>
      </c>
      <c r="G1063" s="7" t="s">
        <v>107</v>
      </c>
      <c r="H1063" s="7" t="s">
        <v>149</v>
      </c>
      <c r="I1063" s="7" t="s">
        <v>151</v>
      </c>
      <c r="J1063" s="8">
        <v>0.71524983743502246</v>
      </c>
      <c r="K1063" s="8">
        <v>0.65501827217733621</v>
      </c>
      <c r="L1063" s="8">
        <v>1.8822364143026907E-2</v>
      </c>
      <c r="M1063" s="8">
        <v>1.5999009521572871</v>
      </c>
      <c r="N1063" s="8">
        <v>0.11293418485816142</v>
      </c>
      <c r="O1063" s="8">
        <v>0.16104414760773819</v>
      </c>
      <c r="P1063" s="8"/>
      <c r="Q1063" t="s">
        <v>26</v>
      </c>
    </row>
    <row r="1064" spans="1:17" hidden="1" x14ac:dyDescent="0.25">
      <c r="A1064" s="7" t="s">
        <v>17</v>
      </c>
      <c r="B1064" s="7" t="s">
        <v>18</v>
      </c>
      <c r="C1064" s="7" t="s">
        <v>19</v>
      </c>
      <c r="D1064" s="7"/>
      <c r="E1064" s="7"/>
      <c r="F1064" s="7" t="s">
        <v>108</v>
      </c>
      <c r="G1064" s="7" t="s">
        <v>109</v>
      </c>
      <c r="H1064" s="7" t="s">
        <v>149</v>
      </c>
      <c r="I1064" s="7" t="s">
        <v>151</v>
      </c>
      <c r="J1064" s="8">
        <v>0.60456347413924105</v>
      </c>
      <c r="K1064" s="8">
        <v>0.55365286579067341</v>
      </c>
      <c r="L1064" s="8">
        <v>1.5909565108927399E-2</v>
      </c>
      <c r="M1064" s="8">
        <v>1.3523130342588288</v>
      </c>
      <c r="N1064" s="8">
        <v>9.5457390653564372E-2</v>
      </c>
      <c r="O1064" s="8">
        <v>0.13612223907198279</v>
      </c>
      <c r="P1064" s="8"/>
      <c r="Q1064" t="s">
        <v>26</v>
      </c>
    </row>
    <row r="1065" spans="1:17" hidden="1" x14ac:dyDescent="0.25">
      <c r="A1065" s="7" t="s">
        <v>17</v>
      </c>
      <c r="B1065" s="7" t="s">
        <v>18</v>
      </c>
      <c r="C1065" s="7" t="s">
        <v>19</v>
      </c>
      <c r="D1065" s="7"/>
      <c r="E1065" s="7"/>
      <c r="F1065" s="7" t="s">
        <v>110</v>
      </c>
      <c r="G1065" s="7" t="s">
        <v>111</v>
      </c>
      <c r="H1065" s="7" t="s">
        <v>149</v>
      </c>
      <c r="I1065" s="7" t="s">
        <v>151</v>
      </c>
      <c r="J1065" s="8">
        <v>0.39013667461656049</v>
      </c>
      <c r="K1065" s="8">
        <v>0.35728305991200804</v>
      </c>
      <c r="L1065" s="8">
        <v>1.0266754595172645E-2</v>
      </c>
      <c r="M1065" s="8">
        <v>0.87267414058967485</v>
      </c>
      <c r="N1065" s="8">
        <v>6.1600527571035867E-2</v>
      </c>
      <c r="O1065" s="8">
        <v>8.784235231629714E-2</v>
      </c>
      <c r="P1065" s="8"/>
      <c r="Q1065" t="s">
        <v>26</v>
      </c>
    </row>
    <row r="1066" spans="1:17" hidden="1" x14ac:dyDescent="0.25">
      <c r="A1066" s="7" t="s">
        <v>17</v>
      </c>
      <c r="B1066" s="7" t="s">
        <v>18</v>
      </c>
      <c r="C1066" s="7" t="s">
        <v>19</v>
      </c>
      <c r="D1066" s="7" t="s">
        <v>20</v>
      </c>
      <c r="E1066" s="7" t="s">
        <v>21</v>
      </c>
      <c r="F1066" s="7" t="s">
        <v>112</v>
      </c>
      <c r="G1066" s="7" t="s">
        <v>113</v>
      </c>
      <c r="H1066" s="7" t="s">
        <v>149</v>
      </c>
      <c r="I1066" s="7" t="s">
        <v>151</v>
      </c>
      <c r="J1066" s="8">
        <v>5.3179792666942625</v>
      </c>
      <c r="K1066" s="8">
        <v>4.8701494337094822</v>
      </c>
      <c r="L1066" s="8">
        <v>0.13994682280774373</v>
      </c>
      <c r="M1066" s="8">
        <v>11.895479938658218</v>
      </c>
      <c r="N1066" s="8">
        <v>0.8396809368464625</v>
      </c>
      <c r="O1066" s="8">
        <v>1.1973850159430552</v>
      </c>
      <c r="P1066" s="8"/>
      <c r="Q1066" t="s">
        <v>26</v>
      </c>
    </row>
    <row r="1067" spans="1:17" hidden="1" x14ac:dyDescent="0.25">
      <c r="A1067" s="7" t="s">
        <v>17</v>
      </c>
      <c r="B1067" s="7" t="s">
        <v>18</v>
      </c>
      <c r="C1067" s="7" t="s">
        <v>19</v>
      </c>
      <c r="D1067" s="7" t="s">
        <v>20</v>
      </c>
      <c r="E1067" s="7" t="s">
        <v>21</v>
      </c>
      <c r="F1067" s="7" t="s">
        <v>114</v>
      </c>
      <c r="G1067" s="7" t="s">
        <v>115</v>
      </c>
      <c r="H1067" s="7" t="s">
        <v>149</v>
      </c>
      <c r="I1067" s="7" t="s">
        <v>151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/>
      <c r="Q1067" t="s">
        <v>26</v>
      </c>
    </row>
    <row r="1068" spans="1:17" hidden="1" x14ac:dyDescent="0.25">
      <c r="A1068" s="7" t="s">
        <v>17</v>
      </c>
      <c r="B1068" s="7" t="s">
        <v>18</v>
      </c>
      <c r="C1068" s="7" t="s">
        <v>19</v>
      </c>
      <c r="D1068" s="7" t="s">
        <v>20</v>
      </c>
      <c r="E1068" s="7" t="s">
        <v>21</v>
      </c>
      <c r="F1068" s="7" t="s">
        <v>116</v>
      </c>
      <c r="G1068" s="7" t="s">
        <v>117</v>
      </c>
      <c r="H1068" s="7" t="s">
        <v>149</v>
      </c>
      <c r="I1068" s="7" t="s">
        <v>151</v>
      </c>
      <c r="J1068" s="8">
        <v>0.57647088528430712</v>
      </c>
      <c r="K1068" s="8">
        <v>0.5279259686287866</v>
      </c>
      <c r="L1068" s="8">
        <v>1.5170286454850189E-2</v>
      </c>
      <c r="M1068" s="8">
        <v>1.289474348662266</v>
      </c>
      <c r="N1068" s="8">
        <v>9.1021718729101128E-2</v>
      </c>
      <c r="O1068" s="8">
        <v>0.12979697090769818</v>
      </c>
      <c r="P1068" s="8"/>
      <c r="Q1068" t="s">
        <v>26</v>
      </c>
    </row>
    <row r="1069" spans="1:17" hidden="1" x14ac:dyDescent="0.25">
      <c r="A1069" s="7" t="s">
        <v>17</v>
      </c>
      <c r="B1069" s="7" t="s">
        <v>18</v>
      </c>
      <c r="C1069" s="7" t="s">
        <v>19</v>
      </c>
      <c r="D1069" s="7" t="s">
        <v>20</v>
      </c>
      <c r="E1069" s="7" t="s">
        <v>21</v>
      </c>
      <c r="F1069" s="7" t="s">
        <v>118</v>
      </c>
      <c r="G1069" s="7" t="s">
        <v>119</v>
      </c>
      <c r="H1069" s="7" t="s">
        <v>149</v>
      </c>
      <c r="I1069" s="7" t="s">
        <v>151</v>
      </c>
      <c r="J1069" s="8">
        <v>4.8413069655380117</v>
      </c>
      <c r="K1069" s="8">
        <v>4.433617957913758</v>
      </c>
      <c r="L1069" s="8">
        <v>0.12740281488257926</v>
      </c>
      <c r="M1069" s="8">
        <v>10.829239265019238</v>
      </c>
      <c r="N1069" s="8">
        <v>0.76441688929547558</v>
      </c>
      <c r="O1069" s="8">
        <v>1.090058484135348</v>
      </c>
      <c r="P1069" s="8"/>
      <c r="Q1069" t="s">
        <v>26</v>
      </c>
    </row>
    <row r="1070" spans="1:17" hidden="1" x14ac:dyDescent="0.25">
      <c r="A1070" s="7" t="s">
        <v>17</v>
      </c>
      <c r="B1070" s="7" t="s">
        <v>18</v>
      </c>
      <c r="C1070" s="7" t="s">
        <v>19</v>
      </c>
      <c r="D1070" s="7" t="s">
        <v>20</v>
      </c>
      <c r="E1070" s="7" t="s">
        <v>21</v>
      </c>
      <c r="F1070" s="7" t="s">
        <v>120</v>
      </c>
      <c r="G1070" s="7" t="s">
        <v>121</v>
      </c>
      <c r="H1070" s="7" t="s">
        <v>149</v>
      </c>
      <c r="I1070" s="7" t="s">
        <v>151</v>
      </c>
      <c r="J1070" s="8">
        <v>1.3029995731347817</v>
      </c>
      <c r="K1070" s="8">
        <v>1.1932732932918528</v>
      </c>
      <c r="L1070" s="8">
        <v>3.4289462450915312E-2</v>
      </c>
      <c r="M1070" s="8">
        <v>2.9146043083278017</v>
      </c>
      <c r="N1070" s="8">
        <v>0.20573677470549187</v>
      </c>
      <c r="O1070" s="8">
        <v>0.29338064073003134</v>
      </c>
      <c r="P1070" s="8"/>
      <c r="Q1070" t="s">
        <v>26</v>
      </c>
    </row>
    <row r="1071" spans="1:17" hidden="1" x14ac:dyDescent="0.25">
      <c r="A1071" s="7" t="s">
        <v>17</v>
      </c>
      <c r="B1071" s="7" t="s">
        <v>18</v>
      </c>
      <c r="C1071" s="7" t="s">
        <v>19</v>
      </c>
      <c r="D1071" s="7"/>
      <c r="E1071" s="7"/>
      <c r="F1071" s="7" t="s">
        <v>122</v>
      </c>
      <c r="G1071" s="7" t="s">
        <v>123</v>
      </c>
      <c r="H1071" s="7" t="s">
        <v>149</v>
      </c>
      <c r="I1071" s="7" t="s">
        <v>151</v>
      </c>
      <c r="J1071" s="8">
        <v>0.24742074244419746</v>
      </c>
      <c r="K1071" s="8">
        <v>0.22658531150152819</v>
      </c>
      <c r="L1071" s="8">
        <v>6.5110721695841433E-3</v>
      </c>
      <c r="M1071" s="8">
        <v>0.55344113441465215</v>
      </c>
      <c r="N1071" s="8">
        <v>3.9066433017504863E-2</v>
      </c>
      <c r="O1071" s="8">
        <v>5.5708733482961924E-2</v>
      </c>
      <c r="P1071" s="8"/>
      <c r="Q1071" t="s">
        <v>26</v>
      </c>
    </row>
    <row r="1072" spans="1:17" hidden="1" x14ac:dyDescent="0.25">
      <c r="A1072" s="7" t="s">
        <v>17</v>
      </c>
      <c r="B1072" s="7" t="s">
        <v>18</v>
      </c>
      <c r="C1072" s="7" t="s">
        <v>19</v>
      </c>
      <c r="D1072" s="7"/>
      <c r="E1072" s="7"/>
      <c r="F1072" s="7" t="s">
        <v>124</v>
      </c>
      <c r="G1072" s="7" t="s">
        <v>125</v>
      </c>
      <c r="H1072" s="7" t="s">
        <v>149</v>
      </c>
      <c r="I1072" s="7" t="s">
        <v>151</v>
      </c>
      <c r="J1072" s="8">
        <v>0.17145182434171538</v>
      </c>
      <c r="K1072" s="8">
        <v>0.15701377597609725</v>
      </c>
      <c r="L1072" s="8">
        <v>4.5118901142556693E-3</v>
      </c>
      <c r="M1072" s="8">
        <v>0.38351065971173187</v>
      </c>
      <c r="N1072" s="8">
        <v>2.7071340685534011E-2</v>
      </c>
      <c r="O1072" s="8">
        <v>3.8603731817571499E-2</v>
      </c>
      <c r="P1072" s="8"/>
      <c r="Q1072" t="s">
        <v>26</v>
      </c>
    </row>
    <row r="1073" spans="1:17" hidden="1" x14ac:dyDescent="0.25">
      <c r="A1073" s="7" t="s">
        <v>17</v>
      </c>
      <c r="B1073" s="7" t="s">
        <v>18</v>
      </c>
      <c r="C1073" s="7" t="s">
        <v>19</v>
      </c>
      <c r="D1073" s="7" t="s">
        <v>20</v>
      </c>
      <c r="E1073" s="7" t="s">
        <v>21</v>
      </c>
      <c r="F1073" s="7" t="s">
        <v>22</v>
      </c>
      <c r="G1073" s="7" t="s">
        <v>23</v>
      </c>
      <c r="H1073" s="7" t="s">
        <v>149</v>
      </c>
      <c r="I1073" s="7" t="s">
        <v>152</v>
      </c>
      <c r="J1073" s="8">
        <v>0</v>
      </c>
      <c r="K1073" s="8">
        <v>0</v>
      </c>
      <c r="L1073" s="8">
        <v>0</v>
      </c>
      <c r="M1073" s="8">
        <v>0</v>
      </c>
      <c r="N1073" s="8"/>
      <c r="O1073" s="8">
        <v>0</v>
      </c>
      <c r="P1073" s="8"/>
      <c r="Q1073" t="s">
        <v>26</v>
      </c>
    </row>
    <row r="1074" spans="1:17" hidden="1" x14ac:dyDescent="0.25">
      <c r="A1074" s="7" t="s">
        <v>17</v>
      </c>
      <c r="B1074" s="7" t="s">
        <v>18</v>
      </c>
      <c r="C1074" s="7" t="s">
        <v>19</v>
      </c>
      <c r="D1074" s="7"/>
      <c r="E1074" s="7"/>
      <c r="F1074" s="7" t="s">
        <v>27</v>
      </c>
      <c r="G1074" s="7" t="s">
        <v>28</v>
      </c>
      <c r="H1074" s="7" t="s">
        <v>149</v>
      </c>
      <c r="I1074" s="7" t="s">
        <v>152</v>
      </c>
      <c r="J1074" s="8">
        <v>0</v>
      </c>
      <c r="K1074" s="8">
        <v>0</v>
      </c>
      <c r="L1074" s="8">
        <v>0</v>
      </c>
      <c r="M1074" s="8">
        <v>3.8204577110563407E-3</v>
      </c>
      <c r="N1074" s="8"/>
      <c r="O1074" s="8">
        <v>0.20257752758029526</v>
      </c>
      <c r="P1074" s="8"/>
      <c r="Q1074" t="s">
        <v>26</v>
      </c>
    </row>
    <row r="1075" spans="1:17" hidden="1" x14ac:dyDescent="0.25">
      <c r="A1075" s="7" t="s">
        <v>17</v>
      </c>
      <c r="B1075" s="7" t="s">
        <v>18</v>
      </c>
      <c r="C1075" s="7" t="s">
        <v>19</v>
      </c>
      <c r="D1075" s="7"/>
      <c r="E1075" s="7"/>
      <c r="F1075" s="7" t="s">
        <v>29</v>
      </c>
      <c r="G1075" s="7" t="s">
        <v>30</v>
      </c>
      <c r="H1075" s="7" t="s">
        <v>149</v>
      </c>
      <c r="I1075" s="7" t="s">
        <v>152</v>
      </c>
      <c r="J1075" s="8">
        <v>0</v>
      </c>
      <c r="K1075" s="8">
        <v>0</v>
      </c>
      <c r="L1075" s="8">
        <v>0</v>
      </c>
      <c r="M1075" s="8">
        <v>1.5476488410137478E-3</v>
      </c>
      <c r="N1075" s="8"/>
      <c r="O1075" s="8">
        <v>8.2063171349274766E-2</v>
      </c>
      <c r="P1075" s="8"/>
      <c r="Q1075" t="s">
        <v>26</v>
      </c>
    </row>
    <row r="1076" spans="1:17" hidden="1" x14ac:dyDescent="0.25">
      <c r="A1076" s="7" t="s">
        <v>17</v>
      </c>
      <c r="B1076" s="7" t="s">
        <v>18</v>
      </c>
      <c r="C1076" s="7" t="s">
        <v>19</v>
      </c>
      <c r="D1076" s="7"/>
      <c r="E1076" s="7"/>
      <c r="F1076" s="7" t="s">
        <v>31</v>
      </c>
      <c r="G1076" s="7" t="s">
        <v>32</v>
      </c>
      <c r="H1076" s="7" t="s">
        <v>149</v>
      </c>
      <c r="I1076" s="7" t="s">
        <v>152</v>
      </c>
      <c r="J1076" s="8">
        <v>0</v>
      </c>
      <c r="K1076" s="8">
        <v>0</v>
      </c>
      <c r="L1076" s="8">
        <v>0</v>
      </c>
      <c r="M1076" s="8">
        <v>0</v>
      </c>
      <c r="N1076" s="8"/>
      <c r="O1076" s="8">
        <v>0</v>
      </c>
      <c r="P1076" s="8"/>
      <c r="Q1076" t="s">
        <v>26</v>
      </c>
    </row>
    <row r="1077" spans="1:17" hidden="1" x14ac:dyDescent="0.25">
      <c r="A1077" s="7" t="s">
        <v>17</v>
      </c>
      <c r="B1077" s="7" t="s">
        <v>18</v>
      </c>
      <c r="C1077" s="7" t="s">
        <v>19</v>
      </c>
      <c r="D1077" s="7"/>
      <c r="E1077" s="7"/>
      <c r="F1077" s="7" t="s">
        <v>33</v>
      </c>
      <c r="G1077" s="7" t="s">
        <v>34</v>
      </c>
      <c r="H1077" s="7" t="s">
        <v>149</v>
      </c>
      <c r="I1077" s="7" t="s">
        <v>152</v>
      </c>
      <c r="J1077" s="8">
        <v>0</v>
      </c>
      <c r="K1077" s="8">
        <v>0</v>
      </c>
      <c r="L1077" s="8">
        <v>0</v>
      </c>
      <c r="M1077" s="8">
        <v>0.14181031570492153</v>
      </c>
      <c r="N1077" s="8"/>
      <c r="O1077" s="8">
        <v>7.5194087498330298</v>
      </c>
      <c r="P1077" s="8"/>
      <c r="Q1077" t="s">
        <v>26</v>
      </c>
    </row>
    <row r="1078" spans="1:17" hidden="1" x14ac:dyDescent="0.25">
      <c r="A1078" s="7" t="s">
        <v>17</v>
      </c>
      <c r="B1078" s="7" t="s">
        <v>18</v>
      </c>
      <c r="C1078" s="7" t="s">
        <v>19</v>
      </c>
      <c r="D1078" s="7" t="s">
        <v>20</v>
      </c>
      <c r="E1078" s="7" t="s">
        <v>21</v>
      </c>
      <c r="F1078" s="7" t="s">
        <v>35</v>
      </c>
      <c r="G1078" s="7" t="s">
        <v>36</v>
      </c>
      <c r="H1078" s="7" t="s">
        <v>149</v>
      </c>
      <c r="I1078" s="7" t="s">
        <v>152</v>
      </c>
      <c r="J1078" s="8">
        <v>0</v>
      </c>
      <c r="K1078" s="8">
        <v>0</v>
      </c>
      <c r="L1078" s="8">
        <v>0</v>
      </c>
      <c r="M1078" s="8">
        <v>0</v>
      </c>
      <c r="N1078" s="8"/>
      <c r="O1078" s="8">
        <v>0</v>
      </c>
      <c r="P1078" s="8"/>
      <c r="Q1078" t="s">
        <v>26</v>
      </c>
    </row>
    <row r="1079" spans="1:17" hidden="1" x14ac:dyDescent="0.25">
      <c r="A1079" s="7" t="s">
        <v>17</v>
      </c>
      <c r="B1079" s="7" t="s">
        <v>18</v>
      </c>
      <c r="C1079" s="7" t="s">
        <v>19</v>
      </c>
      <c r="D1079" s="7"/>
      <c r="E1079" s="7"/>
      <c r="F1079" s="7" t="s">
        <v>37</v>
      </c>
      <c r="G1079" s="7" t="s">
        <v>38</v>
      </c>
      <c r="H1079" s="7" t="s">
        <v>149</v>
      </c>
      <c r="I1079" s="7" t="s">
        <v>152</v>
      </c>
      <c r="J1079" s="8">
        <v>0</v>
      </c>
      <c r="K1079" s="8">
        <v>0</v>
      </c>
      <c r="L1079" s="8">
        <v>0</v>
      </c>
      <c r="M1079" s="8">
        <v>1.303333784293379E-3</v>
      </c>
      <c r="N1079" s="8"/>
      <c r="O1079" s="8">
        <v>6.9108508875765168E-2</v>
      </c>
      <c r="P1079" s="8"/>
      <c r="Q1079" t="s">
        <v>26</v>
      </c>
    </row>
    <row r="1080" spans="1:17" hidden="1" x14ac:dyDescent="0.25">
      <c r="A1080" s="7" t="s">
        <v>17</v>
      </c>
      <c r="B1080" s="7" t="s">
        <v>18</v>
      </c>
      <c r="C1080" s="7" t="s">
        <v>19</v>
      </c>
      <c r="D1080" s="7"/>
      <c r="E1080" s="7"/>
      <c r="F1080" s="7" t="s">
        <v>39</v>
      </c>
      <c r="G1080" s="7" t="s">
        <v>40</v>
      </c>
      <c r="H1080" s="7" t="s">
        <v>149</v>
      </c>
      <c r="I1080" s="7" t="s">
        <v>152</v>
      </c>
      <c r="J1080" s="8">
        <v>0</v>
      </c>
      <c r="K1080" s="8">
        <v>0</v>
      </c>
      <c r="L1080" s="8">
        <v>0</v>
      </c>
      <c r="M1080" s="8">
        <v>2.7939087826748081E-2</v>
      </c>
      <c r="N1080" s="8"/>
      <c r="O1080" s="8">
        <v>1.4814537322090737</v>
      </c>
      <c r="P1080" s="8"/>
      <c r="Q1080" t="s">
        <v>26</v>
      </c>
    </row>
    <row r="1081" spans="1:17" hidden="1" x14ac:dyDescent="0.25">
      <c r="A1081" s="7" t="s">
        <v>17</v>
      </c>
      <c r="B1081" s="7" t="s">
        <v>18</v>
      </c>
      <c r="C1081" s="7" t="s">
        <v>19</v>
      </c>
      <c r="D1081" s="7" t="s">
        <v>20</v>
      </c>
      <c r="E1081" s="7" t="s">
        <v>21</v>
      </c>
      <c r="F1081" s="7" t="s">
        <v>41</v>
      </c>
      <c r="G1081" s="7" t="s">
        <v>42</v>
      </c>
      <c r="H1081" s="7" t="s">
        <v>149</v>
      </c>
      <c r="I1081" s="7" t="s">
        <v>152</v>
      </c>
      <c r="J1081" s="8">
        <v>0</v>
      </c>
      <c r="K1081" s="8">
        <v>0</v>
      </c>
      <c r="L1081" s="8">
        <v>0</v>
      </c>
      <c r="M1081" s="8">
        <v>1.8453032683837118</v>
      </c>
      <c r="N1081" s="8"/>
      <c r="O1081" s="8">
        <v>97.846122642109165</v>
      </c>
      <c r="P1081" s="8"/>
      <c r="Q1081" t="s">
        <v>26</v>
      </c>
    </row>
    <row r="1082" spans="1:17" hidden="1" x14ac:dyDescent="0.25">
      <c r="A1082" s="7" t="s">
        <v>17</v>
      </c>
      <c r="B1082" s="7" t="s">
        <v>18</v>
      </c>
      <c r="C1082" s="7" t="s">
        <v>19</v>
      </c>
      <c r="D1082" s="7" t="s">
        <v>20</v>
      </c>
      <c r="E1082" s="7" t="s">
        <v>21</v>
      </c>
      <c r="F1082" s="7" t="s">
        <v>43</v>
      </c>
      <c r="G1082" s="7" t="s">
        <v>44</v>
      </c>
      <c r="H1082" s="7" t="s">
        <v>149</v>
      </c>
      <c r="I1082" s="7" t="s">
        <v>152</v>
      </c>
      <c r="J1082" s="8">
        <v>0</v>
      </c>
      <c r="K1082" s="8">
        <v>0</v>
      </c>
      <c r="L1082" s="8">
        <v>0</v>
      </c>
      <c r="M1082" s="8">
        <v>0</v>
      </c>
      <c r="N1082" s="8"/>
      <c r="O1082" s="8">
        <v>0</v>
      </c>
      <c r="P1082" s="8"/>
      <c r="Q1082" t="s">
        <v>26</v>
      </c>
    </row>
    <row r="1083" spans="1:17" hidden="1" x14ac:dyDescent="0.25">
      <c r="A1083" s="7" t="s">
        <v>17</v>
      </c>
      <c r="B1083" s="7" t="s">
        <v>18</v>
      </c>
      <c r="C1083" s="7" t="s">
        <v>19</v>
      </c>
      <c r="D1083" s="7"/>
      <c r="E1083" s="7"/>
      <c r="F1083" s="7" t="s">
        <v>45</v>
      </c>
      <c r="G1083" s="7" t="s">
        <v>46</v>
      </c>
      <c r="H1083" s="7" t="s">
        <v>149</v>
      </c>
      <c r="I1083" s="7" t="s">
        <v>152</v>
      </c>
      <c r="J1083" s="8">
        <v>0</v>
      </c>
      <c r="K1083" s="8">
        <v>0</v>
      </c>
      <c r="L1083" s="8">
        <v>0</v>
      </c>
      <c r="M1083" s="8">
        <v>4.2966070025712663E-2</v>
      </c>
      <c r="N1083" s="8"/>
      <c r="O1083" s="8">
        <v>2.2782506427074405</v>
      </c>
      <c r="P1083" s="8"/>
      <c r="Q1083" t="s">
        <v>26</v>
      </c>
    </row>
    <row r="1084" spans="1:17" hidden="1" x14ac:dyDescent="0.25">
      <c r="A1084" s="7" t="s">
        <v>17</v>
      </c>
      <c r="B1084" s="7" t="s">
        <v>18</v>
      </c>
      <c r="C1084" s="7" t="s">
        <v>19</v>
      </c>
      <c r="D1084" s="7" t="s">
        <v>20</v>
      </c>
      <c r="E1084" s="7" t="s">
        <v>21</v>
      </c>
      <c r="F1084" s="7" t="s">
        <v>47</v>
      </c>
      <c r="G1084" s="7" t="s">
        <v>48</v>
      </c>
      <c r="H1084" s="7" t="s">
        <v>149</v>
      </c>
      <c r="I1084" s="7" t="s">
        <v>152</v>
      </c>
      <c r="J1084" s="8">
        <v>0</v>
      </c>
      <c r="K1084" s="8">
        <v>0</v>
      </c>
      <c r="L1084" s="8">
        <v>0</v>
      </c>
      <c r="M1084" s="8">
        <v>0</v>
      </c>
      <c r="N1084" s="8"/>
      <c r="O1084" s="8">
        <v>0</v>
      </c>
      <c r="P1084" s="8"/>
      <c r="Q1084" t="s">
        <v>26</v>
      </c>
    </row>
    <row r="1085" spans="1:17" hidden="1" x14ac:dyDescent="0.25">
      <c r="A1085" s="7" t="s">
        <v>17</v>
      </c>
      <c r="B1085" s="7" t="s">
        <v>18</v>
      </c>
      <c r="C1085" s="7" t="s">
        <v>19</v>
      </c>
      <c r="D1085" s="7"/>
      <c r="E1085" s="7"/>
      <c r="F1085" s="7" t="s">
        <v>49</v>
      </c>
      <c r="G1085" s="7" t="s">
        <v>50</v>
      </c>
      <c r="H1085" s="7" t="s">
        <v>149</v>
      </c>
      <c r="I1085" s="7" t="s">
        <v>152</v>
      </c>
      <c r="J1085" s="8">
        <v>0</v>
      </c>
      <c r="K1085" s="8">
        <v>0</v>
      </c>
      <c r="L1085" s="8">
        <v>0</v>
      </c>
      <c r="M1085" s="8">
        <v>8.8200783649971484E-2</v>
      </c>
      <c r="N1085" s="8"/>
      <c r="O1085" s="8">
        <v>4.6767947805697512</v>
      </c>
      <c r="P1085" s="8"/>
      <c r="Q1085" t="s">
        <v>26</v>
      </c>
    </row>
    <row r="1086" spans="1:17" hidden="1" x14ac:dyDescent="0.25">
      <c r="A1086" s="7" t="s">
        <v>17</v>
      </c>
      <c r="B1086" s="7" t="s">
        <v>18</v>
      </c>
      <c r="C1086" s="7" t="s">
        <v>19</v>
      </c>
      <c r="D1086" s="7"/>
      <c r="E1086" s="7"/>
      <c r="F1086" s="7" t="s">
        <v>51</v>
      </c>
      <c r="G1086" s="7" t="s">
        <v>52</v>
      </c>
      <c r="H1086" s="7" t="s">
        <v>149</v>
      </c>
      <c r="I1086" s="7" t="s">
        <v>152</v>
      </c>
      <c r="J1086" s="8">
        <v>0</v>
      </c>
      <c r="K1086" s="8">
        <v>0</v>
      </c>
      <c r="L1086" s="8">
        <v>0</v>
      </c>
      <c r="M1086" s="8">
        <v>4.7313127432908386E-2</v>
      </c>
      <c r="N1086" s="8"/>
      <c r="O1086" s="8">
        <v>2.5087508100698042</v>
      </c>
      <c r="P1086" s="8"/>
      <c r="Q1086" t="s">
        <v>26</v>
      </c>
    </row>
    <row r="1087" spans="1:17" hidden="1" x14ac:dyDescent="0.25">
      <c r="A1087" s="7" t="s">
        <v>17</v>
      </c>
      <c r="B1087" s="7" t="s">
        <v>18</v>
      </c>
      <c r="C1087" s="7" t="s">
        <v>19</v>
      </c>
      <c r="D1087" s="7"/>
      <c r="E1087" s="7"/>
      <c r="F1087" s="7" t="s">
        <v>53</v>
      </c>
      <c r="G1087" s="7" t="s">
        <v>54</v>
      </c>
      <c r="H1087" s="7" t="s">
        <v>149</v>
      </c>
      <c r="I1087" s="7" t="s">
        <v>152</v>
      </c>
      <c r="J1087" s="8">
        <v>0</v>
      </c>
      <c r="K1087" s="8">
        <v>0</v>
      </c>
      <c r="L1087" s="8">
        <v>0</v>
      </c>
      <c r="M1087" s="8">
        <v>1.1291897211751162E-3</v>
      </c>
      <c r="N1087" s="8"/>
      <c r="O1087" s="8">
        <v>5.9874622148739884E-2</v>
      </c>
      <c r="P1087" s="8"/>
      <c r="Q1087" t="s">
        <v>26</v>
      </c>
    </row>
    <row r="1088" spans="1:17" hidden="1" x14ac:dyDescent="0.25">
      <c r="A1088" s="7" t="s">
        <v>17</v>
      </c>
      <c r="B1088" s="7" t="s">
        <v>18</v>
      </c>
      <c r="C1088" s="7" t="s">
        <v>19</v>
      </c>
      <c r="D1088" s="7"/>
      <c r="E1088" s="7"/>
      <c r="F1088" s="7" t="s">
        <v>55</v>
      </c>
      <c r="G1088" s="7" t="s">
        <v>56</v>
      </c>
      <c r="H1088" s="7" t="s">
        <v>149</v>
      </c>
      <c r="I1088" s="7" t="s">
        <v>152</v>
      </c>
      <c r="J1088" s="8">
        <v>0</v>
      </c>
      <c r="K1088" s="8">
        <v>0</v>
      </c>
      <c r="L1088" s="8">
        <v>0</v>
      </c>
      <c r="M1088" s="8">
        <v>1.7182884826975001E-2</v>
      </c>
      <c r="N1088" s="8"/>
      <c r="O1088" s="8">
        <v>0.91111238186775267</v>
      </c>
      <c r="P1088" s="8"/>
      <c r="Q1088" t="s">
        <v>26</v>
      </c>
    </row>
    <row r="1089" spans="1:17" hidden="1" x14ac:dyDescent="0.25">
      <c r="A1089" s="7" t="s">
        <v>17</v>
      </c>
      <c r="B1089" s="7" t="s">
        <v>18</v>
      </c>
      <c r="C1089" s="7" t="s">
        <v>19</v>
      </c>
      <c r="D1089" s="7"/>
      <c r="E1089" s="7"/>
      <c r="F1089" s="7" t="s">
        <v>57</v>
      </c>
      <c r="G1089" s="7" t="s">
        <v>58</v>
      </c>
      <c r="H1089" s="7" t="s">
        <v>149</v>
      </c>
      <c r="I1089" s="7" t="s">
        <v>152</v>
      </c>
      <c r="J1089" s="8">
        <v>0</v>
      </c>
      <c r="K1089" s="8">
        <v>0</v>
      </c>
      <c r="L1089" s="8">
        <v>0</v>
      </c>
      <c r="M1089" s="8">
        <v>6.0673843305741847E-2</v>
      </c>
      <c r="N1089" s="8"/>
      <c r="O1089" s="8">
        <v>3.2171949266971405</v>
      </c>
      <c r="P1089" s="8"/>
      <c r="Q1089" t="s">
        <v>26</v>
      </c>
    </row>
    <row r="1090" spans="1:17" hidden="1" x14ac:dyDescent="0.25">
      <c r="A1090" s="7" t="s">
        <v>17</v>
      </c>
      <c r="B1090" s="7" t="s">
        <v>18</v>
      </c>
      <c r="C1090" s="7" t="s">
        <v>19</v>
      </c>
      <c r="D1090" s="7" t="s">
        <v>20</v>
      </c>
      <c r="E1090" s="7" t="s">
        <v>21</v>
      </c>
      <c r="F1090" s="7" t="s">
        <v>59</v>
      </c>
      <c r="G1090" s="7" t="s">
        <v>60</v>
      </c>
      <c r="H1090" s="7" t="s">
        <v>149</v>
      </c>
      <c r="I1090" s="7" t="s">
        <v>152</v>
      </c>
      <c r="J1090" s="8">
        <v>0</v>
      </c>
      <c r="K1090" s="8">
        <v>0</v>
      </c>
      <c r="L1090" s="8">
        <v>0</v>
      </c>
      <c r="M1090" s="8">
        <v>1.1438810390553376</v>
      </c>
      <c r="N1090" s="8"/>
      <c r="O1090" s="8">
        <v>60.653620655766545</v>
      </c>
      <c r="P1090" s="8"/>
      <c r="Q1090" t="s">
        <v>26</v>
      </c>
    </row>
    <row r="1091" spans="1:17" hidden="1" x14ac:dyDescent="0.25">
      <c r="A1091" s="7" t="s">
        <v>17</v>
      </c>
      <c r="B1091" s="7" t="s">
        <v>18</v>
      </c>
      <c r="C1091" s="7" t="s">
        <v>19</v>
      </c>
      <c r="D1091" s="7" t="s">
        <v>20</v>
      </c>
      <c r="E1091" s="7" t="s">
        <v>21</v>
      </c>
      <c r="F1091" s="7" t="s">
        <v>61</v>
      </c>
      <c r="G1091" s="7" t="s">
        <v>62</v>
      </c>
      <c r="H1091" s="7" t="s">
        <v>149</v>
      </c>
      <c r="I1091" s="7" t="s">
        <v>152</v>
      </c>
      <c r="J1091" s="8">
        <v>0</v>
      </c>
      <c r="K1091" s="8">
        <v>0</v>
      </c>
      <c r="L1091" s="8">
        <v>0</v>
      </c>
      <c r="M1091" s="8">
        <v>0</v>
      </c>
      <c r="N1091" s="8"/>
      <c r="O1091" s="8">
        <v>0</v>
      </c>
      <c r="P1091" s="8"/>
      <c r="Q1091" t="s">
        <v>26</v>
      </c>
    </row>
    <row r="1092" spans="1:17" hidden="1" x14ac:dyDescent="0.25">
      <c r="A1092" s="7" t="s">
        <v>17</v>
      </c>
      <c r="B1092" s="7" t="s">
        <v>18</v>
      </c>
      <c r="C1092" s="7" t="s">
        <v>19</v>
      </c>
      <c r="D1092" s="7"/>
      <c r="E1092" s="7"/>
      <c r="F1092" s="7" t="s">
        <v>63</v>
      </c>
      <c r="G1092" s="7" t="s">
        <v>64</v>
      </c>
      <c r="H1092" s="7" t="s">
        <v>149</v>
      </c>
      <c r="I1092" s="7" t="s">
        <v>152</v>
      </c>
      <c r="J1092" s="8">
        <v>0</v>
      </c>
      <c r="K1092" s="8">
        <v>0</v>
      </c>
      <c r="L1092" s="8">
        <v>0</v>
      </c>
      <c r="M1092" s="8">
        <v>0</v>
      </c>
      <c r="N1092" s="8"/>
      <c r="O1092" s="8">
        <v>0</v>
      </c>
      <c r="P1092" s="8"/>
      <c r="Q1092" t="s">
        <v>26</v>
      </c>
    </row>
    <row r="1093" spans="1:17" hidden="1" x14ac:dyDescent="0.25">
      <c r="A1093" s="7" t="s">
        <v>17</v>
      </c>
      <c r="B1093" s="7" t="s">
        <v>18</v>
      </c>
      <c r="C1093" s="7" t="s">
        <v>19</v>
      </c>
      <c r="D1093" s="7" t="s">
        <v>20</v>
      </c>
      <c r="E1093" s="7" t="s">
        <v>21</v>
      </c>
      <c r="F1093" s="7" t="s">
        <v>65</v>
      </c>
      <c r="G1093" s="7" t="s">
        <v>66</v>
      </c>
      <c r="H1093" s="7" t="s">
        <v>149</v>
      </c>
      <c r="I1093" s="7" t="s">
        <v>152</v>
      </c>
      <c r="J1093" s="8">
        <v>0</v>
      </c>
      <c r="K1093" s="8">
        <v>0</v>
      </c>
      <c r="L1093" s="8">
        <v>0</v>
      </c>
      <c r="M1093" s="8">
        <v>0</v>
      </c>
      <c r="N1093" s="8"/>
      <c r="O1093" s="8">
        <v>0</v>
      </c>
      <c r="P1093" s="8"/>
      <c r="Q1093" t="s">
        <v>26</v>
      </c>
    </row>
    <row r="1094" spans="1:17" hidden="1" x14ac:dyDescent="0.25">
      <c r="A1094" s="7" t="s">
        <v>17</v>
      </c>
      <c r="B1094" s="7" t="s">
        <v>18</v>
      </c>
      <c r="C1094" s="7" t="s">
        <v>19</v>
      </c>
      <c r="D1094" s="7"/>
      <c r="E1094" s="7"/>
      <c r="F1094" s="7" t="s">
        <v>67</v>
      </c>
      <c r="G1094" s="7" t="s">
        <v>68</v>
      </c>
      <c r="H1094" s="7" t="s">
        <v>149</v>
      </c>
      <c r="I1094" s="7" t="s">
        <v>152</v>
      </c>
      <c r="J1094" s="8">
        <v>0</v>
      </c>
      <c r="K1094" s="8">
        <v>0</v>
      </c>
      <c r="L1094" s="8">
        <v>0</v>
      </c>
      <c r="M1094" s="8">
        <v>9.4867683067999573E-2</v>
      </c>
      <c r="N1094" s="8"/>
      <c r="O1094" s="8">
        <v>5.0303032088458002</v>
      </c>
      <c r="P1094" s="8"/>
      <c r="Q1094" t="s">
        <v>26</v>
      </c>
    </row>
    <row r="1095" spans="1:17" hidden="1" x14ac:dyDescent="0.25">
      <c r="A1095" s="7" t="s">
        <v>17</v>
      </c>
      <c r="B1095" s="7" t="s">
        <v>18</v>
      </c>
      <c r="C1095" s="7" t="s">
        <v>19</v>
      </c>
      <c r="D1095" s="7"/>
      <c r="E1095" s="7"/>
      <c r="F1095" s="7" t="s">
        <v>69</v>
      </c>
      <c r="G1095" s="7" t="s">
        <v>70</v>
      </c>
      <c r="H1095" s="7" t="s">
        <v>149</v>
      </c>
      <c r="I1095" s="7" t="s">
        <v>152</v>
      </c>
      <c r="J1095" s="8">
        <v>0</v>
      </c>
      <c r="K1095" s="8">
        <v>0</v>
      </c>
      <c r="L1095" s="8">
        <v>0</v>
      </c>
      <c r="M1095" s="8">
        <v>2.1649260362652599E-2</v>
      </c>
      <c r="N1095" s="8"/>
      <c r="O1095" s="8">
        <v>1.1479393229550068</v>
      </c>
      <c r="P1095" s="8"/>
      <c r="Q1095" t="s">
        <v>26</v>
      </c>
    </row>
    <row r="1096" spans="1:17" hidden="1" x14ac:dyDescent="0.25">
      <c r="A1096" s="7" t="s">
        <v>17</v>
      </c>
      <c r="B1096" s="7" t="s">
        <v>18</v>
      </c>
      <c r="C1096" s="7" t="s">
        <v>19</v>
      </c>
      <c r="D1096" s="7"/>
      <c r="E1096" s="7"/>
      <c r="F1096" s="7" t="s">
        <v>71</v>
      </c>
      <c r="G1096" s="7" t="s">
        <v>72</v>
      </c>
      <c r="H1096" s="7" t="s">
        <v>149</v>
      </c>
      <c r="I1096" s="7" t="s">
        <v>152</v>
      </c>
      <c r="J1096" s="8">
        <v>0</v>
      </c>
      <c r="K1096" s="8">
        <v>0</v>
      </c>
      <c r="L1096" s="8">
        <v>0</v>
      </c>
      <c r="M1096" s="8">
        <v>3.7639657372503877E-3</v>
      </c>
      <c r="N1096" s="8"/>
      <c r="O1096" s="8">
        <v>0.19958207382913293</v>
      </c>
      <c r="P1096" s="8"/>
      <c r="Q1096" t="s">
        <v>26</v>
      </c>
    </row>
    <row r="1097" spans="1:17" hidden="1" x14ac:dyDescent="0.25">
      <c r="A1097" s="7" t="s">
        <v>17</v>
      </c>
      <c r="B1097" s="7" t="s">
        <v>18</v>
      </c>
      <c r="C1097" s="7" t="s">
        <v>19</v>
      </c>
      <c r="D1097" s="7" t="s">
        <v>20</v>
      </c>
      <c r="E1097" s="7" t="s">
        <v>21</v>
      </c>
      <c r="F1097" s="7" t="s">
        <v>73</v>
      </c>
      <c r="G1097" s="7" t="s">
        <v>74</v>
      </c>
      <c r="H1097" s="7" t="s">
        <v>149</v>
      </c>
      <c r="I1097" s="7" t="s">
        <v>152</v>
      </c>
      <c r="J1097" s="8">
        <v>0</v>
      </c>
      <c r="K1097" s="8">
        <v>0</v>
      </c>
      <c r="L1097" s="8">
        <v>0</v>
      </c>
      <c r="M1097" s="8">
        <v>0.30625290333259203</v>
      </c>
      <c r="N1097" s="8"/>
      <c r="O1097" s="8">
        <v>16.238880433582882</v>
      </c>
      <c r="P1097" s="8"/>
      <c r="Q1097" t="s">
        <v>26</v>
      </c>
    </row>
    <row r="1098" spans="1:17" hidden="1" x14ac:dyDescent="0.25">
      <c r="A1098" s="7" t="s">
        <v>17</v>
      </c>
      <c r="B1098" s="7" t="s">
        <v>18</v>
      </c>
      <c r="C1098" s="7" t="s">
        <v>19</v>
      </c>
      <c r="D1098" s="7" t="s">
        <v>20</v>
      </c>
      <c r="E1098" s="7" t="s">
        <v>21</v>
      </c>
      <c r="F1098" s="7" t="s">
        <v>75</v>
      </c>
      <c r="G1098" s="7" t="s">
        <v>76</v>
      </c>
      <c r="H1098" s="7" t="s">
        <v>149</v>
      </c>
      <c r="I1098" s="7" t="s">
        <v>152</v>
      </c>
      <c r="J1098" s="8">
        <v>0</v>
      </c>
      <c r="K1098" s="8">
        <v>0</v>
      </c>
      <c r="L1098" s="8">
        <v>0</v>
      </c>
      <c r="M1098" s="8">
        <v>0</v>
      </c>
      <c r="N1098" s="8"/>
      <c r="O1098" s="8">
        <v>0</v>
      </c>
      <c r="P1098" s="8"/>
      <c r="Q1098" t="s">
        <v>26</v>
      </c>
    </row>
    <row r="1099" spans="1:17" hidden="1" x14ac:dyDescent="0.25">
      <c r="A1099" s="7" t="s">
        <v>17</v>
      </c>
      <c r="B1099" s="7" t="s">
        <v>18</v>
      </c>
      <c r="C1099" s="7" t="s">
        <v>19</v>
      </c>
      <c r="D1099" s="7"/>
      <c r="E1099" s="7"/>
      <c r="F1099" s="7" t="s">
        <v>77</v>
      </c>
      <c r="G1099" s="7" t="s">
        <v>78</v>
      </c>
      <c r="H1099" s="7" t="s">
        <v>149</v>
      </c>
      <c r="I1099" s="7" t="s">
        <v>152</v>
      </c>
      <c r="J1099" s="8">
        <v>0</v>
      </c>
      <c r="K1099" s="8">
        <v>0</v>
      </c>
      <c r="L1099" s="8">
        <v>0</v>
      </c>
      <c r="M1099" s="8">
        <v>1.3746307861579998E-2</v>
      </c>
      <c r="N1099" s="8"/>
      <c r="O1099" s="8">
        <v>0.72888990549420207</v>
      </c>
      <c r="P1099" s="8"/>
      <c r="Q1099" t="s">
        <v>26</v>
      </c>
    </row>
    <row r="1100" spans="1:17" hidden="1" x14ac:dyDescent="0.25">
      <c r="A1100" s="7" t="s">
        <v>17</v>
      </c>
      <c r="B1100" s="7" t="s">
        <v>18</v>
      </c>
      <c r="C1100" s="7" t="s">
        <v>19</v>
      </c>
      <c r="D1100" s="7"/>
      <c r="E1100" s="7"/>
      <c r="F1100" s="7" t="s">
        <v>79</v>
      </c>
      <c r="G1100" s="7" t="s">
        <v>80</v>
      </c>
      <c r="H1100" s="7" t="s">
        <v>149</v>
      </c>
      <c r="I1100" s="7" t="s">
        <v>152</v>
      </c>
      <c r="J1100" s="8">
        <v>0</v>
      </c>
      <c r="K1100" s="8">
        <v>0</v>
      </c>
      <c r="L1100" s="8">
        <v>0</v>
      </c>
      <c r="M1100" s="8">
        <v>1.0000769499797118E-2</v>
      </c>
      <c r="N1100" s="8"/>
      <c r="O1100" s="8">
        <v>0.53028493243265462</v>
      </c>
      <c r="P1100" s="8"/>
      <c r="Q1100" t="s">
        <v>26</v>
      </c>
    </row>
    <row r="1101" spans="1:17" hidden="1" x14ac:dyDescent="0.25">
      <c r="A1101" s="7" t="s">
        <v>17</v>
      </c>
      <c r="B1101" s="7" t="s">
        <v>18</v>
      </c>
      <c r="C1101" s="7" t="s">
        <v>19</v>
      </c>
      <c r="D1101" s="7"/>
      <c r="E1101" s="7"/>
      <c r="F1101" s="7" t="s">
        <v>81</v>
      </c>
      <c r="G1101" s="7" t="s">
        <v>82</v>
      </c>
      <c r="H1101" s="7" t="s">
        <v>149</v>
      </c>
      <c r="I1101" s="7" t="s">
        <v>152</v>
      </c>
      <c r="J1101" s="8">
        <v>0</v>
      </c>
      <c r="K1101" s="8">
        <v>0</v>
      </c>
      <c r="L1101" s="8">
        <v>0</v>
      </c>
      <c r="M1101" s="8">
        <v>0</v>
      </c>
      <c r="N1101" s="8"/>
      <c r="O1101" s="8">
        <v>0</v>
      </c>
      <c r="P1101" s="8"/>
      <c r="Q1101" t="s">
        <v>26</v>
      </c>
    </row>
    <row r="1102" spans="1:17" hidden="1" x14ac:dyDescent="0.25">
      <c r="A1102" s="7" t="s">
        <v>17</v>
      </c>
      <c r="B1102" s="7" t="s">
        <v>18</v>
      </c>
      <c r="C1102" s="7" t="s">
        <v>19</v>
      </c>
      <c r="D1102" s="7"/>
      <c r="E1102" s="7"/>
      <c r="F1102" s="7" t="s">
        <v>83</v>
      </c>
      <c r="G1102" s="7" t="s">
        <v>84</v>
      </c>
      <c r="H1102" s="7" t="s">
        <v>149</v>
      </c>
      <c r="I1102" s="7" t="s">
        <v>152</v>
      </c>
      <c r="J1102" s="8">
        <v>0</v>
      </c>
      <c r="K1102" s="8">
        <v>0</v>
      </c>
      <c r="L1102" s="8">
        <v>0</v>
      </c>
      <c r="M1102" s="8">
        <v>1.289684613656043E-2</v>
      </c>
      <c r="N1102" s="8"/>
      <c r="O1102" s="8">
        <v>0.68384769614568475</v>
      </c>
      <c r="P1102" s="8"/>
      <c r="Q1102" t="s">
        <v>26</v>
      </c>
    </row>
    <row r="1103" spans="1:17" hidden="1" x14ac:dyDescent="0.25">
      <c r="A1103" s="7" t="s">
        <v>17</v>
      </c>
      <c r="B1103" s="7" t="s">
        <v>18</v>
      </c>
      <c r="C1103" s="7" t="s">
        <v>19</v>
      </c>
      <c r="D1103" s="7" t="s">
        <v>20</v>
      </c>
      <c r="E1103" s="7" t="s">
        <v>21</v>
      </c>
      <c r="F1103" s="7" t="s">
        <v>85</v>
      </c>
      <c r="G1103" s="7" t="s">
        <v>86</v>
      </c>
      <c r="H1103" s="7" t="s">
        <v>149</v>
      </c>
      <c r="I1103" s="7" t="s">
        <v>152</v>
      </c>
      <c r="J1103" s="8">
        <v>0</v>
      </c>
      <c r="K1103" s="8">
        <v>0</v>
      </c>
      <c r="L1103" s="8">
        <v>0</v>
      </c>
      <c r="M1103" s="8">
        <v>0</v>
      </c>
      <c r="N1103" s="8"/>
      <c r="O1103" s="8">
        <v>0</v>
      </c>
      <c r="P1103" s="8"/>
      <c r="Q1103" t="s">
        <v>26</v>
      </c>
    </row>
    <row r="1104" spans="1:17" hidden="1" x14ac:dyDescent="0.25">
      <c r="A1104" s="7" t="s">
        <v>17</v>
      </c>
      <c r="B1104" s="7" t="s">
        <v>18</v>
      </c>
      <c r="C1104" s="7" t="s">
        <v>19</v>
      </c>
      <c r="D1104" s="7"/>
      <c r="E1104" s="7"/>
      <c r="F1104" s="7" t="s">
        <v>87</v>
      </c>
      <c r="G1104" s="7" t="s">
        <v>88</v>
      </c>
      <c r="H1104" s="7" t="s">
        <v>149</v>
      </c>
      <c r="I1104" s="7" t="s">
        <v>152</v>
      </c>
      <c r="J1104" s="8">
        <v>0</v>
      </c>
      <c r="K1104" s="8">
        <v>0</v>
      </c>
      <c r="L1104" s="8">
        <v>0</v>
      </c>
      <c r="M1104" s="8">
        <v>3.52714964670824E-2</v>
      </c>
      <c r="N1104" s="8"/>
      <c r="O1104" s="8">
        <v>1.8702503963544854</v>
      </c>
      <c r="P1104" s="8"/>
      <c r="Q1104" t="s">
        <v>26</v>
      </c>
    </row>
    <row r="1105" spans="1:17" hidden="1" x14ac:dyDescent="0.25">
      <c r="A1105" s="7" t="s">
        <v>17</v>
      </c>
      <c r="B1105" s="7" t="s">
        <v>18</v>
      </c>
      <c r="C1105" s="7" t="s">
        <v>19</v>
      </c>
      <c r="D1105" s="7"/>
      <c r="E1105" s="7"/>
      <c r="F1105" s="7" t="s">
        <v>89</v>
      </c>
      <c r="G1105" s="7" t="s">
        <v>90</v>
      </c>
      <c r="H1105" s="7" t="s">
        <v>149</v>
      </c>
      <c r="I1105" s="7" t="s">
        <v>152</v>
      </c>
      <c r="J1105" s="8">
        <v>0</v>
      </c>
      <c r="K1105" s="8">
        <v>0</v>
      </c>
      <c r="L1105" s="8">
        <v>0</v>
      </c>
      <c r="M1105" s="8">
        <v>0.63354894027863284</v>
      </c>
      <c r="N1105" s="8"/>
      <c r="O1105" s="8">
        <v>33.593560675031092</v>
      </c>
      <c r="P1105" s="8"/>
      <c r="Q1105" t="s">
        <v>26</v>
      </c>
    </row>
    <row r="1106" spans="1:17" hidden="1" x14ac:dyDescent="0.25">
      <c r="A1106" s="7" t="s">
        <v>17</v>
      </c>
      <c r="B1106" s="7" t="s">
        <v>18</v>
      </c>
      <c r="C1106" s="7" t="s">
        <v>19</v>
      </c>
      <c r="D1106" s="7"/>
      <c r="E1106" s="7"/>
      <c r="F1106" s="7" t="s">
        <v>91</v>
      </c>
      <c r="G1106" s="7" t="s">
        <v>92</v>
      </c>
      <c r="H1106" s="7" t="s">
        <v>149</v>
      </c>
      <c r="I1106" s="7" t="s">
        <v>152</v>
      </c>
      <c r="J1106" s="8">
        <v>0</v>
      </c>
      <c r="K1106" s="8">
        <v>0</v>
      </c>
      <c r="L1106" s="8">
        <v>0</v>
      </c>
      <c r="M1106" s="8">
        <v>0</v>
      </c>
      <c r="N1106" s="8"/>
      <c r="O1106" s="8">
        <v>0</v>
      </c>
      <c r="P1106" s="8"/>
      <c r="Q1106" t="s">
        <v>26</v>
      </c>
    </row>
    <row r="1107" spans="1:17" hidden="1" x14ac:dyDescent="0.25">
      <c r="A1107" s="7" t="s">
        <v>17</v>
      </c>
      <c r="B1107" s="7" t="s">
        <v>18</v>
      </c>
      <c r="C1107" s="7" t="s">
        <v>19</v>
      </c>
      <c r="D1107" s="7"/>
      <c r="E1107" s="7"/>
      <c r="F1107" s="7" t="s">
        <v>93</v>
      </c>
      <c r="G1107" s="7" t="s">
        <v>94</v>
      </c>
      <c r="H1107" s="7" t="s">
        <v>149</v>
      </c>
      <c r="I1107" s="7" t="s">
        <v>152</v>
      </c>
      <c r="J1107" s="8">
        <v>0</v>
      </c>
      <c r="K1107" s="8">
        <v>0</v>
      </c>
      <c r="L1107" s="8">
        <v>0</v>
      </c>
      <c r="M1107" s="8">
        <v>0</v>
      </c>
      <c r="N1107" s="8"/>
      <c r="O1107" s="8">
        <v>0</v>
      </c>
      <c r="P1107" s="8"/>
      <c r="Q1107" t="s">
        <v>26</v>
      </c>
    </row>
    <row r="1108" spans="1:17" hidden="1" x14ac:dyDescent="0.25">
      <c r="A1108" s="7" t="s">
        <v>17</v>
      </c>
      <c r="B1108" s="7" t="s">
        <v>18</v>
      </c>
      <c r="C1108" s="7" t="s">
        <v>19</v>
      </c>
      <c r="D1108" s="7"/>
      <c r="E1108" s="7"/>
      <c r="F1108" s="7" t="s">
        <v>95</v>
      </c>
      <c r="G1108" s="7" t="s">
        <v>96</v>
      </c>
      <c r="H1108" s="7" t="s">
        <v>149</v>
      </c>
      <c r="I1108" s="7" t="s">
        <v>152</v>
      </c>
      <c r="J1108" s="8">
        <v>0</v>
      </c>
      <c r="K1108" s="8">
        <v>0</v>
      </c>
      <c r="L1108" s="8">
        <v>0</v>
      </c>
      <c r="M1108" s="8">
        <v>3.0952976820274956E-3</v>
      </c>
      <c r="N1108" s="8"/>
      <c r="O1108" s="8">
        <v>0.16412634269854953</v>
      </c>
      <c r="P1108" s="8"/>
      <c r="Q1108" t="s">
        <v>26</v>
      </c>
    </row>
    <row r="1109" spans="1:17" hidden="1" x14ac:dyDescent="0.25">
      <c r="A1109" s="7" t="s">
        <v>17</v>
      </c>
      <c r="B1109" s="7" t="s">
        <v>18</v>
      </c>
      <c r="C1109" s="7" t="s">
        <v>19</v>
      </c>
      <c r="D1109" s="7"/>
      <c r="E1109" s="7"/>
      <c r="F1109" s="7" t="s">
        <v>97</v>
      </c>
      <c r="G1109" s="7" t="s">
        <v>98</v>
      </c>
      <c r="H1109" s="7" t="s">
        <v>149</v>
      </c>
      <c r="I1109" s="7" t="s">
        <v>152</v>
      </c>
      <c r="J1109" s="8">
        <v>0</v>
      </c>
      <c r="K1109" s="8">
        <v>0</v>
      </c>
      <c r="L1109" s="8">
        <v>0</v>
      </c>
      <c r="M1109" s="8">
        <v>1.7694723949374973E-2</v>
      </c>
      <c r="N1109" s="8"/>
      <c r="O1109" s="8">
        <v>0.93825235089151282</v>
      </c>
      <c r="P1109" s="8"/>
      <c r="Q1109" t="s">
        <v>26</v>
      </c>
    </row>
    <row r="1110" spans="1:17" hidden="1" x14ac:dyDescent="0.25">
      <c r="A1110" s="7" t="s">
        <v>17</v>
      </c>
      <c r="B1110" s="7" t="s">
        <v>18</v>
      </c>
      <c r="C1110" s="7" t="s">
        <v>19</v>
      </c>
      <c r="D1110" s="7"/>
      <c r="E1110" s="7"/>
      <c r="F1110" s="7" t="s">
        <v>99</v>
      </c>
      <c r="G1110" s="7" t="s">
        <v>100</v>
      </c>
      <c r="H1110" s="7" t="s">
        <v>149</v>
      </c>
      <c r="I1110" s="7" t="s">
        <v>152</v>
      </c>
      <c r="J1110" s="8">
        <v>0</v>
      </c>
      <c r="K1110" s="8">
        <v>0</v>
      </c>
      <c r="L1110" s="8">
        <v>0</v>
      </c>
      <c r="M1110" s="8">
        <v>0.46900618765455326</v>
      </c>
      <c r="N1110" s="8"/>
      <c r="O1110" s="8">
        <v>24.86877780114192</v>
      </c>
      <c r="P1110" s="8"/>
      <c r="Q1110" t="s">
        <v>26</v>
      </c>
    </row>
    <row r="1111" spans="1:17" hidden="1" x14ac:dyDescent="0.25">
      <c r="A1111" s="7" t="s">
        <v>17</v>
      </c>
      <c r="B1111" s="7" t="s">
        <v>18</v>
      </c>
      <c r="C1111" s="7" t="s">
        <v>19</v>
      </c>
      <c r="D1111" s="7" t="s">
        <v>20</v>
      </c>
      <c r="E1111" s="7" t="s">
        <v>21</v>
      </c>
      <c r="F1111" s="7" t="s">
        <v>101</v>
      </c>
      <c r="G1111" s="7" t="s">
        <v>21</v>
      </c>
      <c r="H1111" s="7" t="s">
        <v>149</v>
      </c>
      <c r="I1111" s="7" t="s">
        <v>152</v>
      </c>
      <c r="J1111" s="8">
        <v>0</v>
      </c>
      <c r="K1111" s="8">
        <v>0</v>
      </c>
      <c r="L1111" s="8">
        <v>0</v>
      </c>
      <c r="M1111" s="8">
        <v>0</v>
      </c>
      <c r="N1111" s="8"/>
      <c r="O1111" s="8">
        <v>0</v>
      </c>
      <c r="P1111" s="8"/>
      <c r="Q1111" t="s">
        <v>26</v>
      </c>
    </row>
    <row r="1112" spans="1:17" hidden="1" x14ac:dyDescent="0.25">
      <c r="A1112" s="7" t="s">
        <v>17</v>
      </c>
      <c r="B1112" s="7" t="s">
        <v>18</v>
      </c>
      <c r="C1112" s="7" t="s">
        <v>19</v>
      </c>
      <c r="D1112" s="7"/>
      <c r="E1112" s="7"/>
      <c r="F1112" s="7" t="s">
        <v>102</v>
      </c>
      <c r="G1112" s="7" t="s">
        <v>103</v>
      </c>
      <c r="H1112" s="7" t="s">
        <v>149</v>
      </c>
      <c r="I1112" s="7" t="s">
        <v>152</v>
      </c>
      <c r="J1112" s="8">
        <v>0</v>
      </c>
      <c r="K1112" s="8">
        <v>0</v>
      </c>
      <c r="L1112" s="8">
        <v>0</v>
      </c>
      <c r="M1112" s="8">
        <v>7.6409154221126815E-3</v>
      </c>
      <c r="N1112" s="8"/>
      <c r="O1112" s="8">
        <v>0.40515505516059053</v>
      </c>
      <c r="P1112" s="8"/>
      <c r="Q1112" t="s">
        <v>26</v>
      </c>
    </row>
    <row r="1113" spans="1:17" hidden="1" x14ac:dyDescent="0.25">
      <c r="A1113" s="7" t="s">
        <v>17</v>
      </c>
      <c r="B1113" s="7" t="s">
        <v>18</v>
      </c>
      <c r="C1113" s="7" t="s">
        <v>19</v>
      </c>
      <c r="D1113" s="7" t="s">
        <v>20</v>
      </c>
      <c r="E1113" s="7" t="s">
        <v>21</v>
      </c>
      <c r="F1113" s="7" t="s">
        <v>104</v>
      </c>
      <c r="G1113" s="7" t="s">
        <v>105</v>
      </c>
      <c r="H1113" s="7" t="s">
        <v>149</v>
      </c>
      <c r="I1113" s="7" t="s">
        <v>152</v>
      </c>
      <c r="J1113" s="8">
        <v>0</v>
      </c>
      <c r="K1113" s="8">
        <v>0</v>
      </c>
      <c r="L1113" s="8">
        <v>0</v>
      </c>
      <c r="M1113" s="8">
        <v>0</v>
      </c>
      <c r="N1113" s="8"/>
      <c r="O1113" s="8">
        <v>0</v>
      </c>
      <c r="P1113" s="8"/>
      <c r="Q1113" t="s">
        <v>26</v>
      </c>
    </row>
    <row r="1114" spans="1:17" hidden="1" x14ac:dyDescent="0.25">
      <c r="A1114" s="7" t="s">
        <v>17</v>
      </c>
      <c r="B1114" s="7" t="s">
        <v>18</v>
      </c>
      <c r="C1114" s="7" t="s">
        <v>19</v>
      </c>
      <c r="D1114" s="7"/>
      <c r="E1114" s="7"/>
      <c r="F1114" s="7" t="s">
        <v>106</v>
      </c>
      <c r="G1114" s="7" t="s">
        <v>107</v>
      </c>
      <c r="H1114" s="7" t="s">
        <v>149</v>
      </c>
      <c r="I1114" s="7" t="s">
        <v>152</v>
      </c>
      <c r="J1114" s="8">
        <v>0</v>
      </c>
      <c r="K1114" s="8">
        <v>0</v>
      </c>
      <c r="L1114" s="8">
        <v>0</v>
      </c>
      <c r="M1114" s="8">
        <v>1.1557277405793837E-2</v>
      </c>
      <c r="N1114" s="8"/>
      <c r="O1114" s="8">
        <v>0.61281785050251991</v>
      </c>
      <c r="P1114" s="8"/>
      <c r="Q1114" t="s">
        <v>26</v>
      </c>
    </row>
    <row r="1115" spans="1:17" hidden="1" x14ac:dyDescent="0.25">
      <c r="A1115" s="7" t="s">
        <v>17</v>
      </c>
      <c r="B1115" s="7" t="s">
        <v>18</v>
      </c>
      <c r="C1115" s="7" t="s">
        <v>19</v>
      </c>
      <c r="D1115" s="7"/>
      <c r="E1115" s="7"/>
      <c r="F1115" s="7" t="s">
        <v>108</v>
      </c>
      <c r="G1115" s="7" t="s">
        <v>109</v>
      </c>
      <c r="H1115" s="7" t="s">
        <v>149</v>
      </c>
      <c r="I1115" s="7" t="s">
        <v>152</v>
      </c>
      <c r="J1115" s="8">
        <v>0</v>
      </c>
      <c r="K1115" s="8">
        <v>0</v>
      </c>
      <c r="L1115" s="8">
        <v>0</v>
      </c>
      <c r="M1115" s="8">
        <v>3.4365769653949994E-3</v>
      </c>
      <c r="N1115" s="8"/>
      <c r="O1115" s="8">
        <v>0.18222247637355052</v>
      </c>
      <c r="P1115" s="8"/>
      <c r="Q1115" t="s">
        <v>26</v>
      </c>
    </row>
    <row r="1116" spans="1:17" hidden="1" x14ac:dyDescent="0.25">
      <c r="A1116" s="7" t="s">
        <v>17</v>
      </c>
      <c r="B1116" s="7" t="s">
        <v>18</v>
      </c>
      <c r="C1116" s="7" t="s">
        <v>19</v>
      </c>
      <c r="D1116" s="7"/>
      <c r="E1116" s="7"/>
      <c r="F1116" s="7" t="s">
        <v>110</v>
      </c>
      <c r="G1116" s="7" t="s">
        <v>111</v>
      </c>
      <c r="H1116" s="7" t="s">
        <v>149</v>
      </c>
      <c r="I1116" s="7" t="s">
        <v>152</v>
      </c>
      <c r="J1116" s="8">
        <v>0</v>
      </c>
      <c r="K1116" s="8">
        <v>0</v>
      </c>
      <c r="L1116" s="8">
        <v>0</v>
      </c>
      <c r="M1116" s="8">
        <v>0.17119161102776947</v>
      </c>
      <c r="N1116" s="8"/>
      <c r="O1116" s="8">
        <v>9.0773346879697279</v>
      </c>
      <c r="P1116" s="8"/>
      <c r="Q1116" t="s">
        <v>26</v>
      </c>
    </row>
    <row r="1117" spans="1:17" hidden="1" x14ac:dyDescent="0.25">
      <c r="A1117" s="7" t="s">
        <v>17</v>
      </c>
      <c r="B1117" s="7" t="s">
        <v>18</v>
      </c>
      <c r="C1117" s="7" t="s">
        <v>19</v>
      </c>
      <c r="D1117" s="7" t="s">
        <v>20</v>
      </c>
      <c r="E1117" s="7" t="s">
        <v>21</v>
      </c>
      <c r="F1117" s="7" t="s">
        <v>112</v>
      </c>
      <c r="G1117" s="7" t="s">
        <v>113</v>
      </c>
      <c r="H1117" s="7" t="s">
        <v>149</v>
      </c>
      <c r="I1117" s="7" t="s">
        <v>152</v>
      </c>
      <c r="J1117" s="8">
        <v>0</v>
      </c>
      <c r="K1117" s="8">
        <v>0</v>
      </c>
      <c r="L1117" s="8">
        <v>0</v>
      </c>
      <c r="M1117" s="8">
        <v>19.173565646540645</v>
      </c>
      <c r="N1117" s="8"/>
      <c r="O1117" s="8">
        <v>1016.6670638269527</v>
      </c>
      <c r="P1117" s="8"/>
      <c r="Q1117" t="s">
        <v>26</v>
      </c>
    </row>
    <row r="1118" spans="1:17" hidden="1" x14ac:dyDescent="0.25">
      <c r="A1118" s="7" t="s">
        <v>17</v>
      </c>
      <c r="B1118" s="7" t="s">
        <v>18</v>
      </c>
      <c r="C1118" s="7" t="s">
        <v>19</v>
      </c>
      <c r="D1118" s="7" t="s">
        <v>20</v>
      </c>
      <c r="E1118" s="7" t="s">
        <v>21</v>
      </c>
      <c r="F1118" s="7" t="s">
        <v>114</v>
      </c>
      <c r="G1118" s="7" t="s">
        <v>115</v>
      </c>
      <c r="H1118" s="7" t="s">
        <v>149</v>
      </c>
      <c r="I1118" s="7" t="s">
        <v>152</v>
      </c>
      <c r="J1118" s="8">
        <v>0</v>
      </c>
      <c r="K1118" s="8">
        <v>0</v>
      </c>
      <c r="L1118" s="8">
        <v>0</v>
      </c>
      <c r="M1118" s="8">
        <v>0</v>
      </c>
      <c r="N1118" s="8"/>
      <c r="O1118" s="8">
        <v>0</v>
      </c>
      <c r="P1118" s="8"/>
      <c r="Q1118" t="s">
        <v>26</v>
      </c>
    </row>
    <row r="1119" spans="1:17" hidden="1" x14ac:dyDescent="0.25">
      <c r="A1119" s="7" t="s">
        <v>17</v>
      </c>
      <c r="B1119" s="7" t="s">
        <v>18</v>
      </c>
      <c r="C1119" s="7" t="s">
        <v>19</v>
      </c>
      <c r="D1119" s="7" t="s">
        <v>20</v>
      </c>
      <c r="E1119" s="7" t="s">
        <v>21</v>
      </c>
      <c r="F1119" s="7" t="s">
        <v>116</v>
      </c>
      <c r="G1119" s="7" t="s">
        <v>117</v>
      </c>
      <c r="H1119" s="7" t="s">
        <v>149</v>
      </c>
      <c r="I1119" s="7" t="s">
        <v>152</v>
      </c>
      <c r="J1119" s="8">
        <v>0</v>
      </c>
      <c r="K1119" s="8">
        <v>0</v>
      </c>
      <c r="L1119" s="8">
        <v>0</v>
      </c>
      <c r="M1119" s="8">
        <v>0</v>
      </c>
      <c r="N1119" s="8"/>
      <c r="O1119" s="8">
        <v>0</v>
      </c>
      <c r="P1119" s="8"/>
      <c r="Q1119" t="s">
        <v>26</v>
      </c>
    </row>
    <row r="1120" spans="1:17" hidden="1" x14ac:dyDescent="0.25">
      <c r="A1120" s="7" t="s">
        <v>17</v>
      </c>
      <c r="B1120" s="7" t="s">
        <v>18</v>
      </c>
      <c r="C1120" s="7" t="s">
        <v>19</v>
      </c>
      <c r="D1120" s="7" t="s">
        <v>20</v>
      </c>
      <c r="E1120" s="7" t="s">
        <v>21</v>
      </c>
      <c r="F1120" s="7" t="s">
        <v>118</v>
      </c>
      <c r="G1120" s="7" t="s">
        <v>119</v>
      </c>
      <c r="H1120" s="7" t="s">
        <v>149</v>
      </c>
      <c r="I1120" s="7" t="s">
        <v>152</v>
      </c>
      <c r="J1120" s="8">
        <v>0</v>
      </c>
      <c r="K1120" s="8">
        <v>0</v>
      </c>
      <c r="L1120" s="8">
        <v>0</v>
      </c>
      <c r="M1120" s="8">
        <v>0</v>
      </c>
      <c r="N1120" s="8"/>
      <c r="O1120" s="8">
        <v>0</v>
      </c>
      <c r="P1120" s="8"/>
      <c r="Q1120" t="s">
        <v>26</v>
      </c>
    </row>
    <row r="1121" spans="1:17" hidden="1" x14ac:dyDescent="0.25">
      <c r="A1121" s="7" t="s">
        <v>17</v>
      </c>
      <c r="B1121" s="7" t="s">
        <v>18</v>
      </c>
      <c r="C1121" s="7" t="s">
        <v>19</v>
      </c>
      <c r="D1121" s="7" t="s">
        <v>20</v>
      </c>
      <c r="E1121" s="7" t="s">
        <v>21</v>
      </c>
      <c r="F1121" s="7" t="s">
        <v>120</v>
      </c>
      <c r="G1121" s="7" t="s">
        <v>121</v>
      </c>
      <c r="H1121" s="7" t="s">
        <v>149</v>
      </c>
      <c r="I1121" s="7" t="s">
        <v>152</v>
      </c>
      <c r="J1121" s="8">
        <v>0</v>
      </c>
      <c r="K1121" s="8">
        <v>0</v>
      </c>
      <c r="L1121" s="8">
        <v>0</v>
      </c>
      <c r="M1121" s="8">
        <v>0</v>
      </c>
      <c r="N1121" s="8"/>
      <c r="O1121" s="8">
        <v>0</v>
      </c>
      <c r="P1121" s="8"/>
      <c r="Q1121" t="s">
        <v>26</v>
      </c>
    </row>
    <row r="1122" spans="1:17" hidden="1" x14ac:dyDescent="0.25">
      <c r="A1122" s="7" t="s">
        <v>17</v>
      </c>
      <c r="B1122" s="7" t="s">
        <v>18</v>
      </c>
      <c r="C1122" s="7" t="s">
        <v>19</v>
      </c>
      <c r="D1122" s="7"/>
      <c r="E1122" s="7"/>
      <c r="F1122" s="7" t="s">
        <v>122</v>
      </c>
      <c r="G1122" s="7" t="s">
        <v>123</v>
      </c>
      <c r="H1122" s="7" t="s">
        <v>149</v>
      </c>
      <c r="I1122" s="7" t="s">
        <v>152</v>
      </c>
      <c r="J1122" s="8">
        <v>0</v>
      </c>
      <c r="K1122" s="8">
        <v>0</v>
      </c>
      <c r="L1122" s="8">
        <v>0</v>
      </c>
      <c r="M1122" s="8">
        <v>2.8710842602402697E-3</v>
      </c>
      <c r="N1122" s="8"/>
      <c r="O1122" s="8">
        <v>0.1522375576180269</v>
      </c>
      <c r="P1122" s="8"/>
      <c r="Q1122" t="s">
        <v>26</v>
      </c>
    </row>
    <row r="1123" spans="1:17" hidden="1" x14ac:dyDescent="0.25">
      <c r="A1123" s="7" t="s">
        <v>17</v>
      </c>
      <c r="B1123" s="7" t="s">
        <v>18</v>
      </c>
      <c r="C1123" s="7" t="s">
        <v>19</v>
      </c>
      <c r="D1123" s="7"/>
      <c r="E1123" s="7"/>
      <c r="F1123" s="7" t="s">
        <v>124</v>
      </c>
      <c r="G1123" s="7" t="s">
        <v>125</v>
      </c>
      <c r="H1123" s="7" t="s">
        <v>149</v>
      </c>
      <c r="I1123" s="7" t="s">
        <v>152</v>
      </c>
      <c r="J1123" s="8">
        <v>0</v>
      </c>
      <c r="K1123" s="8">
        <v>0</v>
      </c>
      <c r="L1123" s="8">
        <v>0</v>
      </c>
      <c r="M1123" s="8">
        <v>5.0984944579584697E-2</v>
      </c>
      <c r="N1123" s="8"/>
      <c r="O1123" s="8">
        <v>2.7034467589735169</v>
      </c>
      <c r="P1123" s="8"/>
      <c r="Q1123" t="s">
        <v>26</v>
      </c>
    </row>
    <row r="1124" spans="1:17" hidden="1" x14ac:dyDescent="0.25">
      <c r="A1124" s="7" t="s">
        <v>17</v>
      </c>
      <c r="B1124" s="7" t="s">
        <v>18</v>
      </c>
      <c r="C1124" s="7" t="s">
        <v>19</v>
      </c>
      <c r="D1124" s="7" t="s">
        <v>20</v>
      </c>
      <c r="E1124" s="7" t="s">
        <v>21</v>
      </c>
      <c r="F1124" s="7" t="s">
        <v>22</v>
      </c>
      <c r="G1124" s="7" t="s">
        <v>23</v>
      </c>
      <c r="H1124" s="7" t="s">
        <v>153</v>
      </c>
      <c r="I1124" s="7" t="s">
        <v>154</v>
      </c>
      <c r="J1124" s="8">
        <v>0.22615779329987259</v>
      </c>
      <c r="K1124" s="8">
        <v>3.5066874757293427E-2</v>
      </c>
      <c r="L1124" s="8"/>
      <c r="M1124" s="8"/>
      <c r="N1124" s="8"/>
      <c r="O1124" s="8"/>
      <c r="P1124" s="8"/>
      <c r="Q1124" t="s">
        <v>26</v>
      </c>
    </row>
    <row r="1125" spans="1:17" hidden="1" x14ac:dyDescent="0.25">
      <c r="A1125" s="7" t="s">
        <v>17</v>
      </c>
      <c r="B1125" s="7" t="s">
        <v>18</v>
      </c>
      <c r="C1125" s="7" t="s">
        <v>19</v>
      </c>
      <c r="D1125" s="7"/>
      <c r="E1125" s="7"/>
      <c r="F1125" s="7" t="s">
        <v>27</v>
      </c>
      <c r="G1125" s="7" t="s">
        <v>28</v>
      </c>
      <c r="H1125" s="7" t="s">
        <v>153</v>
      </c>
      <c r="I1125" s="7" t="s">
        <v>154</v>
      </c>
      <c r="J1125" s="8">
        <v>83.031761668026135</v>
      </c>
      <c r="K1125" s="8">
        <v>12.874481771359541</v>
      </c>
      <c r="L1125" s="8"/>
      <c r="M1125" s="8"/>
      <c r="N1125" s="8"/>
      <c r="O1125" s="8"/>
      <c r="P1125" s="8"/>
      <c r="Q1125" t="s">
        <v>26</v>
      </c>
    </row>
    <row r="1126" spans="1:17" hidden="1" x14ac:dyDescent="0.25">
      <c r="A1126" s="7" t="s">
        <v>17</v>
      </c>
      <c r="B1126" s="7" t="s">
        <v>18</v>
      </c>
      <c r="C1126" s="7" t="s">
        <v>19</v>
      </c>
      <c r="D1126" s="7"/>
      <c r="E1126" s="7"/>
      <c r="F1126" s="7" t="s">
        <v>29</v>
      </c>
      <c r="G1126" s="7" t="s">
        <v>30</v>
      </c>
      <c r="H1126" s="7" t="s">
        <v>153</v>
      </c>
      <c r="I1126" s="7" t="s">
        <v>154</v>
      </c>
      <c r="J1126" s="8">
        <v>7.6502228518068724</v>
      </c>
      <c r="K1126" s="8">
        <v>1.1862045640584469</v>
      </c>
      <c r="L1126" s="8"/>
      <c r="M1126" s="8"/>
      <c r="N1126" s="8"/>
      <c r="O1126" s="8"/>
      <c r="P1126" s="8"/>
      <c r="Q1126" t="s">
        <v>26</v>
      </c>
    </row>
    <row r="1127" spans="1:17" hidden="1" x14ac:dyDescent="0.25">
      <c r="A1127" s="7" t="s">
        <v>17</v>
      </c>
      <c r="B1127" s="7" t="s">
        <v>18</v>
      </c>
      <c r="C1127" s="7" t="s">
        <v>19</v>
      </c>
      <c r="D1127" s="7"/>
      <c r="E1127" s="7"/>
      <c r="F1127" s="7" t="s">
        <v>31</v>
      </c>
      <c r="G1127" s="7" t="s">
        <v>32</v>
      </c>
      <c r="H1127" s="7" t="s">
        <v>153</v>
      </c>
      <c r="I1127" s="7" t="s">
        <v>154</v>
      </c>
      <c r="J1127" s="8">
        <v>13.533283546243633</v>
      </c>
      <c r="K1127" s="8">
        <v>2.0984019707948423</v>
      </c>
      <c r="L1127" s="8"/>
      <c r="M1127" s="8"/>
      <c r="N1127" s="8"/>
      <c r="O1127" s="8"/>
      <c r="P1127" s="8"/>
      <c r="Q1127" t="s">
        <v>26</v>
      </c>
    </row>
    <row r="1128" spans="1:17" hidden="1" x14ac:dyDescent="0.25">
      <c r="A1128" s="7" t="s">
        <v>17</v>
      </c>
      <c r="B1128" s="7" t="s">
        <v>18</v>
      </c>
      <c r="C1128" s="7" t="s">
        <v>19</v>
      </c>
      <c r="D1128" s="7"/>
      <c r="E1128" s="7"/>
      <c r="F1128" s="7" t="s">
        <v>33</v>
      </c>
      <c r="G1128" s="7" t="s">
        <v>34</v>
      </c>
      <c r="H1128" s="7" t="s">
        <v>153</v>
      </c>
      <c r="I1128" s="7" t="s">
        <v>154</v>
      </c>
      <c r="J1128" s="8">
        <v>120.0204272097242</v>
      </c>
      <c r="K1128" s="8">
        <v>18.60975572793857</v>
      </c>
      <c r="L1128" s="8"/>
      <c r="M1128" s="8"/>
      <c r="N1128" s="8"/>
      <c r="O1128" s="8"/>
      <c r="P1128" s="8"/>
      <c r="Q1128" t="s">
        <v>26</v>
      </c>
    </row>
    <row r="1129" spans="1:17" hidden="1" x14ac:dyDescent="0.25">
      <c r="A1129" s="7" t="s">
        <v>17</v>
      </c>
      <c r="B1129" s="7" t="s">
        <v>18</v>
      </c>
      <c r="C1129" s="7" t="s">
        <v>19</v>
      </c>
      <c r="D1129" s="7" t="s">
        <v>20</v>
      </c>
      <c r="E1129" s="7" t="s">
        <v>21</v>
      </c>
      <c r="F1129" s="7" t="s">
        <v>35</v>
      </c>
      <c r="G1129" s="7" t="s">
        <v>36</v>
      </c>
      <c r="H1129" s="7" t="s">
        <v>153</v>
      </c>
      <c r="I1129" s="7" t="s">
        <v>154</v>
      </c>
      <c r="J1129" s="8">
        <v>48.324001090810206</v>
      </c>
      <c r="K1129" s="8">
        <v>7.492873313350052</v>
      </c>
      <c r="L1129" s="8"/>
      <c r="M1129" s="8"/>
      <c r="N1129" s="8"/>
      <c r="O1129" s="8"/>
      <c r="P1129" s="8"/>
      <c r="Q1129" t="s">
        <v>26</v>
      </c>
    </row>
    <row r="1130" spans="1:17" hidden="1" x14ac:dyDescent="0.25">
      <c r="A1130" s="7" t="s">
        <v>17</v>
      </c>
      <c r="B1130" s="7" t="s">
        <v>18</v>
      </c>
      <c r="C1130" s="7" t="s">
        <v>19</v>
      </c>
      <c r="D1130" s="7"/>
      <c r="E1130" s="7"/>
      <c r="F1130" s="7" t="s">
        <v>37</v>
      </c>
      <c r="G1130" s="7" t="s">
        <v>38</v>
      </c>
      <c r="H1130" s="7" t="s">
        <v>153</v>
      </c>
      <c r="I1130" s="7" t="s">
        <v>154</v>
      </c>
      <c r="J1130" s="8">
        <v>427.37587566877147</v>
      </c>
      <c r="K1130" s="8">
        <v>66.117977869263186</v>
      </c>
      <c r="L1130" s="8"/>
      <c r="M1130" s="8"/>
      <c r="N1130" s="8"/>
      <c r="O1130" s="8"/>
      <c r="P1130" s="8"/>
      <c r="Q1130" t="s">
        <v>26</v>
      </c>
    </row>
    <row r="1131" spans="1:17" hidden="1" x14ac:dyDescent="0.25">
      <c r="A1131" s="7" t="s">
        <v>17</v>
      </c>
      <c r="B1131" s="7" t="s">
        <v>18</v>
      </c>
      <c r="C1131" s="7" t="s">
        <v>19</v>
      </c>
      <c r="D1131" s="7"/>
      <c r="E1131" s="7"/>
      <c r="F1131" s="7" t="s">
        <v>39</v>
      </c>
      <c r="G1131" s="7" t="s">
        <v>40</v>
      </c>
      <c r="H1131" s="7" t="s">
        <v>153</v>
      </c>
      <c r="I1131" s="7" t="s">
        <v>154</v>
      </c>
      <c r="J1131" s="8">
        <v>0.71785453613812145</v>
      </c>
      <c r="K1131" s="8">
        <v>0.11130686564195734</v>
      </c>
      <c r="L1131" s="8"/>
      <c r="M1131" s="8"/>
      <c r="N1131" s="8"/>
      <c r="O1131" s="8"/>
      <c r="P1131" s="8"/>
      <c r="Q1131" t="s">
        <v>26</v>
      </c>
    </row>
    <row r="1132" spans="1:17" hidden="1" x14ac:dyDescent="0.25">
      <c r="A1132" s="7" t="s">
        <v>17</v>
      </c>
      <c r="B1132" s="7" t="s">
        <v>18</v>
      </c>
      <c r="C1132" s="7" t="s">
        <v>19</v>
      </c>
      <c r="D1132" s="7" t="s">
        <v>20</v>
      </c>
      <c r="E1132" s="7" t="s">
        <v>21</v>
      </c>
      <c r="F1132" s="7" t="s">
        <v>41</v>
      </c>
      <c r="G1132" s="7" t="s">
        <v>42</v>
      </c>
      <c r="H1132" s="7" t="s">
        <v>153</v>
      </c>
      <c r="I1132" s="7" t="s">
        <v>154</v>
      </c>
      <c r="J1132" s="8">
        <v>252.67475721493125</v>
      </c>
      <c r="K1132" s="8">
        <v>39.178460031386003</v>
      </c>
      <c r="L1132" s="8"/>
      <c r="M1132" s="8"/>
      <c r="N1132" s="8"/>
      <c r="O1132" s="8"/>
      <c r="P1132" s="8"/>
      <c r="Q1132" t="s">
        <v>26</v>
      </c>
    </row>
    <row r="1133" spans="1:17" hidden="1" x14ac:dyDescent="0.25">
      <c r="A1133" s="7" t="s">
        <v>17</v>
      </c>
      <c r="B1133" s="7" t="s">
        <v>18</v>
      </c>
      <c r="C1133" s="7" t="s">
        <v>19</v>
      </c>
      <c r="D1133" s="7" t="s">
        <v>20</v>
      </c>
      <c r="E1133" s="7" t="s">
        <v>21</v>
      </c>
      <c r="F1133" s="7" t="s">
        <v>43</v>
      </c>
      <c r="G1133" s="7" t="s">
        <v>44</v>
      </c>
      <c r="H1133" s="7" t="s">
        <v>153</v>
      </c>
      <c r="I1133" s="7" t="s">
        <v>154</v>
      </c>
      <c r="J1133" s="8">
        <v>1.0171050103548673</v>
      </c>
      <c r="K1133" s="8">
        <v>0.15770711896643647</v>
      </c>
      <c r="L1133" s="8"/>
      <c r="M1133" s="8"/>
      <c r="N1133" s="8"/>
      <c r="O1133" s="8"/>
      <c r="P1133" s="8"/>
      <c r="Q1133" t="s">
        <v>26</v>
      </c>
    </row>
    <row r="1134" spans="1:17" hidden="1" x14ac:dyDescent="0.25">
      <c r="A1134" s="7" t="s">
        <v>17</v>
      </c>
      <c r="B1134" s="7" t="s">
        <v>18</v>
      </c>
      <c r="C1134" s="7" t="s">
        <v>19</v>
      </c>
      <c r="D1134" s="7"/>
      <c r="E1134" s="7"/>
      <c r="F1134" s="7" t="s">
        <v>45</v>
      </c>
      <c r="G1134" s="7" t="s">
        <v>46</v>
      </c>
      <c r="H1134" s="7" t="s">
        <v>153</v>
      </c>
      <c r="I1134" s="7" t="s">
        <v>154</v>
      </c>
      <c r="J1134" s="8">
        <v>9.3702053083419319</v>
      </c>
      <c r="K1134" s="8">
        <v>1.4528962774325833</v>
      </c>
      <c r="L1134" s="8"/>
      <c r="M1134" s="8"/>
      <c r="N1134" s="8"/>
      <c r="O1134" s="8"/>
      <c r="P1134" s="8"/>
      <c r="Q1134" t="s">
        <v>26</v>
      </c>
    </row>
    <row r="1135" spans="1:17" hidden="1" x14ac:dyDescent="0.25">
      <c r="A1135" s="7" t="s">
        <v>17</v>
      </c>
      <c r="B1135" s="7" t="s">
        <v>18</v>
      </c>
      <c r="C1135" s="7" t="s">
        <v>19</v>
      </c>
      <c r="D1135" s="7" t="s">
        <v>20</v>
      </c>
      <c r="E1135" s="7" t="s">
        <v>21</v>
      </c>
      <c r="F1135" s="7" t="s">
        <v>47</v>
      </c>
      <c r="G1135" s="7" t="s">
        <v>48</v>
      </c>
      <c r="H1135" s="7" t="s">
        <v>153</v>
      </c>
      <c r="I1135" s="7" t="s">
        <v>154</v>
      </c>
      <c r="J1135" s="8">
        <v>1.1595927863885267</v>
      </c>
      <c r="K1135" s="8">
        <v>0.17980054729235048</v>
      </c>
      <c r="L1135" s="8"/>
      <c r="M1135" s="8"/>
      <c r="N1135" s="8"/>
      <c r="O1135" s="8"/>
      <c r="P1135" s="8"/>
      <c r="Q1135" t="s">
        <v>26</v>
      </c>
    </row>
    <row r="1136" spans="1:17" hidden="1" x14ac:dyDescent="0.25">
      <c r="A1136" s="7" t="s">
        <v>17</v>
      </c>
      <c r="B1136" s="7" t="s">
        <v>18</v>
      </c>
      <c r="C1136" s="7" t="s">
        <v>19</v>
      </c>
      <c r="D1136" s="7"/>
      <c r="E1136" s="7"/>
      <c r="F1136" s="7" t="s">
        <v>49</v>
      </c>
      <c r="G1136" s="7" t="s">
        <v>50</v>
      </c>
      <c r="H1136" s="7" t="s">
        <v>153</v>
      </c>
      <c r="I1136" s="7" t="s">
        <v>154</v>
      </c>
      <c r="J1136" s="8">
        <v>294.97513876792772</v>
      </c>
      <c r="K1136" s="8">
        <v>45.737341600140184</v>
      </c>
      <c r="L1136" s="8"/>
      <c r="M1136" s="8"/>
      <c r="N1136" s="8"/>
      <c r="O1136" s="8"/>
      <c r="P1136" s="8"/>
      <c r="Q1136" t="s">
        <v>26</v>
      </c>
    </row>
    <row r="1137" spans="1:17" hidden="1" x14ac:dyDescent="0.25">
      <c r="A1137" s="7" t="s">
        <v>17</v>
      </c>
      <c r="B1137" s="7" t="s">
        <v>18</v>
      </c>
      <c r="C1137" s="7" t="s">
        <v>19</v>
      </c>
      <c r="D1137" s="7"/>
      <c r="E1137" s="7"/>
      <c r="F1137" s="7" t="s">
        <v>51</v>
      </c>
      <c r="G1137" s="7" t="s">
        <v>52</v>
      </c>
      <c r="H1137" s="7" t="s">
        <v>153</v>
      </c>
      <c r="I1137" s="7" t="s">
        <v>154</v>
      </c>
      <c r="J1137" s="8">
        <v>1774.0400900517266</v>
      </c>
      <c r="K1137" s="8">
        <v>275.07361450849675</v>
      </c>
      <c r="L1137" s="8"/>
      <c r="M1137" s="8"/>
      <c r="N1137" s="8"/>
      <c r="O1137" s="8"/>
      <c r="P1137" s="8"/>
      <c r="Q1137" t="s">
        <v>26</v>
      </c>
    </row>
    <row r="1138" spans="1:17" hidden="1" x14ac:dyDescent="0.25">
      <c r="A1138" s="7" t="s">
        <v>17</v>
      </c>
      <c r="B1138" s="7" t="s">
        <v>18</v>
      </c>
      <c r="C1138" s="7" t="s">
        <v>19</v>
      </c>
      <c r="D1138" s="7"/>
      <c r="E1138" s="7"/>
      <c r="F1138" s="7" t="s">
        <v>53</v>
      </c>
      <c r="G1138" s="7" t="s">
        <v>54</v>
      </c>
      <c r="H1138" s="7" t="s">
        <v>153</v>
      </c>
      <c r="I1138" s="7" t="s">
        <v>154</v>
      </c>
      <c r="J1138" s="8">
        <v>10.792498493553616</v>
      </c>
      <c r="K1138" s="8">
        <v>1.6734298096458113</v>
      </c>
      <c r="L1138" s="8"/>
      <c r="M1138" s="8"/>
      <c r="N1138" s="8"/>
      <c r="O1138" s="8"/>
      <c r="P1138" s="8"/>
      <c r="Q1138" t="s">
        <v>26</v>
      </c>
    </row>
    <row r="1139" spans="1:17" hidden="1" x14ac:dyDescent="0.25">
      <c r="A1139" s="7" t="s">
        <v>17</v>
      </c>
      <c r="B1139" s="7" t="s">
        <v>18</v>
      </c>
      <c r="C1139" s="7" t="s">
        <v>19</v>
      </c>
      <c r="D1139" s="7"/>
      <c r="E1139" s="7"/>
      <c r="F1139" s="7" t="s">
        <v>55</v>
      </c>
      <c r="G1139" s="7" t="s">
        <v>56</v>
      </c>
      <c r="H1139" s="7" t="s">
        <v>153</v>
      </c>
      <c r="I1139" s="7" t="s">
        <v>154</v>
      </c>
      <c r="J1139" s="8">
        <v>22.980651422626384</v>
      </c>
      <c r="K1139" s="8">
        <v>3.5632626827488161</v>
      </c>
      <c r="L1139" s="8"/>
      <c r="M1139" s="8"/>
      <c r="N1139" s="8"/>
      <c r="O1139" s="8"/>
      <c r="P1139" s="8"/>
      <c r="Q1139" t="s">
        <v>26</v>
      </c>
    </row>
    <row r="1140" spans="1:17" hidden="1" x14ac:dyDescent="0.25">
      <c r="A1140" s="7" t="s">
        <v>17</v>
      </c>
      <c r="B1140" s="7" t="s">
        <v>18</v>
      </c>
      <c r="C1140" s="7" t="s">
        <v>19</v>
      </c>
      <c r="D1140" s="7"/>
      <c r="E1140" s="7"/>
      <c r="F1140" s="7" t="s">
        <v>57</v>
      </c>
      <c r="G1140" s="7" t="s">
        <v>58</v>
      </c>
      <c r="H1140" s="7" t="s">
        <v>153</v>
      </c>
      <c r="I1140" s="7" t="s">
        <v>154</v>
      </c>
      <c r="J1140" s="8">
        <v>3102.873278546449</v>
      </c>
      <c r="K1140" s="8">
        <v>481.11571597387905</v>
      </c>
      <c r="L1140" s="8"/>
      <c r="M1140" s="8"/>
      <c r="N1140" s="8"/>
      <c r="O1140" s="8"/>
      <c r="P1140" s="8"/>
      <c r="Q1140" t="s">
        <v>26</v>
      </c>
    </row>
    <row r="1141" spans="1:17" hidden="1" x14ac:dyDescent="0.25">
      <c r="A1141" s="7" t="s">
        <v>17</v>
      </c>
      <c r="B1141" s="7" t="s">
        <v>18</v>
      </c>
      <c r="C1141" s="7" t="s">
        <v>19</v>
      </c>
      <c r="D1141" s="7" t="s">
        <v>20</v>
      </c>
      <c r="E1141" s="7" t="s">
        <v>21</v>
      </c>
      <c r="F1141" s="7" t="s">
        <v>59</v>
      </c>
      <c r="G1141" s="7" t="s">
        <v>60</v>
      </c>
      <c r="H1141" s="7" t="s">
        <v>153</v>
      </c>
      <c r="I1141" s="7" t="s">
        <v>154</v>
      </c>
      <c r="J1141" s="8">
        <v>119.03675288381579</v>
      </c>
      <c r="K1141" s="8">
        <v>18.457232200514252</v>
      </c>
      <c r="L1141" s="8"/>
      <c r="M1141" s="8"/>
      <c r="N1141" s="8"/>
      <c r="O1141" s="8"/>
      <c r="P1141" s="8"/>
      <c r="Q1141" t="s">
        <v>26</v>
      </c>
    </row>
    <row r="1142" spans="1:17" hidden="1" x14ac:dyDescent="0.25">
      <c r="A1142" s="7" t="s">
        <v>17</v>
      </c>
      <c r="B1142" s="7" t="s">
        <v>18</v>
      </c>
      <c r="C1142" s="7" t="s">
        <v>19</v>
      </c>
      <c r="D1142" s="7" t="s">
        <v>20</v>
      </c>
      <c r="E1142" s="7" t="s">
        <v>21</v>
      </c>
      <c r="F1142" s="7" t="s">
        <v>61</v>
      </c>
      <c r="G1142" s="7" t="s">
        <v>62</v>
      </c>
      <c r="H1142" s="7" t="s">
        <v>153</v>
      </c>
      <c r="I1142" s="7" t="s">
        <v>154</v>
      </c>
      <c r="J1142" s="8">
        <v>0</v>
      </c>
      <c r="K1142" s="8">
        <v>0</v>
      </c>
      <c r="L1142" s="8"/>
      <c r="M1142" s="8"/>
      <c r="N1142" s="8"/>
      <c r="O1142" s="8"/>
      <c r="P1142" s="8"/>
      <c r="Q1142" t="s">
        <v>26</v>
      </c>
    </row>
    <row r="1143" spans="1:17" hidden="1" x14ac:dyDescent="0.25">
      <c r="A1143" s="7" t="s">
        <v>17</v>
      </c>
      <c r="B1143" s="7" t="s">
        <v>18</v>
      </c>
      <c r="C1143" s="7" t="s">
        <v>19</v>
      </c>
      <c r="D1143" s="7"/>
      <c r="E1143" s="7"/>
      <c r="F1143" s="7" t="s">
        <v>63</v>
      </c>
      <c r="G1143" s="7" t="s">
        <v>64</v>
      </c>
      <c r="H1143" s="7" t="s">
        <v>153</v>
      </c>
      <c r="I1143" s="7" t="s">
        <v>154</v>
      </c>
      <c r="J1143" s="8">
        <v>20.545800370173346</v>
      </c>
      <c r="K1143" s="8">
        <v>3.1857270884046396</v>
      </c>
      <c r="L1143" s="8"/>
      <c r="M1143" s="8"/>
      <c r="N1143" s="8"/>
      <c r="O1143" s="8"/>
      <c r="P1143" s="8"/>
      <c r="Q1143" t="s">
        <v>26</v>
      </c>
    </row>
    <row r="1144" spans="1:17" hidden="1" x14ac:dyDescent="0.25">
      <c r="A1144" s="7" t="s">
        <v>17</v>
      </c>
      <c r="B1144" s="7" t="s">
        <v>18</v>
      </c>
      <c r="C1144" s="7" t="s">
        <v>19</v>
      </c>
      <c r="D1144" s="7" t="s">
        <v>20</v>
      </c>
      <c r="E1144" s="7" t="s">
        <v>21</v>
      </c>
      <c r="F1144" s="7" t="s">
        <v>65</v>
      </c>
      <c r="G1144" s="7" t="s">
        <v>66</v>
      </c>
      <c r="H1144" s="7" t="s">
        <v>153</v>
      </c>
      <c r="I1144" s="7" t="s">
        <v>154</v>
      </c>
      <c r="J1144" s="8">
        <v>17.964893462521978</v>
      </c>
      <c r="K1144" s="8">
        <v>2.7855448175649156</v>
      </c>
      <c r="L1144" s="8"/>
      <c r="M1144" s="8"/>
      <c r="N1144" s="8"/>
      <c r="O1144" s="8"/>
      <c r="P1144" s="8"/>
      <c r="Q1144" t="s">
        <v>26</v>
      </c>
    </row>
    <row r="1145" spans="1:17" hidden="1" x14ac:dyDescent="0.25">
      <c r="A1145" s="7" t="s">
        <v>17</v>
      </c>
      <c r="B1145" s="7" t="s">
        <v>18</v>
      </c>
      <c r="C1145" s="7" t="s">
        <v>19</v>
      </c>
      <c r="D1145" s="7"/>
      <c r="E1145" s="7"/>
      <c r="F1145" s="7" t="s">
        <v>67</v>
      </c>
      <c r="G1145" s="7" t="s">
        <v>68</v>
      </c>
      <c r="H1145" s="7" t="s">
        <v>153</v>
      </c>
      <c r="I1145" s="7" t="s">
        <v>154</v>
      </c>
      <c r="J1145" s="8">
        <v>225.30670615700663</v>
      </c>
      <c r="K1145" s="8">
        <v>34.934909522706739</v>
      </c>
      <c r="L1145" s="8"/>
      <c r="M1145" s="8"/>
      <c r="N1145" s="8"/>
      <c r="O1145" s="8"/>
      <c r="P1145" s="8"/>
      <c r="Q1145" t="s">
        <v>26</v>
      </c>
    </row>
    <row r="1146" spans="1:17" hidden="1" x14ac:dyDescent="0.25">
      <c r="A1146" s="7" t="s">
        <v>17</v>
      </c>
      <c r="B1146" s="7" t="s">
        <v>18</v>
      </c>
      <c r="C1146" s="7" t="s">
        <v>19</v>
      </c>
      <c r="D1146" s="7"/>
      <c r="E1146" s="7"/>
      <c r="F1146" s="7" t="s">
        <v>69</v>
      </c>
      <c r="G1146" s="7" t="s">
        <v>70</v>
      </c>
      <c r="H1146" s="7" t="s">
        <v>153</v>
      </c>
      <c r="I1146" s="7" t="s">
        <v>154</v>
      </c>
      <c r="J1146" s="8">
        <v>3.8650697222492538</v>
      </c>
      <c r="K1146" s="8">
        <v>0.59929801180279652</v>
      </c>
      <c r="L1146" s="8"/>
      <c r="M1146" s="8"/>
      <c r="N1146" s="8"/>
      <c r="O1146" s="8"/>
      <c r="P1146" s="8"/>
      <c r="Q1146" t="s">
        <v>26</v>
      </c>
    </row>
    <row r="1147" spans="1:17" hidden="1" x14ac:dyDescent="0.25">
      <c r="A1147" s="7" t="s">
        <v>17</v>
      </c>
      <c r="B1147" s="7" t="s">
        <v>18</v>
      </c>
      <c r="C1147" s="7" t="s">
        <v>19</v>
      </c>
      <c r="D1147" s="7"/>
      <c r="E1147" s="7"/>
      <c r="F1147" s="7" t="s">
        <v>71</v>
      </c>
      <c r="G1147" s="7" t="s">
        <v>72</v>
      </c>
      <c r="H1147" s="7" t="s">
        <v>153</v>
      </c>
      <c r="I1147" s="7" t="s">
        <v>154</v>
      </c>
      <c r="J1147" s="8">
        <v>90.983767280082574</v>
      </c>
      <c r="K1147" s="8">
        <v>14.107479232108265</v>
      </c>
      <c r="L1147" s="8"/>
      <c r="M1147" s="8"/>
      <c r="N1147" s="8"/>
      <c r="O1147" s="8"/>
      <c r="P1147" s="8"/>
      <c r="Q1147" t="s">
        <v>26</v>
      </c>
    </row>
    <row r="1148" spans="1:17" hidden="1" x14ac:dyDescent="0.25">
      <c r="A1148" s="7" t="s">
        <v>17</v>
      </c>
      <c r="B1148" s="7" t="s">
        <v>18</v>
      </c>
      <c r="C1148" s="7" t="s">
        <v>19</v>
      </c>
      <c r="D1148" s="7" t="s">
        <v>20</v>
      </c>
      <c r="E1148" s="7" t="s">
        <v>21</v>
      </c>
      <c r="F1148" s="7" t="s">
        <v>73</v>
      </c>
      <c r="G1148" s="7" t="s">
        <v>74</v>
      </c>
      <c r="H1148" s="7" t="s">
        <v>153</v>
      </c>
      <c r="I1148" s="7" t="s">
        <v>154</v>
      </c>
      <c r="J1148" s="8">
        <v>2.5302243485832356</v>
      </c>
      <c r="K1148" s="8">
        <v>0.39232369154741237</v>
      </c>
      <c r="L1148" s="8"/>
      <c r="M1148" s="8"/>
      <c r="N1148" s="8"/>
      <c r="O1148" s="8"/>
      <c r="P1148" s="8"/>
      <c r="Q1148" t="s">
        <v>26</v>
      </c>
    </row>
    <row r="1149" spans="1:17" hidden="1" x14ac:dyDescent="0.25">
      <c r="A1149" s="7" t="s">
        <v>17</v>
      </c>
      <c r="B1149" s="7" t="s">
        <v>18</v>
      </c>
      <c r="C1149" s="7" t="s">
        <v>19</v>
      </c>
      <c r="D1149" s="7" t="s">
        <v>20</v>
      </c>
      <c r="E1149" s="7" t="s">
        <v>21</v>
      </c>
      <c r="F1149" s="7" t="s">
        <v>75</v>
      </c>
      <c r="G1149" s="7" t="s">
        <v>76</v>
      </c>
      <c r="H1149" s="7" t="s">
        <v>153</v>
      </c>
      <c r="I1149" s="7" t="s">
        <v>154</v>
      </c>
      <c r="J1149" s="8">
        <v>1.3051656188574106</v>
      </c>
      <c r="K1149" s="8">
        <v>0.20237232874532105</v>
      </c>
      <c r="L1149" s="8"/>
      <c r="M1149" s="8"/>
      <c r="N1149" s="8"/>
      <c r="O1149" s="8"/>
      <c r="P1149" s="8"/>
      <c r="Q1149" t="s">
        <v>26</v>
      </c>
    </row>
    <row r="1150" spans="1:17" hidden="1" x14ac:dyDescent="0.25">
      <c r="A1150" s="7" t="s">
        <v>17</v>
      </c>
      <c r="B1150" s="7" t="s">
        <v>18</v>
      </c>
      <c r="C1150" s="7" t="s">
        <v>19</v>
      </c>
      <c r="D1150" s="7"/>
      <c r="E1150" s="7"/>
      <c r="F1150" s="7" t="s">
        <v>77</v>
      </c>
      <c r="G1150" s="7" t="s">
        <v>78</v>
      </c>
      <c r="H1150" s="7" t="s">
        <v>153</v>
      </c>
      <c r="I1150" s="7" t="s">
        <v>154</v>
      </c>
      <c r="J1150" s="8">
        <v>7.7412058720999211</v>
      </c>
      <c r="K1150" s="8">
        <v>1.200311927466553</v>
      </c>
      <c r="L1150" s="8"/>
      <c r="M1150" s="8"/>
      <c r="N1150" s="8"/>
      <c r="O1150" s="8"/>
      <c r="P1150" s="8"/>
      <c r="Q1150" t="s">
        <v>26</v>
      </c>
    </row>
    <row r="1151" spans="1:17" hidden="1" x14ac:dyDescent="0.25">
      <c r="A1151" s="7" t="s">
        <v>17</v>
      </c>
      <c r="B1151" s="7" t="s">
        <v>18</v>
      </c>
      <c r="C1151" s="7" t="s">
        <v>19</v>
      </c>
      <c r="D1151" s="7"/>
      <c r="E1151" s="7"/>
      <c r="F1151" s="7" t="s">
        <v>79</v>
      </c>
      <c r="G1151" s="7" t="s">
        <v>80</v>
      </c>
      <c r="H1151" s="7" t="s">
        <v>153</v>
      </c>
      <c r="I1151" s="7" t="s">
        <v>154</v>
      </c>
      <c r="J1151" s="8">
        <v>0.24202379782388281</v>
      </c>
      <c r="K1151" s="8">
        <v>3.7526976553583939E-2</v>
      </c>
      <c r="L1151" s="8"/>
      <c r="M1151" s="8"/>
      <c r="N1151" s="8"/>
      <c r="O1151" s="8"/>
      <c r="P1151" s="8"/>
      <c r="Q1151" t="s">
        <v>26</v>
      </c>
    </row>
    <row r="1152" spans="1:17" hidden="1" x14ac:dyDescent="0.25">
      <c r="A1152" s="7" t="s">
        <v>17</v>
      </c>
      <c r="B1152" s="7" t="s">
        <v>18</v>
      </c>
      <c r="C1152" s="7" t="s">
        <v>19</v>
      </c>
      <c r="D1152" s="7"/>
      <c r="E1152" s="7"/>
      <c r="F1152" s="7" t="s">
        <v>81</v>
      </c>
      <c r="G1152" s="7" t="s">
        <v>82</v>
      </c>
      <c r="H1152" s="7" t="s">
        <v>153</v>
      </c>
      <c r="I1152" s="7" t="s">
        <v>154</v>
      </c>
      <c r="J1152" s="8">
        <v>13.173743748809709</v>
      </c>
      <c r="K1152" s="8">
        <v>2.0426535622924629</v>
      </c>
      <c r="L1152" s="8"/>
      <c r="M1152" s="8"/>
      <c r="N1152" s="8"/>
      <c r="O1152" s="8"/>
      <c r="P1152" s="8"/>
      <c r="Q1152" t="s">
        <v>26</v>
      </c>
    </row>
    <row r="1153" spans="1:17" hidden="1" x14ac:dyDescent="0.25">
      <c r="A1153" s="7" t="s">
        <v>17</v>
      </c>
      <c r="B1153" s="7" t="s">
        <v>18</v>
      </c>
      <c r="C1153" s="7" t="s">
        <v>19</v>
      </c>
      <c r="D1153" s="7"/>
      <c r="E1153" s="7"/>
      <c r="F1153" s="7" t="s">
        <v>83</v>
      </c>
      <c r="G1153" s="7" t="s">
        <v>84</v>
      </c>
      <c r="H1153" s="7" t="s">
        <v>153</v>
      </c>
      <c r="I1153" s="7" t="s">
        <v>154</v>
      </c>
      <c r="J1153" s="8">
        <v>10.864448284314093</v>
      </c>
      <c r="K1153" s="8">
        <v>1.6845859774903822</v>
      </c>
      <c r="L1153" s="8"/>
      <c r="M1153" s="8"/>
      <c r="N1153" s="8"/>
      <c r="O1153" s="8"/>
      <c r="P1153" s="8"/>
      <c r="Q1153" t="s">
        <v>26</v>
      </c>
    </row>
    <row r="1154" spans="1:17" hidden="1" x14ac:dyDescent="0.25">
      <c r="A1154" s="7" t="s">
        <v>17</v>
      </c>
      <c r="B1154" s="7" t="s">
        <v>18</v>
      </c>
      <c r="C1154" s="7" t="s">
        <v>19</v>
      </c>
      <c r="D1154" s="7" t="s">
        <v>20</v>
      </c>
      <c r="E1154" s="7" t="s">
        <v>21</v>
      </c>
      <c r="F1154" s="7" t="s">
        <v>85</v>
      </c>
      <c r="G1154" s="7" t="s">
        <v>86</v>
      </c>
      <c r="H1154" s="7" t="s">
        <v>153</v>
      </c>
      <c r="I1154" s="7" t="s">
        <v>154</v>
      </c>
      <c r="J1154" s="8">
        <v>13.45296750074356</v>
      </c>
      <c r="K1154" s="8">
        <v>2.0859485741311348</v>
      </c>
      <c r="L1154" s="8"/>
      <c r="M1154" s="8"/>
      <c r="N1154" s="8"/>
      <c r="O1154" s="8"/>
      <c r="P1154" s="8"/>
      <c r="Q1154" t="s">
        <v>26</v>
      </c>
    </row>
    <row r="1155" spans="1:17" hidden="1" x14ac:dyDescent="0.25">
      <c r="A1155" s="7" t="s">
        <v>17</v>
      </c>
      <c r="B1155" s="7" t="s">
        <v>18</v>
      </c>
      <c r="C1155" s="7" t="s">
        <v>19</v>
      </c>
      <c r="D1155" s="7"/>
      <c r="E1155" s="7"/>
      <c r="F1155" s="7" t="s">
        <v>87</v>
      </c>
      <c r="G1155" s="7" t="s">
        <v>88</v>
      </c>
      <c r="H1155" s="7" t="s">
        <v>153</v>
      </c>
      <c r="I1155" s="7" t="s">
        <v>154</v>
      </c>
      <c r="J1155" s="8">
        <v>73.181572373481401</v>
      </c>
      <c r="K1155" s="8">
        <v>11.347161623389088</v>
      </c>
      <c r="L1155" s="8"/>
      <c r="M1155" s="8"/>
      <c r="N1155" s="8"/>
      <c r="O1155" s="8"/>
      <c r="P1155" s="8"/>
      <c r="Q1155" t="s">
        <v>26</v>
      </c>
    </row>
    <row r="1156" spans="1:17" hidden="1" x14ac:dyDescent="0.25">
      <c r="A1156" s="7" t="s">
        <v>17</v>
      </c>
      <c r="B1156" s="7" t="s">
        <v>18</v>
      </c>
      <c r="C1156" s="7" t="s">
        <v>19</v>
      </c>
      <c r="D1156" s="7"/>
      <c r="E1156" s="7"/>
      <c r="F1156" s="7" t="s">
        <v>89</v>
      </c>
      <c r="G1156" s="7" t="s">
        <v>90</v>
      </c>
      <c r="H1156" s="7" t="s">
        <v>153</v>
      </c>
      <c r="I1156" s="7" t="s">
        <v>154</v>
      </c>
      <c r="J1156" s="8">
        <v>689.2840451177492</v>
      </c>
      <c r="K1156" s="8">
        <v>106.8768709212477</v>
      </c>
      <c r="L1156" s="8"/>
      <c r="M1156" s="8"/>
      <c r="N1156" s="8"/>
      <c r="O1156" s="8"/>
      <c r="P1156" s="8"/>
      <c r="Q1156" t="s">
        <v>26</v>
      </c>
    </row>
    <row r="1157" spans="1:17" hidden="1" x14ac:dyDescent="0.25">
      <c r="A1157" s="7" t="s">
        <v>17</v>
      </c>
      <c r="B1157" s="7" t="s">
        <v>18</v>
      </c>
      <c r="C1157" s="7" t="s">
        <v>19</v>
      </c>
      <c r="D1157" s="7"/>
      <c r="E1157" s="7"/>
      <c r="F1157" s="7" t="s">
        <v>91</v>
      </c>
      <c r="G1157" s="7" t="s">
        <v>92</v>
      </c>
      <c r="H1157" s="7" t="s">
        <v>153</v>
      </c>
      <c r="I1157" s="7" t="s">
        <v>154</v>
      </c>
      <c r="J1157" s="8">
        <v>4.1188517771825541</v>
      </c>
      <c r="K1157" s="8">
        <v>0.63864816377476286</v>
      </c>
      <c r="L1157" s="8"/>
      <c r="M1157" s="8"/>
      <c r="N1157" s="8"/>
      <c r="O1157" s="8"/>
      <c r="P1157" s="8"/>
      <c r="Q1157" t="s">
        <v>26</v>
      </c>
    </row>
    <row r="1158" spans="1:17" hidden="1" x14ac:dyDescent="0.25">
      <c r="A1158" s="7" t="s">
        <v>17</v>
      </c>
      <c r="B1158" s="7" t="s">
        <v>18</v>
      </c>
      <c r="C1158" s="7" t="s">
        <v>19</v>
      </c>
      <c r="D1158" s="7"/>
      <c r="E1158" s="7"/>
      <c r="F1158" s="7" t="s">
        <v>93</v>
      </c>
      <c r="G1158" s="7" t="s">
        <v>94</v>
      </c>
      <c r="H1158" s="7" t="s">
        <v>153</v>
      </c>
      <c r="I1158" s="7" t="s">
        <v>154</v>
      </c>
      <c r="J1158" s="8">
        <v>2.6534174496237144</v>
      </c>
      <c r="K1158" s="8">
        <v>0.41142538590919353</v>
      </c>
      <c r="L1158" s="8"/>
      <c r="M1158" s="8"/>
      <c r="N1158" s="8"/>
      <c r="O1158" s="8"/>
      <c r="P1158" s="8"/>
      <c r="Q1158" t="s">
        <v>26</v>
      </c>
    </row>
    <row r="1159" spans="1:17" hidden="1" x14ac:dyDescent="0.25">
      <c r="A1159" s="7" t="s">
        <v>17</v>
      </c>
      <c r="B1159" s="7" t="s">
        <v>18</v>
      </c>
      <c r="C1159" s="7" t="s">
        <v>19</v>
      </c>
      <c r="D1159" s="7"/>
      <c r="E1159" s="7"/>
      <c r="F1159" s="7" t="s">
        <v>95</v>
      </c>
      <c r="G1159" s="7" t="s">
        <v>96</v>
      </c>
      <c r="H1159" s="7" t="s">
        <v>153</v>
      </c>
      <c r="I1159" s="7" t="s">
        <v>154</v>
      </c>
      <c r="J1159" s="8">
        <v>41.182171848087648</v>
      </c>
      <c r="K1159" s="8">
        <v>6.3854976711564779</v>
      </c>
      <c r="L1159" s="8"/>
      <c r="M1159" s="8"/>
      <c r="N1159" s="8"/>
      <c r="O1159" s="8"/>
      <c r="P1159" s="8"/>
      <c r="Q1159" t="s">
        <v>26</v>
      </c>
    </row>
    <row r="1160" spans="1:17" hidden="1" x14ac:dyDescent="0.25">
      <c r="A1160" s="7" t="s">
        <v>17</v>
      </c>
      <c r="B1160" s="7" t="s">
        <v>18</v>
      </c>
      <c r="C1160" s="7" t="s">
        <v>19</v>
      </c>
      <c r="D1160" s="7"/>
      <c r="E1160" s="7"/>
      <c r="F1160" s="7" t="s">
        <v>97</v>
      </c>
      <c r="G1160" s="7" t="s">
        <v>98</v>
      </c>
      <c r="H1160" s="7" t="s">
        <v>153</v>
      </c>
      <c r="I1160" s="7" t="s">
        <v>154</v>
      </c>
      <c r="J1160" s="8">
        <v>183.15623660943953</v>
      </c>
      <c r="K1160" s="8">
        <v>28.399272545449069</v>
      </c>
      <c r="L1160" s="8"/>
      <c r="M1160" s="8"/>
      <c r="N1160" s="8"/>
      <c r="O1160" s="8"/>
      <c r="P1160" s="8"/>
      <c r="Q1160" t="s">
        <v>26</v>
      </c>
    </row>
    <row r="1161" spans="1:17" hidden="1" x14ac:dyDescent="0.25">
      <c r="A1161" s="7" t="s">
        <v>17</v>
      </c>
      <c r="B1161" s="7" t="s">
        <v>18</v>
      </c>
      <c r="C1161" s="7" t="s">
        <v>19</v>
      </c>
      <c r="D1161" s="7"/>
      <c r="E1161" s="7"/>
      <c r="F1161" s="7" t="s">
        <v>99</v>
      </c>
      <c r="G1161" s="7" t="s">
        <v>100</v>
      </c>
      <c r="H1161" s="7" t="s">
        <v>153</v>
      </c>
      <c r="I1161" s="7" t="s">
        <v>154</v>
      </c>
      <c r="J1161" s="8">
        <v>266.17980174605071</v>
      </c>
      <c r="K1161" s="8">
        <v>41.138239074414649</v>
      </c>
      <c r="L1161" s="8"/>
      <c r="M1161" s="8"/>
      <c r="N1161" s="8"/>
      <c r="O1161" s="8"/>
      <c r="P1161" s="8"/>
      <c r="Q1161" t="s">
        <v>26</v>
      </c>
    </row>
    <row r="1162" spans="1:17" hidden="1" x14ac:dyDescent="0.25">
      <c r="A1162" s="7" t="s">
        <v>17</v>
      </c>
      <c r="B1162" s="7" t="s">
        <v>18</v>
      </c>
      <c r="C1162" s="7" t="s">
        <v>19</v>
      </c>
      <c r="D1162" s="7" t="s">
        <v>20</v>
      </c>
      <c r="E1162" s="7" t="s">
        <v>21</v>
      </c>
      <c r="F1162" s="7" t="s">
        <v>101</v>
      </c>
      <c r="G1162" s="7" t="s">
        <v>21</v>
      </c>
      <c r="H1162" s="7" t="s">
        <v>153</v>
      </c>
      <c r="I1162" s="7" t="s">
        <v>154</v>
      </c>
      <c r="J1162" s="8">
        <v>0.12624080812418578</v>
      </c>
      <c r="K1162" s="8">
        <v>1.9574256288752118E-2</v>
      </c>
      <c r="L1162" s="8"/>
      <c r="M1162" s="8"/>
      <c r="N1162" s="8"/>
      <c r="O1162" s="8"/>
      <c r="P1162" s="8"/>
      <c r="Q1162" t="s">
        <v>26</v>
      </c>
    </row>
    <row r="1163" spans="1:17" hidden="1" x14ac:dyDescent="0.25">
      <c r="A1163" s="7" t="s">
        <v>17</v>
      </c>
      <c r="B1163" s="7" t="s">
        <v>18</v>
      </c>
      <c r="C1163" s="7" t="s">
        <v>19</v>
      </c>
      <c r="D1163" s="7"/>
      <c r="E1163" s="7"/>
      <c r="F1163" s="7" t="s">
        <v>102</v>
      </c>
      <c r="G1163" s="7" t="s">
        <v>103</v>
      </c>
      <c r="H1163" s="7" t="s">
        <v>153</v>
      </c>
      <c r="I1163" s="7" t="s">
        <v>154</v>
      </c>
      <c r="J1163" s="8">
        <v>13.49309564401238</v>
      </c>
      <c r="K1163" s="8">
        <v>2.0921706395029198</v>
      </c>
      <c r="L1163" s="8"/>
      <c r="M1163" s="8"/>
      <c r="N1163" s="8"/>
      <c r="O1163" s="8"/>
      <c r="P1163" s="8"/>
      <c r="Q1163" t="s">
        <v>26</v>
      </c>
    </row>
    <row r="1164" spans="1:17" hidden="1" x14ac:dyDescent="0.25">
      <c r="A1164" s="7" t="s">
        <v>17</v>
      </c>
      <c r="B1164" s="7" t="s">
        <v>18</v>
      </c>
      <c r="C1164" s="7" t="s">
        <v>19</v>
      </c>
      <c r="D1164" s="7" t="s">
        <v>20</v>
      </c>
      <c r="E1164" s="7" t="s">
        <v>21</v>
      </c>
      <c r="F1164" s="7" t="s">
        <v>104</v>
      </c>
      <c r="G1164" s="7" t="s">
        <v>105</v>
      </c>
      <c r="H1164" s="7" t="s">
        <v>153</v>
      </c>
      <c r="I1164" s="7" t="s">
        <v>154</v>
      </c>
      <c r="J1164" s="8">
        <v>26.326851798641982</v>
      </c>
      <c r="K1164" s="8">
        <v>4.0821074582766688</v>
      </c>
      <c r="L1164" s="8"/>
      <c r="M1164" s="8"/>
      <c r="N1164" s="8"/>
      <c r="O1164" s="8"/>
      <c r="P1164" s="8"/>
      <c r="Q1164" t="s">
        <v>26</v>
      </c>
    </row>
    <row r="1165" spans="1:17" hidden="1" x14ac:dyDescent="0.25">
      <c r="A1165" s="7" t="s">
        <v>17</v>
      </c>
      <c r="B1165" s="7" t="s">
        <v>18</v>
      </c>
      <c r="C1165" s="7" t="s">
        <v>19</v>
      </c>
      <c r="D1165" s="7"/>
      <c r="E1165" s="7"/>
      <c r="F1165" s="7" t="s">
        <v>106</v>
      </c>
      <c r="G1165" s="7" t="s">
        <v>107</v>
      </c>
      <c r="H1165" s="7" t="s">
        <v>153</v>
      </c>
      <c r="I1165" s="7" t="s">
        <v>154</v>
      </c>
      <c r="J1165" s="8">
        <v>92.236272730552415</v>
      </c>
      <c r="K1165" s="8">
        <v>14.301686343539599</v>
      </c>
      <c r="L1165" s="8"/>
      <c r="M1165" s="8"/>
      <c r="N1165" s="8"/>
      <c r="O1165" s="8"/>
      <c r="P1165" s="8"/>
      <c r="Q1165" t="s">
        <v>26</v>
      </c>
    </row>
    <row r="1166" spans="1:17" hidden="1" x14ac:dyDescent="0.25">
      <c r="A1166" s="7" t="s">
        <v>17</v>
      </c>
      <c r="B1166" s="7" t="s">
        <v>18</v>
      </c>
      <c r="C1166" s="7" t="s">
        <v>19</v>
      </c>
      <c r="D1166" s="7"/>
      <c r="E1166" s="7"/>
      <c r="F1166" s="7" t="s">
        <v>108</v>
      </c>
      <c r="G1166" s="7" t="s">
        <v>109</v>
      </c>
      <c r="H1166" s="7" t="s">
        <v>153</v>
      </c>
      <c r="I1166" s="7" t="s">
        <v>154</v>
      </c>
      <c r="J1166" s="8">
        <v>22.511918253291487</v>
      </c>
      <c r="K1166" s="8">
        <v>3.4905833065317804</v>
      </c>
      <c r="L1166" s="8"/>
      <c r="M1166" s="8"/>
      <c r="N1166" s="8"/>
      <c r="O1166" s="8"/>
      <c r="P1166" s="8"/>
      <c r="Q1166" t="s">
        <v>26</v>
      </c>
    </row>
    <row r="1167" spans="1:17" hidden="1" x14ac:dyDescent="0.25">
      <c r="A1167" s="7" t="s">
        <v>17</v>
      </c>
      <c r="B1167" s="7" t="s">
        <v>18</v>
      </c>
      <c r="C1167" s="7" t="s">
        <v>19</v>
      </c>
      <c r="D1167" s="7"/>
      <c r="E1167" s="7"/>
      <c r="F1167" s="7" t="s">
        <v>110</v>
      </c>
      <c r="G1167" s="7" t="s">
        <v>111</v>
      </c>
      <c r="H1167" s="7" t="s">
        <v>153</v>
      </c>
      <c r="I1167" s="7" t="s">
        <v>154</v>
      </c>
      <c r="J1167" s="8">
        <v>35.865517356134426</v>
      </c>
      <c r="K1167" s="8">
        <v>5.5611243233412289</v>
      </c>
      <c r="L1167" s="8"/>
      <c r="M1167" s="8"/>
      <c r="N1167" s="8"/>
      <c r="O1167" s="8"/>
      <c r="P1167" s="8"/>
      <c r="Q1167" t="s">
        <v>26</v>
      </c>
    </row>
    <row r="1168" spans="1:17" hidden="1" x14ac:dyDescent="0.25">
      <c r="A1168" s="7" t="s">
        <v>17</v>
      </c>
      <c r="B1168" s="7" t="s">
        <v>18</v>
      </c>
      <c r="C1168" s="7" t="s">
        <v>19</v>
      </c>
      <c r="D1168" s="7" t="s">
        <v>20</v>
      </c>
      <c r="E1168" s="7" t="s">
        <v>21</v>
      </c>
      <c r="F1168" s="7" t="s">
        <v>112</v>
      </c>
      <c r="G1168" s="7" t="s">
        <v>113</v>
      </c>
      <c r="H1168" s="7" t="s">
        <v>153</v>
      </c>
      <c r="I1168" s="7" t="s">
        <v>154</v>
      </c>
      <c r="J1168" s="8">
        <v>95.416209041117881</v>
      </c>
      <c r="K1168" s="8">
        <v>14.794751060486641</v>
      </c>
      <c r="L1168" s="8"/>
      <c r="M1168" s="8"/>
      <c r="N1168" s="8"/>
      <c r="O1168" s="8"/>
      <c r="P1168" s="8"/>
      <c r="Q1168" t="s">
        <v>26</v>
      </c>
    </row>
    <row r="1169" spans="1:17" hidden="1" x14ac:dyDescent="0.25">
      <c r="A1169" s="7" t="s">
        <v>17</v>
      </c>
      <c r="B1169" s="7" t="s">
        <v>18</v>
      </c>
      <c r="C1169" s="7" t="s">
        <v>19</v>
      </c>
      <c r="D1169" s="7" t="s">
        <v>20</v>
      </c>
      <c r="E1169" s="7" t="s">
        <v>21</v>
      </c>
      <c r="F1169" s="7" t="s">
        <v>114</v>
      </c>
      <c r="G1169" s="7" t="s">
        <v>115</v>
      </c>
      <c r="H1169" s="7" t="s">
        <v>153</v>
      </c>
      <c r="I1169" s="7" t="s">
        <v>154</v>
      </c>
      <c r="J1169" s="8">
        <v>1.4640945794284262E-3</v>
      </c>
      <c r="K1169" s="8">
        <v>2.2701504334884107E-4</v>
      </c>
      <c r="L1169" s="8"/>
      <c r="M1169" s="8"/>
      <c r="N1169" s="8"/>
      <c r="O1169" s="8"/>
      <c r="P1169" s="8"/>
      <c r="Q1169" t="s">
        <v>26</v>
      </c>
    </row>
    <row r="1170" spans="1:17" hidden="1" x14ac:dyDescent="0.25">
      <c r="A1170" s="7" t="s">
        <v>17</v>
      </c>
      <c r="B1170" s="7" t="s">
        <v>18</v>
      </c>
      <c r="C1170" s="7" t="s">
        <v>19</v>
      </c>
      <c r="D1170" s="7" t="s">
        <v>20</v>
      </c>
      <c r="E1170" s="7" t="s">
        <v>21</v>
      </c>
      <c r="F1170" s="7" t="s">
        <v>116</v>
      </c>
      <c r="G1170" s="7" t="s">
        <v>117</v>
      </c>
      <c r="H1170" s="7" t="s">
        <v>153</v>
      </c>
      <c r="I1170" s="7" t="s">
        <v>154</v>
      </c>
      <c r="J1170" s="8">
        <v>0.14640945794284269</v>
      </c>
      <c r="K1170" s="8">
        <v>2.2701504334884114E-2</v>
      </c>
      <c r="L1170" s="8"/>
      <c r="M1170" s="8"/>
      <c r="N1170" s="8"/>
      <c r="O1170" s="8"/>
      <c r="P1170" s="8"/>
      <c r="Q1170" t="s">
        <v>26</v>
      </c>
    </row>
    <row r="1171" spans="1:17" hidden="1" x14ac:dyDescent="0.25">
      <c r="A1171" s="7" t="s">
        <v>17</v>
      </c>
      <c r="B1171" s="7" t="s">
        <v>18</v>
      </c>
      <c r="C1171" s="7" t="s">
        <v>19</v>
      </c>
      <c r="D1171" s="7" t="s">
        <v>20</v>
      </c>
      <c r="E1171" s="7" t="s">
        <v>21</v>
      </c>
      <c r="F1171" s="7" t="s">
        <v>118</v>
      </c>
      <c r="G1171" s="7" t="s">
        <v>119</v>
      </c>
      <c r="H1171" s="7" t="s">
        <v>153</v>
      </c>
      <c r="I1171" s="7" t="s">
        <v>154</v>
      </c>
      <c r="J1171" s="8">
        <v>2.8640128139287002</v>
      </c>
      <c r="K1171" s="8">
        <v>0.44407922974449104</v>
      </c>
      <c r="L1171" s="8"/>
      <c r="M1171" s="8"/>
      <c r="N1171" s="8"/>
      <c r="O1171" s="8"/>
      <c r="P1171" s="8"/>
      <c r="Q1171" t="s">
        <v>26</v>
      </c>
    </row>
    <row r="1172" spans="1:17" hidden="1" x14ac:dyDescent="0.25">
      <c r="A1172" s="7" t="s">
        <v>17</v>
      </c>
      <c r="B1172" s="7" t="s">
        <v>18</v>
      </c>
      <c r="C1172" s="7" t="s">
        <v>19</v>
      </c>
      <c r="D1172" s="7" t="s">
        <v>20</v>
      </c>
      <c r="E1172" s="7" t="s">
        <v>21</v>
      </c>
      <c r="F1172" s="7" t="s">
        <v>120</v>
      </c>
      <c r="G1172" s="7" t="s">
        <v>121</v>
      </c>
      <c r="H1172" s="7" t="s">
        <v>153</v>
      </c>
      <c r="I1172" s="7" t="s">
        <v>154</v>
      </c>
      <c r="J1172" s="8">
        <v>46.612020571488273</v>
      </c>
      <c r="K1172" s="8">
        <v>7.2274223395762345</v>
      </c>
      <c r="L1172" s="8"/>
      <c r="M1172" s="8"/>
      <c r="N1172" s="8"/>
      <c r="O1172" s="8"/>
      <c r="P1172" s="8"/>
      <c r="Q1172" t="s">
        <v>26</v>
      </c>
    </row>
    <row r="1173" spans="1:17" hidden="1" x14ac:dyDescent="0.25">
      <c r="A1173" s="7" t="s">
        <v>17</v>
      </c>
      <c r="B1173" s="7" t="s">
        <v>18</v>
      </c>
      <c r="C1173" s="7" t="s">
        <v>19</v>
      </c>
      <c r="D1173" s="7"/>
      <c r="E1173" s="7"/>
      <c r="F1173" s="7" t="s">
        <v>122</v>
      </c>
      <c r="G1173" s="7" t="s">
        <v>123</v>
      </c>
      <c r="H1173" s="7" t="s">
        <v>153</v>
      </c>
      <c r="I1173" s="7" t="s">
        <v>154</v>
      </c>
      <c r="J1173" s="8">
        <v>49.876742327245154</v>
      </c>
      <c r="K1173" s="8">
        <v>7.7336334555236697</v>
      </c>
      <c r="L1173" s="8"/>
      <c r="M1173" s="8"/>
      <c r="N1173" s="8"/>
      <c r="O1173" s="8"/>
      <c r="P1173" s="8"/>
      <c r="Q1173" t="s">
        <v>26</v>
      </c>
    </row>
    <row r="1174" spans="1:17" hidden="1" x14ac:dyDescent="0.25">
      <c r="A1174" s="7" t="s">
        <v>17</v>
      </c>
      <c r="B1174" s="7" t="s">
        <v>18</v>
      </c>
      <c r="C1174" s="7" t="s">
        <v>19</v>
      </c>
      <c r="D1174" s="7"/>
      <c r="E1174" s="7"/>
      <c r="F1174" s="7" t="s">
        <v>124</v>
      </c>
      <c r="G1174" s="7" t="s">
        <v>125</v>
      </c>
      <c r="H1174" s="7" t="s">
        <v>153</v>
      </c>
      <c r="I1174" s="7" t="s">
        <v>154</v>
      </c>
      <c r="J1174" s="8">
        <v>13.452967500743556</v>
      </c>
      <c r="K1174" s="8">
        <v>2.0859485741311339</v>
      </c>
      <c r="L1174" s="8"/>
      <c r="M1174" s="8"/>
      <c r="N1174" s="8"/>
      <c r="O1174" s="8"/>
      <c r="P1174" s="8"/>
      <c r="Q1174" t="s">
        <v>26</v>
      </c>
    </row>
    <row r="1175" spans="1:17" hidden="1" x14ac:dyDescent="0.25">
      <c r="A1175" s="7" t="s">
        <v>17</v>
      </c>
      <c r="B1175" s="7" t="s">
        <v>18</v>
      </c>
      <c r="C1175" s="7" t="s">
        <v>19</v>
      </c>
      <c r="D1175" s="7" t="s">
        <v>20</v>
      </c>
      <c r="E1175" s="7" t="s">
        <v>21</v>
      </c>
      <c r="F1175" s="7" t="s">
        <v>22</v>
      </c>
      <c r="G1175" s="7" t="s">
        <v>23</v>
      </c>
      <c r="H1175" s="7" t="s">
        <v>153</v>
      </c>
      <c r="I1175" s="7" t="s">
        <v>155</v>
      </c>
      <c r="J1175" s="8"/>
      <c r="K1175" s="8"/>
      <c r="L1175" s="8"/>
      <c r="M1175" s="8"/>
      <c r="N1175" s="8"/>
      <c r="O1175" s="8"/>
      <c r="P1175" s="8">
        <v>3.9514339213871388</v>
      </c>
      <c r="Q1175" t="s">
        <v>26</v>
      </c>
    </row>
    <row r="1176" spans="1:17" hidden="1" x14ac:dyDescent="0.25">
      <c r="A1176" s="7" t="s">
        <v>17</v>
      </c>
      <c r="B1176" s="7" t="s">
        <v>18</v>
      </c>
      <c r="C1176" s="7" t="s">
        <v>19</v>
      </c>
      <c r="D1176" s="7"/>
      <c r="E1176" s="7"/>
      <c r="F1176" s="7" t="s">
        <v>27</v>
      </c>
      <c r="G1176" s="7" t="s">
        <v>28</v>
      </c>
      <c r="H1176" s="7" t="s">
        <v>153</v>
      </c>
      <c r="I1176" s="7" t="s">
        <v>155</v>
      </c>
      <c r="J1176" s="8"/>
      <c r="K1176" s="8"/>
      <c r="L1176" s="8"/>
      <c r="M1176" s="8"/>
      <c r="N1176" s="8"/>
      <c r="O1176" s="8"/>
      <c r="P1176" s="8">
        <v>4.6180710027314893</v>
      </c>
      <c r="Q1176" t="s">
        <v>26</v>
      </c>
    </row>
    <row r="1177" spans="1:17" hidden="1" x14ac:dyDescent="0.25">
      <c r="A1177" s="7" t="s">
        <v>17</v>
      </c>
      <c r="B1177" s="7" t="s">
        <v>18</v>
      </c>
      <c r="C1177" s="7" t="s">
        <v>19</v>
      </c>
      <c r="D1177" s="7"/>
      <c r="E1177" s="7"/>
      <c r="F1177" s="7" t="s">
        <v>29</v>
      </c>
      <c r="G1177" s="7" t="s">
        <v>30</v>
      </c>
      <c r="H1177" s="7" t="s">
        <v>153</v>
      </c>
      <c r="I1177" s="7" t="s">
        <v>155</v>
      </c>
      <c r="J1177" s="8"/>
      <c r="K1177" s="8"/>
      <c r="L1177" s="8"/>
      <c r="M1177" s="8"/>
      <c r="N1177" s="8"/>
      <c r="O1177" s="8"/>
      <c r="P1177" s="8">
        <v>1.9863071358269955</v>
      </c>
      <c r="Q1177" t="s">
        <v>26</v>
      </c>
    </row>
    <row r="1178" spans="1:17" hidden="1" x14ac:dyDescent="0.25">
      <c r="A1178" s="7" t="s">
        <v>17</v>
      </c>
      <c r="B1178" s="7" t="s">
        <v>18</v>
      </c>
      <c r="C1178" s="7" t="s">
        <v>19</v>
      </c>
      <c r="D1178" s="7"/>
      <c r="E1178" s="7"/>
      <c r="F1178" s="7" t="s">
        <v>31</v>
      </c>
      <c r="G1178" s="7" t="s">
        <v>32</v>
      </c>
      <c r="H1178" s="7" t="s">
        <v>153</v>
      </c>
      <c r="I1178" s="7" t="s">
        <v>155</v>
      </c>
      <c r="J1178" s="8"/>
      <c r="K1178" s="8"/>
      <c r="L1178" s="8"/>
      <c r="M1178" s="8"/>
      <c r="N1178" s="8"/>
      <c r="O1178" s="8"/>
      <c r="P1178" s="8">
        <v>44.840145431600554</v>
      </c>
      <c r="Q1178" t="s">
        <v>26</v>
      </c>
    </row>
    <row r="1179" spans="1:17" hidden="1" x14ac:dyDescent="0.25">
      <c r="A1179" s="7" t="s">
        <v>17</v>
      </c>
      <c r="B1179" s="7" t="s">
        <v>18</v>
      </c>
      <c r="C1179" s="7" t="s">
        <v>19</v>
      </c>
      <c r="D1179" s="7"/>
      <c r="E1179" s="7"/>
      <c r="F1179" s="7" t="s">
        <v>33</v>
      </c>
      <c r="G1179" s="7" t="s">
        <v>34</v>
      </c>
      <c r="H1179" s="7" t="s">
        <v>153</v>
      </c>
      <c r="I1179" s="7" t="s">
        <v>155</v>
      </c>
      <c r="J1179" s="8"/>
      <c r="K1179" s="8"/>
      <c r="L1179" s="8"/>
      <c r="M1179" s="8"/>
      <c r="N1179" s="8"/>
      <c r="O1179" s="8"/>
      <c r="P1179" s="8">
        <v>25.004429268842184</v>
      </c>
      <c r="Q1179" t="s">
        <v>26</v>
      </c>
    </row>
    <row r="1180" spans="1:17" hidden="1" x14ac:dyDescent="0.25">
      <c r="A1180" s="7" t="s">
        <v>17</v>
      </c>
      <c r="B1180" s="7" t="s">
        <v>18</v>
      </c>
      <c r="C1180" s="7" t="s">
        <v>19</v>
      </c>
      <c r="D1180" s="7" t="s">
        <v>20</v>
      </c>
      <c r="E1180" s="7" t="s">
        <v>21</v>
      </c>
      <c r="F1180" s="7" t="s">
        <v>35</v>
      </c>
      <c r="G1180" s="7" t="s">
        <v>36</v>
      </c>
      <c r="H1180" s="7" t="s">
        <v>153</v>
      </c>
      <c r="I1180" s="7" t="s">
        <v>155</v>
      </c>
      <c r="J1180" s="8"/>
      <c r="K1180" s="8"/>
      <c r="L1180" s="8"/>
      <c r="M1180" s="8"/>
      <c r="N1180" s="8"/>
      <c r="O1180" s="8"/>
      <c r="P1180" s="8">
        <v>632.81235817903939</v>
      </c>
      <c r="Q1180" t="s">
        <v>26</v>
      </c>
    </row>
    <row r="1181" spans="1:17" hidden="1" x14ac:dyDescent="0.25">
      <c r="A1181" s="7" t="s">
        <v>17</v>
      </c>
      <c r="B1181" s="7" t="s">
        <v>18</v>
      </c>
      <c r="C1181" s="7" t="s">
        <v>19</v>
      </c>
      <c r="D1181" s="7"/>
      <c r="E1181" s="7"/>
      <c r="F1181" s="7" t="s">
        <v>37</v>
      </c>
      <c r="G1181" s="7" t="s">
        <v>38</v>
      </c>
      <c r="H1181" s="7" t="s">
        <v>153</v>
      </c>
      <c r="I1181" s="7" t="s">
        <v>155</v>
      </c>
      <c r="J1181" s="8"/>
      <c r="K1181" s="8"/>
      <c r="L1181" s="8"/>
      <c r="M1181" s="8"/>
      <c r="N1181" s="8"/>
      <c r="O1181" s="8"/>
      <c r="P1181" s="8">
        <v>44.547974471519595</v>
      </c>
      <c r="Q1181" t="s">
        <v>26</v>
      </c>
    </row>
    <row r="1182" spans="1:17" hidden="1" x14ac:dyDescent="0.25">
      <c r="A1182" s="7" t="s">
        <v>17</v>
      </c>
      <c r="B1182" s="7" t="s">
        <v>18</v>
      </c>
      <c r="C1182" s="7" t="s">
        <v>19</v>
      </c>
      <c r="D1182" s="7"/>
      <c r="E1182" s="7"/>
      <c r="F1182" s="7" t="s">
        <v>39</v>
      </c>
      <c r="G1182" s="7" t="s">
        <v>40</v>
      </c>
      <c r="H1182" s="7" t="s">
        <v>153</v>
      </c>
      <c r="I1182" s="7" t="s">
        <v>155</v>
      </c>
      <c r="J1182" s="8"/>
      <c r="K1182" s="8"/>
      <c r="L1182" s="8"/>
      <c r="M1182" s="8"/>
      <c r="N1182" s="8"/>
      <c r="O1182" s="8"/>
      <c r="P1182" s="8">
        <v>5.1254532839464959</v>
      </c>
      <c r="Q1182" t="s">
        <v>26</v>
      </c>
    </row>
    <row r="1183" spans="1:17" hidden="1" x14ac:dyDescent="0.25">
      <c r="A1183" s="7" t="s">
        <v>17</v>
      </c>
      <c r="B1183" s="7" t="s">
        <v>18</v>
      </c>
      <c r="C1183" s="7" t="s">
        <v>19</v>
      </c>
      <c r="D1183" s="7" t="s">
        <v>20</v>
      </c>
      <c r="E1183" s="7" t="s">
        <v>21</v>
      </c>
      <c r="F1183" s="7" t="s">
        <v>41</v>
      </c>
      <c r="G1183" s="7" t="s">
        <v>42</v>
      </c>
      <c r="H1183" s="7" t="s">
        <v>153</v>
      </c>
      <c r="I1183" s="7" t="s">
        <v>155</v>
      </c>
      <c r="J1183" s="8"/>
      <c r="K1183" s="8"/>
      <c r="L1183" s="8"/>
      <c r="M1183" s="8"/>
      <c r="N1183" s="8"/>
      <c r="O1183" s="8"/>
      <c r="P1183" s="8">
        <v>150.65446169570066</v>
      </c>
      <c r="Q1183" t="s">
        <v>26</v>
      </c>
    </row>
    <row r="1184" spans="1:17" hidden="1" x14ac:dyDescent="0.25">
      <c r="A1184" s="7" t="s">
        <v>17</v>
      </c>
      <c r="B1184" s="7" t="s">
        <v>18</v>
      </c>
      <c r="C1184" s="7" t="s">
        <v>19</v>
      </c>
      <c r="D1184" s="7" t="s">
        <v>20</v>
      </c>
      <c r="E1184" s="7" t="s">
        <v>21</v>
      </c>
      <c r="F1184" s="7" t="s">
        <v>43</v>
      </c>
      <c r="G1184" s="7" t="s">
        <v>44</v>
      </c>
      <c r="H1184" s="7" t="s">
        <v>153</v>
      </c>
      <c r="I1184" s="7" t="s">
        <v>155</v>
      </c>
      <c r="J1184" s="8"/>
      <c r="K1184" s="8"/>
      <c r="L1184" s="8"/>
      <c r="M1184" s="8"/>
      <c r="N1184" s="8"/>
      <c r="O1184" s="8"/>
      <c r="P1184" s="8">
        <v>52.448347895061517</v>
      </c>
      <c r="Q1184" t="s">
        <v>26</v>
      </c>
    </row>
    <row r="1185" spans="1:17" hidden="1" x14ac:dyDescent="0.25">
      <c r="A1185" s="7" t="s">
        <v>17</v>
      </c>
      <c r="B1185" s="7" t="s">
        <v>18</v>
      </c>
      <c r="C1185" s="7" t="s">
        <v>19</v>
      </c>
      <c r="D1185" s="7"/>
      <c r="E1185" s="7"/>
      <c r="F1185" s="7" t="s">
        <v>45</v>
      </c>
      <c r="G1185" s="7" t="s">
        <v>46</v>
      </c>
      <c r="H1185" s="7" t="s">
        <v>153</v>
      </c>
      <c r="I1185" s="7" t="s">
        <v>155</v>
      </c>
      <c r="J1185" s="8"/>
      <c r="K1185" s="8"/>
      <c r="L1185" s="8"/>
      <c r="M1185" s="8"/>
      <c r="N1185" s="8"/>
      <c r="O1185" s="8"/>
      <c r="P1185" s="8">
        <v>10.037019095003057</v>
      </c>
      <c r="Q1185" t="s">
        <v>26</v>
      </c>
    </row>
    <row r="1186" spans="1:17" hidden="1" x14ac:dyDescent="0.25">
      <c r="A1186" s="7" t="s">
        <v>17</v>
      </c>
      <c r="B1186" s="7" t="s">
        <v>18</v>
      </c>
      <c r="C1186" s="7" t="s">
        <v>19</v>
      </c>
      <c r="D1186" s="7" t="s">
        <v>20</v>
      </c>
      <c r="E1186" s="7" t="s">
        <v>21</v>
      </c>
      <c r="F1186" s="7" t="s">
        <v>47</v>
      </c>
      <c r="G1186" s="7" t="s">
        <v>48</v>
      </c>
      <c r="H1186" s="7" t="s">
        <v>153</v>
      </c>
      <c r="I1186" s="7" t="s">
        <v>155</v>
      </c>
      <c r="J1186" s="8"/>
      <c r="K1186" s="8"/>
      <c r="L1186" s="8"/>
      <c r="M1186" s="8"/>
      <c r="N1186" s="8"/>
      <c r="O1186" s="8"/>
      <c r="P1186" s="8">
        <v>54.924383850230711</v>
      </c>
      <c r="Q1186" t="s">
        <v>26</v>
      </c>
    </row>
    <row r="1187" spans="1:17" hidden="1" x14ac:dyDescent="0.25">
      <c r="A1187" s="7" t="s">
        <v>17</v>
      </c>
      <c r="B1187" s="7" t="s">
        <v>18</v>
      </c>
      <c r="C1187" s="7" t="s">
        <v>19</v>
      </c>
      <c r="D1187" s="7"/>
      <c r="E1187" s="7"/>
      <c r="F1187" s="7" t="s">
        <v>49</v>
      </c>
      <c r="G1187" s="7" t="s">
        <v>50</v>
      </c>
      <c r="H1187" s="7" t="s">
        <v>153</v>
      </c>
      <c r="I1187" s="7" t="s">
        <v>155</v>
      </c>
      <c r="J1187" s="8"/>
      <c r="K1187" s="8"/>
      <c r="L1187" s="8"/>
      <c r="M1187" s="8"/>
      <c r="N1187" s="8"/>
      <c r="O1187" s="8"/>
      <c r="P1187" s="8">
        <v>18.796834003140404</v>
      </c>
      <c r="Q1187" t="s">
        <v>26</v>
      </c>
    </row>
    <row r="1188" spans="1:17" hidden="1" x14ac:dyDescent="0.25">
      <c r="A1188" s="7" t="s">
        <v>17</v>
      </c>
      <c r="B1188" s="7" t="s">
        <v>18</v>
      </c>
      <c r="C1188" s="7" t="s">
        <v>19</v>
      </c>
      <c r="D1188" s="7"/>
      <c r="E1188" s="7"/>
      <c r="F1188" s="7" t="s">
        <v>51</v>
      </c>
      <c r="G1188" s="7" t="s">
        <v>52</v>
      </c>
      <c r="H1188" s="7" t="s">
        <v>153</v>
      </c>
      <c r="I1188" s="7" t="s">
        <v>155</v>
      </c>
      <c r="J1188" s="8"/>
      <c r="K1188" s="8"/>
      <c r="L1188" s="8"/>
      <c r="M1188" s="8"/>
      <c r="N1188" s="8"/>
      <c r="O1188" s="8"/>
      <c r="P1188" s="8">
        <v>146.13975545146457</v>
      </c>
      <c r="Q1188" t="s">
        <v>26</v>
      </c>
    </row>
    <row r="1189" spans="1:17" hidden="1" x14ac:dyDescent="0.25">
      <c r="A1189" s="7" t="s">
        <v>17</v>
      </c>
      <c r="B1189" s="7" t="s">
        <v>18</v>
      </c>
      <c r="C1189" s="7" t="s">
        <v>19</v>
      </c>
      <c r="D1189" s="7"/>
      <c r="E1189" s="7"/>
      <c r="F1189" s="7" t="s">
        <v>53</v>
      </c>
      <c r="G1189" s="7" t="s">
        <v>54</v>
      </c>
      <c r="H1189" s="7" t="s">
        <v>153</v>
      </c>
      <c r="I1189" s="7" t="s">
        <v>155</v>
      </c>
      <c r="J1189" s="8"/>
      <c r="K1189" s="8"/>
      <c r="L1189" s="8"/>
      <c r="M1189" s="8"/>
      <c r="N1189" s="8"/>
      <c r="O1189" s="8"/>
      <c r="P1189" s="8">
        <v>2.9317785635415761</v>
      </c>
      <c r="Q1189" t="s">
        <v>26</v>
      </c>
    </row>
    <row r="1190" spans="1:17" hidden="1" x14ac:dyDescent="0.25">
      <c r="A1190" s="7" t="s">
        <v>17</v>
      </c>
      <c r="B1190" s="7" t="s">
        <v>18</v>
      </c>
      <c r="C1190" s="7" t="s">
        <v>19</v>
      </c>
      <c r="D1190" s="7"/>
      <c r="E1190" s="7"/>
      <c r="F1190" s="7" t="s">
        <v>55</v>
      </c>
      <c r="G1190" s="7" t="s">
        <v>56</v>
      </c>
      <c r="H1190" s="7" t="s">
        <v>153</v>
      </c>
      <c r="I1190" s="7" t="s">
        <v>155</v>
      </c>
      <c r="J1190" s="8"/>
      <c r="K1190" s="8"/>
      <c r="L1190" s="8"/>
      <c r="M1190" s="8"/>
      <c r="N1190" s="8"/>
      <c r="O1190" s="8"/>
      <c r="P1190" s="8">
        <v>3.8706777632148692</v>
      </c>
      <c r="Q1190" t="s">
        <v>26</v>
      </c>
    </row>
    <row r="1191" spans="1:17" hidden="1" x14ac:dyDescent="0.25">
      <c r="A1191" s="7" t="s">
        <v>17</v>
      </c>
      <c r="B1191" s="7" t="s">
        <v>18</v>
      </c>
      <c r="C1191" s="7" t="s">
        <v>19</v>
      </c>
      <c r="D1191" s="7"/>
      <c r="E1191" s="7"/>
      <c r="F1191" s="7" t="s">
        <v>57</v>
      </c>
      <c r="G1191" s="7" t="s">
        <v>58</v>
      </c>
      <c r="H1191" s="7" t="s">
        <v>153</v>
      </c>
      <c r="I1191" s="7" t="s">
        <v>155</v>
      </c>
      <c r="J1191" s="8"/>
      <c r="K1191" s="8"/>
      <c r="L1191" s="8"/>
      <c r="M1191" s="8"/>
      <c r="N1191" s="8"/>
      <c r="O1191" s="8"/>
      <c r="P1191" s="8">
        <v>86.365434113283328</v>
      </c>
      <c r="Q1191" t="s">
        <v>26</v>
      </c>
    </row>
    <row r="1192" spans="1:17" hidden="1" x14ac:dyDescent="0.25">
      <c r="A1192" s="7" t="s">
        <v>17</v>
      </c>
      <c r="B1192" s="7" t="s">
        <v>18</v>
      </c>
      <c r="C1192" s="7" t="s">
        <v>19</v>
      </c>
      <c r="D1192" s="7" t="s">
        <v>20</v>
      </c>
      <c r="E1192" s="7" t="s">
        <v>21</v>
      </c>
      <c r="F1192" s="7" t="s">
        <v>59</v>
      </c>
      <c r="G1192" s="7" t="s">
        <v>60</v>
      </c>
      <c r="H1192" s="7" t="s">
        <v>153</v>
      </c>
      <c r="I1192" s="7" t="s">
        <v>155</v>
      </c>
      <c r="J1192" s="8"/>
      <c r="K1192" s="8"/>
      <c r="L1192" s="8"/>
      <c r="M1192" s="8"/>
      <c r="N1192" s="8"/>
      <c r="O1192" s="8"/>
      <c r="P1192" s="8">
        <v>290.07180635256753</v>
      </c>
      <c r="Q1192" t="s">
        <v>26</v>
      </c>
    </row>
    <row r="1193" spans="1:17" hidden="1" x14ac:dyDescent="0.25">
      <c r="A1193" s="7" t="s">
        <v>17</v>
      </c>
      <c r="B1193" s="7" t="s">
        <v>18</v>
      </c>
      <c r="C1193" s="7" t="s">
        <v>19</v>
      </c>
      <c r="D1193" s="7" t="s">
        <v>20</v>
      </c>
      <c r="E1193" s="7" t="s">
        <v>21</v>
      </c>
      <c r="F1193" s="7" t="s">
        <v>61</v>
      </c>
      <c r="G1193" s="7" t="s">
        <v>62</v>
      </c>
      <c r="H1193" s="7" t="s">
        <v>153</v>
      </c>
      <c r="I1193" s="7" t="s">
        <v>155</v>
      </c>
      <c r="J1193" s="8"/>
      <c r="K1193" s="8"/>
      <c r="L1193" s="8"/>
      <c r="M1193" s="8"/>
      <c r="N1193" s="8"/>
      <c r="O1193" s="8"/>
      <c r="P1193" s="8">
        <v>152.85767772929961</v>
      </c>
      <c r="Q1193" t="s">
        <v>26</v>
      </c>
    </row>
    <row r="1194" spans="1:17" hidden="1" x14ac:dyDescent="0.25">
      <c r="A1194" s="7" t="s">
        <v>17</v>
      </c>
      <c r="B1194" s="7" t="s">
        <v>18</v>
      </c>
      <c r="C1194" s="7" t="s">
        <v>19</v>
      </c>
      <c r="D1194" s="7"/>
      <c r="E1194" s="7"/>
      <c r="F1194" s="7" t="s">
        <v>63</v>
      </c>
      <c r="G1194" s="7" t="s">
        <v>64</v>
      </c>
      <c r="H1194" s="7" t="s">
        <v>153</v>
      </c>
      <c r="I1194" s="7" t="s">
        <v>155</v>
      </c>
      <c r="J1194" s="8"/>
      <c r="K1194" s="8"/>
      <c r="L1194" s="8"/>
      <c r="M1194" s="8"/>
      <c r="N1194" s="8"/>
      <c r="O1194" s="8"/>
      <c r="P1194" s="8">
        <v>8.548981218716996</v>
      </c>
      <c r="Q1194" t="s">
        <v>26</v>
      </c>
    </row>
    <row r="1195" spans="1:17" hidden="1" x14ac:dyDescent="0.25">
      <c r="A1195" s="7" t="s">
        <v>17</v>
      </c>
      <c r="B1195" s="7" t="s">
        <v>18</v>
      </c>
      <c r="C1195" s="7" t="s">
        <v>19</v>
      </c>
      <c r="D1195" s="7" t="s">
        <v>20</v>
      </c>
      <c r="E1195" s="7" t="s">
        <v>21</v>
      </c>
      <c r="F1195" s="7" t="s">
        <v>65</v>
      </c>
      <c r="G1195" s="7" t="s">
        <v>66</v>
      </c>
      <c r="H1195" s="7" t="s">
        <v>153</v>
      </c>
      <c r="I1195" s="7" t="s">
        <v>155</v>
      </c>
      <c r="J1195" s="8"/>
      <c r="K1195" s="8"/>
      <c r="L1195" s="8"/>
      <c r="M1195" s="8"/>
      <c r="N1195" s="8"/>
      <c r="O1195" s="8"/>
      <c r="P1195" s="8">
        <v>444.97796391104504</v>
      </c>
      <c r="Q1195" t="s">
        <v>26</v>
      </c>
    </row>
    <row r="1196" spans="1:17" hidden="1" x14ac:dyDescent="0.25">
      <c r="A1196" s="7" t="s">
        <v>17</v>
      </c>
      <c r="B1196" s="7" t="s">
        <v>18</v>
      </c>
      <c r="C1196" s="7" t="s">
        <v>19</v>
      </c>
      <c r="D1196" s="7"/>
      <c r="E1196" s="7"/>
      <c r="F1196" s="7" t="s">
        <v>67</v>
      </c>
      <c r="G1196" s="7" t="s">
        <v>68</v>
      </c>
      <c r="H1196" s="7" t="s">
        <v>153</v>
      </c>
      <c r="I1196" s="7" t="s">
        <v>155</v>
      </c>
      <c r="J1196" s="8"/>
      <c r="K1196" s="8"/>
      <c r="L1196" s="8"/>
      <c r="M1196" s="8"/>
      <c r="N1196" s="8"/>
      <c r="O1196" s="8"/>
      <c r="P1196" s="8">
        <v>30.027696432397764</v>
      </c>
      <c r="Q1196" t="s">
        <v>26</v>
      </c>
    </row>
    <row r="1197" spans="1:17" hidden="1" x14ac:dyDescent="0.25">
      <c r="A1197" s="7" t="s">
        <v>17</v>
      </c>
      <c r="B1197" s="7" t="s">
        <v>18</v>
      </c>
      <c r="C1197" s="7" t="s">
        <v>19</v>
      </c>
      <c r="D1197" s="7"/>
      <c r="E1197" s="7"/>
      <c r="F1197" s="7" t="s">
        <v>69</v>
      </c>
      <c r="G1197" s="7" t="s">
        <v>70</v>
      </c>
      <c r="H1197" s="7" t="s">
        <v>153</v>
      </c>
      <c r="I1197" s="7" t="s">
        <v>155</v>
      </c>
      <c r="J1197" s="8"/>
      <c r="K1197" s="8"/>
      <c r="L1197" s="8"/>
      <c r="M1197" s="8"/>
      <c r="N1197" s="8"/>
      <c r="O1197" s="8"/>
      <c r="P1197" s="8">
        <v>1.8211414078304111</v>
      </c>
      <c r="Q1197" t="s">
        <v>26</v>
      </c>
    </row>
    <row r="1198" spans="1:17" hidden="1" x14ac:dyDescent="0.25">
      <c r="A1198" s="7" t="s">
        <v>17</v>
      </c>
      <c r="B1198" s="7" t="s">
        <v>18</v>
      </c>
      <c r="C1198" s="7" t="s">
        <v>19</v>
      </c>
      <c r="D1198" s="7"/>
      <c r="E1198" s="7"/>
      <c r="F1198" s="7" t="s">
        <v>71</v>
      </c>
      <c r="G1198" s="7" t="s">
        <v>72</v>
      </c>
      <c r="H1198" s="7" t="s">
        <v>153</v>
      </c>
      <c r="I1198" s="7" t="s">
        <v>155</v>
      </c>
      <c r="J1198" s="8"/>
      <c r="K1198" s="8"/>
      <c r="L1198" s="8"/>
      <c r="M1198" s="8"/>
      <c r="N1198" s="8"/>
      <c r="O1198" s="8"/>
      <c r="P1198" s="8">
        <v>13.803147464299885</v>
      </c>
      <c r="Q1198" t="s">
        <v>26</v>
      </c>
    </row>
    <row r="1199" spans="1:17" hidden="1" x14ac:dyDescent="0.25">
      <c r="A1199" s="7" t="s">
        <v>17</v>
      </c>
      <c r="B1199" s="7" t="s">
        <v>18</v>
      </c>
      <c r="C1199" s="7" t="s">
        <v>19</v>
      </c>
      <c r="D1199" s="7" t="s">
        <v>20</v>
      </c>
      <c r="E1199" s="7" t="s">
        <v>21</v>
      </c>
      <c r="F1199" s="7" t="s">
        <v>73</v>
      </c>
      <c r="G1199" s="7" t="s">
        <v>74</v>
      </c>
      <c r="H1199" s="7" t="s">
        <v>153</v>
      </c>
      <c r="I1199" s="7" t="s">
        <v>155</v>
      </c>
      <c r="J1199" s="8"/>
      <c r="K1199" s="8"/>
      <c r="L1199" s="8"/>
      <c r="M1199" s="8"/>
      <c r="N1199" s="8"/>
      <c r="O1199" s="8"/>
      <c r="P1199" s="8">
        <v>103.44050886950058</v>
      </c>
      <c r="Q1199" t="s">
        <v>26</v>
      </c>
    </row>
    <row r="1200" spans="1:17" hidden="1" x14ac:dyDescent="0.25">
      <c r="A1200" s="7" t="s">
        <v>17</v>
      </c>
      <c r="B1200" s="7" t="s">
        <v>18</v>
      </c>
      <c r="C1200" s="7" t="s">
        <v>19</v>
      </c>
      <c r="D1200" s="7" t="s">
        <v>20</v>
      </c>
      <c r="E1200" s="7" t="s">
        <v>21</v>
      </c>
      <c r="F1200" s="7" t="s">
        <v>75</v>
      </c>
      <c r="G1200" s="7" t="s">
        <v>76</v>
      </c>
      <c r="H1200" s="7" t="s">
        <v>153</v>
      </c>
      <c r="I1200" s="7" t="s">
        <v>155</v>
      </c>
      <c r="J1200" s="8"/>
      <c r="K1200" s="8"/>
      <c r="L1200" s="8"/>
      <c r="M1200" s="8"/>
      <c r="N1200" s="8"/>
      <c r="O1200" s="8"/>
      <c r="P1200" s="8">
        <v>671.97755558731524</v>
      </c>
      <c r="Q1200" t="s">
        <v>26</v>
      </c>
    </row>
    <row r="1201" spans="1:17" hidden="1" x14ac:dyDescent="0.25">
      <c r="A1201" s="7" t="s">
        <v>17</v>
      </c>
      <c r="B1201" s="7" t="s">
        <v>18</v>
      </c>
      <c r="C1201" s="7" t="s">
        <v>19</v>
      </c>
      <c r="D1201" s="7"/>
      <c r="E1201" s="7"/>
      <c r="F1201" s="7" t="s">
        <v>77</v>
      </c>
      <c r="G1201" s="7" t="s">
        <v>78</v>
      </c>
      <c r="H1201" s="7" t="s">
        <v>153</v>
      </c>
      <c r="I1201" s="7" t="s">
        <v>155</v>
      </c>
      <c r="J1201" s="8"/>
      <c r="K1201" s="8"/>
      <c r="L1201" s="8"/>
      <c r="M1201" s="8"/>
      <c r="N1201" s="8"/>
      <c r="O1201" s="8"/>
      <c r="P1201" s="8">
        <v>2.8743756270833249</v>
      </c>
      <c r="Q1201" t="s">
        <v>26</v>
      </c>
    </row>
    <row r="1202" spans="1:17" hidden="1" x14ac:dyDescent="0.25">
      <c r="A1202" s="7" t="s">
        <v>17</v>
      </c>
      <c r="B1202" s="7" t="s">
        <v>18</v>
      </c>
      <c r="C1202" s="7" t="s">
        <v>19</v>
      </c>
      <c r="D1202" s="7"/>
      <c r="E1202" s="7"/>
      <c r="F1202" s="7" t="s">
        <v>79</v>
      </c>
      <c r="G1202" s="7" t="s">
        <v>80</v>
      </c>
      <c r="H1202" s="7" t="s">
        <v>153</v>
      </c>
      <c r="I1202" s="7" t="s">
        <v>155</v>
      </c>
      <c r="J1202" s="8"/>
      <c r="K1202" s="8"/>
      <c r="L1202" s="8"/>
      <c r="M1202" s="8"/>
      <c r="N1202" s="8"/>
      <c r="O1202" s="8"/>
      <c r="P1202" s="8">
        <v>2.4973974487831372</v>
      </c>
      <c r="Q1202" t="s">
        <v>26</v>
      </c>
    </row>
    <row r="1203" spans="1:17" hidden="1" x14ac:dyDescent="0.25">
      <c r="A1203" s="7" t="s">
        <v>17</v>
      </c>
      <c r="B1203" s="7" t="s">
        <v>18</v>
      </c>
      <c r="C1203" s="7" t="s">
        <v>19</v>
      </c>
      <c r="D1203" s="7"/>
      <c r="E1203" s="7"/>
      <c r="F1203" s="7" t="s">
        <v>81</v>
      </c>
      <c r="G1203" s="7" t="s">
        <v>82</v>
      </c>
      <c r="H1203" s="7" t="s">
        <v>153</v>
      </c>
      <c r="I1203" s="7" t="s">
        <v>155</v>
      </c>
      <c r="J1203" s="8"/>
      <c r="K1203" s="8"/>
      <c r="L1203" s="8"/>
      <c r="M1203" s="8"/>
      <c r="N1203" s="8"/>
      <c r="O1203" s="8"/>
      <c r="P1203" s="8">
        <v>11.180474808064838</v>
      </c>
      <c r="Q1203" t="s">
        <v>26</v>
      </c>
    </row>
    <row r="1204" spans="1:17" hidden="1" x14ac:dyDescent="0.25">
      <c r="A1204" s="7" t="s">
        <v>17</v>
      </c>
      <c r="B1204" s="7" t="s">
        <v>18</v>
      </c>
      <c r="C1204" s="7" t="s">
        <v>19</v>
      </c>
      <c r="D1204" s="7"/>
      <c r="E1204" s="7"/>
      <c r="F1204" s="7" t="s">
        <v>83</v>
      </c>
      <c r="G1204" s="7" t="s">
        <v>84</v>
      </c>
      <c r="H1204" s="7" t="s">
        <v>153</v>
      </c>
      <c r="I1204" s="7" t="s">
        <v>155</v>
      </c>
      <c r="J1204" s="8"/>
      <c r="K1204" s="8"/>
      <c r="L1204" s="8"/>
      <c r="M1204" s="8"/>
      <c r="N1204" s="8"/>
      <c r="O1204" s="8"/>
      <c r="P1204" s="8">
        <v>5.653281227856997</v>
      </c>
      <c r="Q1204" t="s">
        <v>26</v>
      </c>
    </row>
    <row r="1205" spans="1:17" hidden="1" x14ac:dyDescent="0.25">
      <c r="A1205" s="7" t="s">
        <v>17</v>
      </c>
      <c r="B1205" s="7" t="s">
        <v>18</v>
      </c>
      <c r="C1205" s="7" t="s">
        <v>19</v>
      </c>
      <c r="D1205" s="7" t="s">
        <v>20</v>
      </c>
      <c r="E1205" s="7" t="s">
        <v>21</v>
      </c>
      <c r="F1205" s="7" t="s">
        <v>85</v>
      </c>
      <c r="G1205" s="7" t="s">
        <v>86</v>
      </c>
      <c r="H1205" s="7" t="s">
        <v>153</v>
      </c>
      <c r="I1205" s="7" t="s">
        <v>155</v>
      </c>
      <c r="J1205" s="8"/>
      <c r="K1205" s="8"/>
      <c r="L1205" s="8"/>
      <c r="M1205" s="8"/>
      <c r="N1205" s="8"/>
      <c r="O1205" s="8"/>
      <c r="P1205" s="8">
        <v>381.6606039147639</v>
      </c>
      <c r="Q1205" t="s">
        <v>26</v>
      </c>
    </row>
    <row r="1206" spans="1:17" hidden="1" x14ac:dyDescent="0.25">
      <c r="A1206" s="7" t="s">
        <v>17</v>
      </c>
      <c r="B1206" s="7" t="s">
        <v>18</v>
      </c>
      <c r="C1206" s="7" t="s">
        <v>19</v>
      </c>
      <c r="D1206" s="7"/>
      <c r="E1206" s="7"/>
      <c r="F1206" s="7" t="s">
        <v>87</v>
      </c>
      <c r="G1206" s="7" t="s">
        <v>88</v>
      </c>
      <c r="H1206" s="7" t="s">
        <v>153</v>
      </c>
      <c r="I1206" s="7" t="s">
        <v>155</v>
      </c>
      <c r="J1206" s="8"/>
      <c r="K1206" s="8"/>
      <c r="L1206" s="8"/>
      <c r="M1206" s="8"/>
      <c r="N1206" s="8"/>
      <c r="O1206" s="8"/>
      <c r="P1206" s="8">
        <v>7.6103674822657412</v>
      </c>
      <c r="Q1206" t="s">
        <v>26</v>
      </c>
    </row>
    <row r="1207" spans="1:17" hidden="1" x14ac:dyDescent="0.25">
      <c r="A1207" s="7" t="s">
        <v>17</v>
      </c>
      <c r="B1207" s="7" t="s">
        <v>18</v>
      </c>
      <c r="C1207" s="7" t="s">
        <v>19</v>
      </c>
      <c r="D1207" s="7"/>
      <c r="E1207" s="7"/>
      <c r="F1207" s="7" t="s">
        <v>89</v>
      </c>
      <c r="G1207" s="7" t="s">
        <v>90</v>
      </c>
      <c r="H1207" s="7" t="s">
        <v>153</v>
      </c>
      <c r="I1207" s="7" t="s">
        <v>155</v>
      </c>
      <c r="J1207" s="8"/>
      <c r="K1207" s="8"/>
      <c r="L1207" s="8"/>
      <c r="M1207" s="8"/>
      <c r="N1207" s="8"/>
      <c r="O1207" s="8"/>
      <c r="P1207" s="8">
        <v>132.3683577338669</v>
      </c>
      <c r="Q1207" t="s">
        <v>26</v>
      </c>
    </row>
    <row r="1208" spans="1:17" hidden="1" x14ac:dyDescent="0.25">
      <c r="A1208" s="7" t="s">
        <v>17</v>
      </c>
      <c r="B1208" s="7" t="s">
        <v>18</v>
      </c>
      <c r="C1208" s="7" t="s">
        <v>19</v>
      </c>
      <c r="D1208" s="7"/>
      <c r="E1208" s="7"/>
      <c r="F1208" s="7" t="s">
        <v>91</v>
      </c>
      <c r="G1208" s="7" t="s">
        <v>92</v>
      </c>
      <c r="H1208" s="7" t="s">
        <v>153</v>
      </c>
      <c r="I1208" s="7" t="s">
        <v>155</v>
      </c>
      <c r="J1208" s="8"/>
      <c r="K1208" s="8"/>
      <c r="L1208" s="8"/>
      <c r="M1208" s="8"/>
      <c r="N1208" s="8"/>
      <c r="O1208" s="8"/>
      <c r="P1208" s="8">
        <v>6.8512731724739471</v>
      </c>
      <c r="Q1208" t="s">
        <v>26</v>
      </c>
    </row>
    <row r="1209" spans="1:17" hidden="1" x14ac:dyDescent="0.25">
      <c r="A1209" s="7" t="s">
        <v>17</v>
      </c>
      <c r="B1209" s="7" t="s">
        <v>18</v>
      </c>
      <c r="C1209" s="7" t="s">
        <v>19</v>
      </c>
      <c r="D1209" s="7"/>
      <c r="E1209" s="7"/>
      <c r="F1209" s="7" t="s">
        <v>93</v>
      </c>
      <c r="G1209" s="7" t="s">
        <v>94</v>
      </c>
      <c r="H1209" s="7" t="s">
        <v>153</v>
      </c>
      <c r="I1209" s="7" t="s">
        <v>155</v>
      </c>
      <c r="J1209" s="8"/>
      <c r="K1209" s="8"/>
      <c r="L1209" s="8"/>
      <c r="M1209" s="8"/>
      <c r="N1209" s="8"/>
      <c r="O1209" s="8"/>
      <c r="P1209" s="8">
        <v>1.3616268192253504</v>
      </c>
      <c r="Q1209" t="s">
        <v>26</v>
      </c>
    </row>
    <row r="1210" spans="1:17" hidden="1" x14ac:dyDescent="0.25">
      <c r="A1210" s="7" t="s">
        <v>17</v>
      </c>
      <c r="B1210" s="7" t="s">
        <v>18</v>
      </c>
      <c r="C1210" s="7" t="s">
        <v>19</v>
      </c>
      <c r="D1210" s="7"/>
      <c r="E1210" s="7"/>
      <c r="F1210" s="7" t="s">
        <v>95</v>
      </c>
      <c r="G1210" s="7" t="s">
        <v>96</v>
      </c>
      <c r="H1210" s="7" t="s">
        <v>153</v>
      </c>
      <c r="I1210" s="7" t="s">
        <v>155</v>
      </c>
      <c r="J1210" s="8"/>
      <c r="K1210" s="8"/>
      <c r="L1210" s="8"/>
      <c r="M1210" s="8"/>
      <c r="N1210" s="8"/>
      <c r="O1210" s="8"/>
      <c r="P1210" s="8">
        <v>33.481165146764326</v>
      </c>
      <c r="Q1210" t="s">
        <v>26</v>
      </c>
    </row>
    <row r="1211" spans="1:17" hidden="1" x14ac:dyDescent="0.25">
      <c r="A1211" s="7" t="s">
        <v>17</v>
      </c>
      <c r="B1211" s="7" t="s">
        <v>18</v>
      </c>
      <c r="C1211" s="7" t="s">
        <v>19</v>
      </c>
      <c r="D1211" s="7"/>
      <c r="E1211" s="7"/>
      <c r="F1211" s="7" t="s">
        <v>97</v>
      </c>
      <c r="G1211" s="7" t="s">
        <v>98</v>
      </c>
      <c r="H1211" s="7" t="s">
        <v>153</v>
      </c>
      <c r="I1211" s="7" t="s">
        <v>155</v>
      </c>
      <c r="J1211" s="8"/>
      <c r="K1211" s="8"/>
      <c r="L1211" s="8"/>
      <c r="M1211" s="8"/>
      <c r="N1211" s="8"/>
      <c r="O1211" s="8"/>
      <c r="P1211" s="8">
        <v>8.8472475428815454</v>
      </c>
      <c r="Q1211" t="s">
        <v>26</v>
      </c>
    </row>
    <row r="1212" spans="1:17" hidden="1" x14ac:dyDescent="0.25">
      <c r="A1212" s="7" t="s">
        <v>17</v>
      </c>
      <c r="B1212" s="7" t="s">
        <v>18</v>
      </c>
      <c r="C1212" s="7" t="s">
        <v>19</v>
      </c>
      <c r="D1212" s="7"/>
      <c r="E1212" s="7"/>
      <c r="F1212" s="7" t="s">
        <v>99</v>
      </c>
      <c r="G1212" s="7" t="s">
        <v>100</v>
      </c>
      <c r="H1212" s="7" t="s">
        <v>153</v>
      </c>
      <c r="I1212" s="7" t="s">
        <v>155</v>
      </c>
      <c r="J1212" s="8"/>
      <c r="K1212" s="8"/>
      <c r="L1212" s="8"/>
      <c r="M1212" s="8"/>
      <c r="N1212" s="8"/>
      <c r="O1212" s="8"/>
      <c r="P1212" s="8">
        <v>99.131497713258483</v>
      </c>
      <c r="Q1212" t="s">
        <v>26</v>
      </c>
    </row>
    <row r="1213" spans="1:17" hidden="1" x14ac:dyDescent="0.25">
      <c r="A1213" s="7" t="s">
        <v>17</v>
      </c>
      <c r="B1213" s="7" t="s">
        <v>18</v>
      </c>
      <c r="C1213" s="7" t="s">
        <v>19</v>
      </c>
      <c r="D1213" s="7" t="s">
        <v>20</v>
      </c>
      <c r="E1213" s="7" t="s">
        <v>21</v>
      </c>
      <c r="F1213" s="7" t="s">
        <v>101</v>
      </c>
      <c r="G1213" s="7" t="s">
        <v>21</v>
      </c>
      <c r="H1213" s="7" t="s">
        <v>153</v>
      </c>
      <c r="I1213" s="7" t="s">
        <v>155</v>
      </c>
      <c r="J1213" s="8"/>
      <c r="K1213" s="8"/>
      <c r="L1213" s="8"/>
      <c r="M1213" s="8"/>
      <c r="N1213" s="8"/>
      <c r="O1213" s="8"/>
      <c r="P1213" s="8">
        <v>924.98786571128437</v>
      </c>
      <c r="Q1213" t="s">
        <v>26</v>
      </c>
    </row>
    <row r="1214" spans="1:17" hidden="1" x14ac:dyDescent="0.25">
      <c r="A1214" s="7" t="s">
        <v>17</v>
      </c>
      <c r="B1214" s="7" t="s">
        <v>18</v>
      </c>
      <c r="C1214" s="7" t="s">
        <v>19</v>
      </c>
      <c r="D1214" s="7"/>
      <c r="E1214" s="7"/>
      <c r="F1214" s="7" t="s">
        <v>102</v>
      </c>
      <c r="G1214" s="7" t="s">
        <v>103</v>
      </c>
      <c r="H1214" s="7" t="s">
        <v>153</v>
      </c>
      <c r="I1214" s="7" t="s">
        <v>155</v>
      </c>
      <c r="J1214" s="8"/>
      <c r="K1214" s="8"/>
      <c r="L1214" s="8"/>
      <c r="M1214" s="8"/>
      <c r="N1214" s="8"/>
      <c r="O1214" s="8"/>
      <c r="P1214" s="8">
        <v>1.6936710015393326</v>
      </c>
      <c r="Q1214" t="s">
        <v>26</v>
      </c>
    </row>
    <row r="1215" spans="1:17" hidden="1" x14ac:dyDescent="0.25">
      <c r="A1215" s="7" t="s">
        <v>17</v>
      </c>
      <c r="B1215" s="7" t="s">
        <v>18</v>
      </c>
      <c r="C1215" s="7" t="s">
        <v>19</v>
      </c>
      <c r="D1215" s="7" t="s">
        <v>20</v>
      </c>
      <c r="E1215" s="7" t="s">
        <v>21</v>
      </c>
      <c r="F1215" s="7" t="s">
        <v>104</v>
      </c>
      <c r="G1215" s="7" t="s">
        <v>105</v>
      </c>
      <c r="H1215" s="7" t="s">
        <v>153</v>
      </c>
      <c r="I1215" s="7" t="s">
        <v>155</v>
      </c>
      <c r="J1215" s="8"/>
      <c r="K1215" s="8"/>
      <c r="L1215" s="8"/>
      <c r="M1215" s="8"/>
      <c r="N1215" s="8"/>
      <c r="O1215" s="8"/>
      <c r="P1215" s="8">
        <v>125.85033250552777</v>
      </c>
      <c r="Q1215" t="s">
        <v>26</v>
      </c>
    </row>
    <row r="1216" spans="1:17" hidden="1" x14ac:dyDescent="0.25">
      <c r="A1216" s="7" t="s">
        <v>17</v>
      </c>
      <c r="B1216" s="7" t="s">
        <v>18</v>
      </c>
      <c r="C1216" s="7" t="s">
        <v>19</v>
      </c>
      <c r="D1216" s="7"/>
      <c r="E1216" s="7"/>
      <c r="F1216" s="7" t="s">
        <v>106</v>
      </c>
      <c r="G1216" s="7" t="s">
        <v>107</v>
      </c>
      <c r="H1216" s="7" t="s">
        <v>153</v>
      </c>
      <c r="I1216" s="7" t="s">
        <v>155</v>
      </c>
      <c r="J1216" s="8"/>
      <c r="K1216" s="8"/>
      <c r="L1216" s="8"/>
      <c r="M1216" s="8"/>
      <c r="N1216" s="8"/>
      <c r="O1216" s="8"/>
      <c r="P1216" s="8">
        <v>9.0245070773667386</v>
      </c>
      <c r="Q1216" t="s">
        <v>26</v>
      </c>
    </row>
    <row r="1217" spans="1:17" hidden="1" x14ac:dyDescent="0.25">
      <c r="A1217" s="7" t="s">
        <v>17</v>
      </c>
      <c r="B1217" s="7" t="s">
        <v>18</v>
      </c>
      <c r="C1217" s="7" t="s">
        <v>19</v>
      </c>
      <c r="D1217" s="7"/>
      <c r="E1217" s="7"/>
      <c r="F1217" s="7" t="s">
        <v>108</v>
      </c>
      <c r="G1217" s="7" t="s">
        <v>109</v>
      </c>
      <c r="H1217" s="7" t="s">
        <v>153</v>
      </c>
      <c r="I1217" s="7" t="s">
        <v>155</v>
      </c>
      <c r="J1217" s="8"/>
      <c r="K1217" s="8"/>
      <c r="L1217" s="8"/>
      <c r="M1217" s="8"/>
      <c r="N1217" s="8"/>
      <c r="O1217" s="8"/>
      <c r="P1217" s="8">
        <v>5.315503125517516</v>
      </c>
      <c r="Q1217" t="s">
        <v>26</v>
      </c>
    </row>
    <row r="1218" spans="1:17" hidden="1" x14ac:dyDescent="0.25">
      <c r="A1218" s="7" t="s">
        <v>17</v>
      </c>
      <c r="B1218" s="7" t="s">
        <v>18</v>
      </c>
      <c r="C1218" s="7" t="s">
        <v>19</v>
      </c>
      <c r="D1218" s="7"/>
      <c r="E1218" s="7"/>
      <c r="F1218" s="7" t="s">
        <v>110</v>
      </c>
      <c r="G1218" s="7" t="s">
        <v>111</v>
      </c>
      <c r="H1218" s="7" t="s">
        <v>153</v>
      </c>
      <c r="I1218" s="7" t="s">
        <v>155</v>
      </c>
      <c r="J1218" s="8"/>
      <c r="K1218" s="8"/>
      <c r="L1218" s="8"/>
      <c r="M1218" s="8"/>
      <c r="N1218" s="8"/>
      <c r="O1218" s="8"/>
      <c r="P1218" s="8">
        <v>43.741479795838636</v>
      </c>
      <c r="Q1218" t="s">
        <v>26</v>
      </c>
    </row>
    <row r="1219" spans="1:17" hidden="1" x14ac:dyDescent="0.25">
      <c r="A1219" s="7" t="s">
        <v>17</v>
      </c>
      <c r="B1219" s="7" t="s">
        <v>18</v>
      </c>
      <c r="C1219" s="7" t="s">
        <v>19</v>
      </c>
      <c r="D1219" s="7" t="s">
        <v>20</v>
      </c>
      <c r="E1219" s="7" t="s">
        <v>21</v>
      </c>
      <c r="F1219" s="7" t="s">
        <v>112</v>
      </c>
      <c r="G1219" s="7" t="s">
        <v>113</v>
      </c>
      <c r="H1219" s="7" t="s">
        <v>153</v>
      </c>
      <c r="I1219" s="7" t="s">
        <v>155</v>
      </c>
      <c r="J1219" s="8"/>
      <c r="K1219" s="8"/>
      <c r="L1219" s="8"/>
      <c r="M1219" s="8"/>
      <c r="N1219" s="8"/>
      <c r="O1219" s="8"/>
      <c r="P1219" s="8">
        <v>84.61430870321783</v>
      </c>
      <c r="Q1219" t="s">
        <v>26</v>
      </c>
    </row>
    <row r="1220" spans="1:17" hidden="1" x14ac:dyDescent="0.25">
      <c r="A1220" s="7" t="s">
        <v>17</v>
      </c>
      <c r="B1220" s="7" t="s">
        <v>18</v>
      </c>
      <c r="C1220" s="7" t="s">
        <v>19</v>
      </c>
      <c r="D1220" s="7" t="s">
        <v>20</v>
      </c>
      <c r="E1220" s="7" t="s">
        <v>21</v>
      </c>
      <c r="F1220" s="7" t="s">
        <v>114</v>
      </c>
      <c r="G1220" s="7" t="s">
        <v>115</v>
      </c>
      <c r="H1220" s="7" t="s">
        <v>153</v>
      </c>
      <c r="I1220" s="7" t="s">
        <v>155</v>
      </c>
      <c r="J1220" s="8"/>
      <c r="K1220" s="8"/>
      <c r="L1220" s="8"/>
      <c r="M1220" s="8"/>
      <c r="N1220" s="8"/>
      <c r="O1220" s="8"/>
      <c r="P1220" s="8">
        <v>440.40775959738176</v>
      </c>
      <c r="Q1220" t="s">
        <v>26</v>
      </c>
    </row>
    <row r="1221" spans="1:17" hidden="1" x14ac:dyDescent="0.25">
      <c r="A1221" s="7" t="s">
        <v>17</v>
      </c>
      <c r="B1221" s="7" t="s">
        <v>18</v>
      </c>
      <c r="C1221" s="7" t="s">
        <v>19</v>
      </c>
      <c r="D1221" s="7" t="s">
        <v>20</v>
      </c>
      <c r="E1221" s="7" t="s">
        <v>21</v>
      </c>
      <c r="F1221" s="7" t="s">
        <v>116</v>
      </c>
      <c r="G1221" s="7" t="s">
        <v>117</v>
      </c>
      <c r="H1221" s="7" t="s">
        <v>153</v>
      </c>
      <c r="I1221" s="7" t="s">
        <v>155</v>
      </c>
      <c r="J1221" s="8"/>
      <c r="K1221" s="8"/>
      <c r="L1221" s="8"/>
      <c r="M1221" s="8"/>
      <c r="N1221" s="8"/>
      <c r="O1221" s="8"/>
      <c r="P1221" s="8">
        <v>23.319511506657093</v>
      </c>
      <c r="Q1221" t="s">
        <v>26</v>
      </c>
    </row>
    <row r="1222" spans="1:17" hidden="1" x14ac:dyDescent="0.25">
      <c r="A1222" s="7" t="s">
        <v>17</v>
      </c>
      <c r="B1222" s="7" t="s">
        <v>18</v>
      </c>
      <c r="C1222" s="7" t="s">
        <v>19</v>
      </c>
      <c r="D1222" s="7" t="s">
        <v>20</v>
      </c>
      <c r="E1222" s="7" t="s">
        <v>21</v>
      </c>
      <c r="F1222" s="7" t="s">
        <v>118</v>
      </c>
      <c r="G1222" s="7" t="s">
        <v>119</v>
      </c>
      <c r="H1222" s="7" t="s">
        <v>153</v>
      </c>
      <c r="I1222" s="7" t="s">
        <v>155</v>
      </c>
      <c r="J1222" s="8"/>
      <c r="K1222" s="8"/>
      <c r="L1222" s="8"/>
      <c r="M1222" s="8"/>
      <c r="N1222" s="8"/>
      <c r="O1222" s="8"/>
      <c r="P1222" s="8">
        <v>323.63859914967816</v>
      </c>
      <c r="Q1222" t="s">
        <v>26</v>
      </c>
    </row>
    <row r="1223" spans="1:17" hidden="1" x14ac:dyDescent="0.25">
      <c r="A1223" s="7" t="s">
        <v>17</v>
      </c>
      <c r="B1223" s="7" t="s">
        <v>18</v>
      </c>
      <c r="C1223" s="7" t="s">
        <v>19</v>
      </c>
      <c r="D1223" s="7" t="s">
        <v>20</v>
      </c>
      <c r="E1223" s="7" t="s">
        <v>21</v>
      </c>
      <c r="F1223" s="7" t="s">
        <v>120</v>
      </c>
      <c r="G1223" s="7" t="s">
        <v>121</v>
      </c>
      <c r="H1223" s="7" t="s">
        <v>153</v>
      </c>
      <c r="I1223" s="7" t="s">
        <v>155</v>
      </c>
      <c r="J1223" s="8"/>
      <c r="K1223" s="8"/>
      <c r="L1223" s="8"/>
      <c r="M1223" s="8"/>
      <c r="N1223" s="8"/>
      <c r="O1223" s="8"/>
      <c r="P1223" s="8">
        <v>51.736472331461101</v>
      </c>
      <c r="Q1223" t="s">
        <v>26</v>
      </c>
    </row>
    <row r="1224" spans="1:17" hidden="1" x14ac:dyDescent="0.25">
      <c r="A1224" s="7" t="s">
        <v>17</v>
      </c>
      <c r="B1224" s="7" t="s">
        <v>18</v>
      </c>
      <c r="C1224" s="7" t="s">
        <v>19</v>
      </c>
      <c r="D1224" s="7"/>
      <c r="E1224" s="7"/>
      <c r="F1224" s="7" t="s">
        <v>122</v>
      </c>
      <c r="G1224" s="7" t="s">
        <v>123</v>
      </c>
      <c r="H1224" s="7" t="s">
        <v>153</v>
      </c>
      <c r="I1224" s="7" t="s">
        <v>155</v>
      </c>
      <c r="J1224" s="8"/>
      <c r="K1224" s="8"/>
      <c r="L1224" s="8"/>
      <c r="M1224" s="8"/>
      <c r="N1224" s="8"/>
      <c r="O1224" s="8"/>
      <c r="P1224" s="8">
        <v>3.9635024625844109</v>
      </c>
      <c r="Q1224" t="s">
        <v>26</v>
      </c>
    </row>
    <row r="1225" spans="1:17" hidden="1" x14ac:dyDescent="0.25">
      <c r="A1225" s="7" t="s">
        <v>17</v>
      </c>
      <c r="B1225" s="7" t="s">
        <v>18</v>
      </c>
      <c r="C1225" s="7" t="s">
        <v>19</v>
      </c>
      <c r="D1225" s="7"/>
      <c r="E1225" s="7"/>
      <c r="F1225" s="7" t="s">
        <v>124</v>
      </c>
      <c r="G1225" s="7" t="s">
        <v>125</v>
      </c>
      <c r="H1225" s="7" t="s">
        <v>153</v>
      </c>
      <c r="I1225" s="7" t="s">
        <v>155</v>
      </c>
      <c r="J1225" s="8"/>
      <c r="K1225" s="8"/>
      <c r="L1225" s="8"/>
      <c r="M1225" s="8"/>
      <c r="N1225" s="8"/>
      <c r="O1225" s="8"/>
      <c r="P1225" s="8">
        <v>6.501518789336024</v>
      </c>
      <c r="Q1225" t="s">
        <v>26</v>
      </c>
    </row>
    <row r="1226" spans="1:17" hidden="1" x14ac:dyDescent="0.25">
      <c r="A1226" s="7" t="s">
        <v>17</v>
      </c>
      <c r="B1226" s="7" t="s">
        <v>18</v>
      </c>
      <c r="C1226" s="7" t="s">
        <v>19</v>
      </c>
      <c r="D1226" s="7" t="s">
        <v>20</v>
      </c>
      <c r="E1226" s="7" t="s">
        <v>21</v>
      </c>
      <c r="F1226" s="7" t="s">
        <v>22</v>
      </c>
      <c r="G1226" s="7" t="s">
        <v>23</v>
      </c>
      <c r="H1226" s="7" t="s">
        <v>153</v>
      </c>
      <c r="I1226" s="7" t="s">
        <v>156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t="s">
        <v>137</v>
      </c>
    </row>
    <row r="1227" spans="1:17" hidden="1" x14ac:dyDescent="0.25">
      <c r="A1227" s="7" t="s">
        <v>17</v>
      </c>
      <c r="B1227" s="7" t="s">
        <v>18</v>
      </c>
      <c r="C1227" s="7" t="s">
        <v>19</v>
      </c>
      <c r="D1227" s="7"/>
      <c r="E1227" s="7"/>
      <c r="F1227" s="7" t="s">
        <v>27</v>
      </c>
      <c r="G1227" s="7" t="s">
        <v>28</v>
      </c>
      <c r="H1227" s="7" t="s">
        <v>153</v>
      </c>
      <c r="I1227" s="7" t="s">
        <v>156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t="s">
        <v>137</v>
      </c>
    </row>
    <row r="1228" spans="1:17" hidden="1" x14ac:dyDescent="0.25">
      <c r="A1228" s="7" t="s">
        <v>17</v>
      </c>
      <c r="B1228" s="7" t="s">
        <v>18</v>
      </c>
      <c r="C1228" s="7" t="s">
        <v>19</v>
      </c>
      <c r="D1228" s="7"/>
      <c r="E1228" s="7"/>
      <c r="F1228" s="7" t="s">
        <v>29</v>
      </c>
      <c r="G1228" s="7" t="s">
        <v>30</v>
      </c>
      <c r="H1228" s="7" t="s">
        <v>153</v>
      </c>
      <c r="I1228" s="7" t="s">
        <v>156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t="s">
        <v>137</v>
      </c>
    </row>
    <row r="1229" spans="1:17" hidden="1" x14ac:dyDescent="0.25">
      <c r="A1229" s="7" t="s">
        <v>17</v>
      </c>
      <c r="B1229" s="7" t="s">
        <v>18</v>
      </c>
      <c r="C1229" s="7" t="s">
        <v>19</v>
      </c>
      <c r="D1229" s="7"/>
      <c r="E1229" s="7"/>
      <c r="F1229" s="7" t="s">
        <v>31</v>
      </c>
      <c r="G1229" s="7" t="s">
        <v>32</v>
      </c>
      <c r="H1229" s="7" t="s">
        <v>153</v>
      </c>
      <c r="I1229" s="7" t="s">
        <v>156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t="s">
        <v>137</v>
      </c>
    </row>
    <row r="1230" spans="1:17" hidden="1" x14ac:dyDescent="0.25">
      <c r="A1230" s="7" t="s">
        <v>17</v>
      </c>
      <c r="B1230" s="7" t="s">
        <v>18</v>
      </c>
      <c r="C1230" s="7" t="s">
        <v>19</v>
      </c>
      <c r="D1230" s="7"/>
      <c r="E1230" s="7"/>
      <c r="F1230" s="7" t="s">
        <v>33</v>
      </c>
      <c r="G1230" s="7" t="s">
        <v>34</v>
      </c>
      <c r="H1230" s="7" t="s">
        <v>153</v>
      </c>
      <c r="I1230" s="7" t="s">
        <v>156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t="s">
        <v>137</v>
      </c>
    </row>
    <row r="1231" spans="1:17" hidden="1" x14ac:dyDescent="0.25">
      <c r="A1231" s="7" t="s">
        <v>17</v>
      </c>
      <c r="B1231" s="7" t="s">
        <v>18</v>
      </c>
      <c r="C1231" s="7" t="s">
        <v>19</v>
      </c>
      <c r="D1231" s="7" t="s">
        <v>20</v>
      </c>
      <c r="E1231" s="7" t="s">
        <v>21</v>
      </c>
      <c r="F1231" s="7" t="s">
        <v>35</v>
      </c>
      <c r="G1231" s="7" t="s">
        <v>36</v>
      </c>
      <c r="H1231" s="7" t="s">
        <v>153</v>
      </c>
      <c r="I1231" s="7" t="s">
        <v>156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t="s">
        <v>137</v>
      </c>
    </row>
    <row r="1232" spans="1:17" hidden="1" x14ac:dyDescent="0.25">
      <c r="A1232" s="7" t="s">
        <v>17</v>
      </c>
      <c r="B1232" s="7" t="s">
        <v>18</v>
      </c>
      <c r="C1232" s="7" t="s">
        <v>19</v>
      </c>
      <c r="D1232" s="7"/>
      <c r="E1232" s="7"/>
      <c r="F1232" s="7" t="s">
        <v>37</v>
      </c>
      <c r="G1232" s="7" t="s">
        <v>38</v>
      </c>
      <c r="H1232" s="7" t="s">
        <v>153</v>
      </c>
      <c r="I1232" s="7" t="s">
        <v>156</v>
      </c>
      <c r="J1232" s="8">
        <v>83.145862948428089</v>
      </c>
      <c r="K1232" s="8">
        <v>70.547669315435996</v>
      </c>
      <c r="L1232" s="8">
        <v>7.9616754159390375</v>
      </c>
      <c r="M1232" s="8">
        <v>817.40342997938762</v>
      </c>
      <c r="N1232" s="8">
        <v>25.62113526006706</v>
      </c>
      <c r="O1232" s="8">
        <v>57.088511524298546</v>
      </c>
      <c r="P1232" s="8">
        <v>8.1728783609505289</v>
      </c>
      <c r="Q1232" t="s">
        <v>137</v>
      </c>
    </row>
    <row r="1233" spans="1:17" hidden="1" x14ac:dyDescent="0.25">
      <c r="A1233" s="7" t="s">
        <v>17</v>
      </c>
      <c r="B1233" s="7" t="s">
        <v>18</v>
      </c>
      <c r="C1233" s="7" t="s">
        <v>19</v>
      </c>
      <c r="D1233" s="7"/>
      <c r="E1233" s="7"/>
      <c r="F1233" s="7" t="s">
        <v>39</v>
      </c>
      <c r="G1233" s="7" t="s">
        <v>40</v>
      </c>
      <c r="H1233" s="7" t="s">
        <v>153</v>
      </c>
      <c r="I1233" s="7" t="s">
        <v>156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t="s">
        <v>137</v>
      </c>
    </row>
    <row r="1234" spans="1:17" hidden="1" x14ac:dyDescent="0.25">
      <c r="A1234" s="7" t="s">
        <v>17</v>
      </c>
      <c r="B1234" s="7" t="s">
        <v>18</v>
      </c>
      <c r="C1234" s="7" t="s">
        <v>19</v>
      </c>
      <c r="D1234" s="7" t="s">
        <v>20</v>
      </c>
      <c r="E1234" s="7" t="s">
        <v>21</v>
      </c>
      <c r="F1234" s="7" t="s">
        <v>41</v>
      </c>
      <c r="G1234" s="7" t="s">
        <v>42</v>
      </c>
      <c r="H1234" s="7" t="s">
        <v>153</v>
      </c>
      <c r="I1234" s="7" t="s">
        <v>156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t="s">
        <v>137</v>
      </c>
    </row>
    <row r="1235" spans="1:17" hidden="1" x14ac:dyDescent="0.25">
      <c r="A1235" s="7" t="s">
        <v>17</v>
      </c>
      <c r="B1235" s="7" t="s">
        <v>18</v>
      </c>
      <c r="C1235" s="7" t="s">
        <v>19</v>
      </c>
      <c r="D1235" s="7" t="s">
        <v>20</v>
      </c>
      <c r="E1235" s="7" t="s">
        <v>21</v>
      </c>
      <c r="F1235" s="7" t="s">
        <v>43</v>
      </c>
      <c r="G1235" s="7" t="s">
        <v>44</v>
      </c>
      <c r="H1235" s="7" t="s">
        <v>153</v>
      </c>
      <c r="I1235" s="7" t="s">
        <v>156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t="s">
        <v>137</v>
      </c>
    </row>
    <row r="1236" spans="1:17" hidden="1" x14ac:dyDescent="0.25">
      <c r="A1236" s="7" t="s">
        <v>17</v>
      </c>
      <c r="B1236" s="7" t="s">
        <v>18</v>
      </c>
      <c r="C1236" s="7" t="s">
        <v>19</v>
      </c>
      <c r="D1236" s="7"/>
      <c r="E1236" s="7"/>
      <c r="F1236" s="7" t="s">
        <v>45</v>
      </c>
      <c r="G1236" s="7" t="s">
        <v>46</v>
      </c>
      <c r="H1236" s="7" t="s">
        <v>153</v>
      </c>
      <c r="I1236" s="7" t="s">
        <v>156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t="s">
        <v>137</v>
      </c>
    </row>
    <row r="1237" spans="1:17" hidden="1" x14ac:dyDescent="0.25">
      <c r="A1237" s="7" t="s">
        <v>17</v>
      </c>
      <c r="B1237" s="7" t="s">
        <v>18</v>
      </c>
      <c r="C1237" s="7" t="s">
        <v>19</v>
      </c>
      <c r="D1237" s="7" t="s">
        <v>20</v>
      </c>
      <c r="E1237" s="7" t="s">
        <v>21</v>
      </c>
      <c r="F1237" s="7" t="s">
        <v>47</v>
      </c>
      <c r="G1237" s="7" t="s">
        <v>48</v>
      </c>
      <c r="H1237" s="7" t="s">
        <v>153</v>
      </c>
      <c r="I1237" s="7" t="s">
        <v>156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t="s">
        <v>137</v>
      </c>
    </row>
    <row r="1238" spans="1:17" hidden="1" x14ac:dyDescent="0.25">
      <c r="A1238" s="7" t="s">
        <v>17</v>
      </c>
      <c r="B1238" s="7" t="s">
        <v>18</v>
      </c>
      <c r="C1238" s="7" t="s">
        <v>19</v>
      </c>
      <c r="D1238" s="7"/>
      <c r="E1238" s="7"/>
      <c r="F1238" s="7" t="s">
        <v>49</v>
      </c>
      <c r="G1238" s="7" t="s">
        <v>50</v>
      </c>
      <c r="H1238" s="7" t="s">
        <v>153</v>
      </c>
      <c r="I1238" s="7" t="s">
        <v>156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t="s">
        <v>137</v>
      </c>
    </row>
    <row r="1239" spans="1:17" hidden="1" x14ac:dyDescent="0.25">
      <c r="A1239" s="7" t="s">
        <v>17</v>
      </c>
      <c r="B1239" s="7" t="s">
        <v>18</v>
      </c>
      <c r="C1239" s="7" t="s">
        <v>19</v>
      </c>
      <c r="D1239" s="7"/>
      <c r="E1239" s="7"/>
      <c r="F1239" s="7" t="s">
        <v>51</v>
      </c>
      <c r="G1239" s="7" t="s">
        <v>52</v>
      </c>
      <c r="H1239" s="7" t="s">
        <v>153</v>
      </c>
      <c r="I1239" s="7" t="s">
        <v>156</v>
      </c>
      <c r="J1239" s="8">
        <v>28.050793804497111</v>
      </c>
      <c r="K1239" s="8">
        <v>23.804060081107107</v>
      </c>
      <c r="L1239" s="8">
        <v>2.570391464157106</v>
      </c>
      <c r="M1239" s="8">
        <v>278.49632733389166</v>
      </c>
      <c r="N1239" s="8">
        <v>8.2699551455489502</v>
      </c>
      <c r="O1239" s="8">
        <v>19.445570207101582</v>
      </c>
      <c r="P1239" s="8">
        <v>2.7939037653881593</v>
      </c>
      <c r="Q1239" t="s">
        <v>137</v>
      </c>
    </row>
    <row r="1240" spans="1:17" hidden="1" x14ac:dyDescent="0.25">
      <c r="A1240" s="7" t="s">
        <v>17</v>
      </c>
      <c r="B1240" s="7" t="s">
        <v>18</v>
      </c>
      <c r="C1240" s="7" t="s">
        <v>19</v>
      </c>
      <c r="D1240" s="7"/>
      <c r="E1240" s="7"/>
      <c r="F1240" s="7" t="s">
        <v>53</v>
      </c>
      <c r="G1240" s="7" t="s">
        <v>54</v>
      </c>
      <c r="H1240" s="7" t="s">
        <v>153</v>
      </c>
      <c r="I1240" s="7" t="s">
        <v>156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t="s">
        <v>137</v>
      </c>
    </row>
    <row r="1241" spans="1:17" hidden="1" x14ac:dyDescent="0.25">
      <c r="A1241" s="7" t="s">
        <v>17</v>
      </c>
      <c r="B1241" s="7" t="s">
        <v>18</v>
      </c>
      <c r="C1241" s="7" t="s">
        <v>19</v>
      </c>
      <c r="D1241" s="7"/>
      <c r="E1241" s="7"/>
      <c r="F1241" s="7" t="s">
        <v>55</v>
      </c>
      <c r="G1241" s="7" t="s">
        <v>56</v>
      </c>
      <c r="H1241" s="7" t="s">
        <v>153</v>
      </c>
      <c r="I1241" s="7" t="s">
        <v>156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t="s">
        <v>137</v>
      </c>
    </row>
    <row r="1242" spans="1:17" hidden="1" x14ac:dyDescent="0.25">
      <c r="A1242" s="7" t="s">
        <v>17</v>
      </c>
      <c r="B1242" s="7" t="s">
        <v>18</v>
      </c>
      <c r="C1242" s="7" t="s">
        <v>19</v>
      </c>
      <c r="D1242" s="7"/>
      <c r="E1242" s="7"/>
      <c r="F1242" s="7" t="s">
        <v>57</v>
      </c>
      <c r="G1242" s="7" t="s">
        <v>58</v>
      </c>
      <c r="H1242" s="7" t="s">
        <v>153</v>
      </c>
      <c r="I1242" s="7" t="s">
        <v>156</v>
      </c>
      <c r="J1242" s="8">
        <v>7.8064035816849175</v>
      </c>
      <c r="K1242" s="8">
        <v>6.6245584017958592</v>
      </c>
      <c r="L1242" s="8">
        <v>0.71548926384945644</v>
      </c>
      <c r="M1242" s="8">
        <v>77.500301566331004</v>
      </c>
      <c r="N1242" s="8">
        <v>2.3020242712274896</v>
      </c>
      <c r="O1242" s="8">
        <v>5.4113413099790906</v>
      </c>
      <c r="P1242" s="8">
        <v>0.77748847058520054</v>
      </c>
      <c r="Q1242" t="s">
        <v>137</v>
      </c>
    </row>
    <row r="1243" spans="1:17" hidden="1" x14ac:dyDescent="0.25">
      <c r="A1243" s="7" t="s">
        <v>17</v>
      </c>
      <c r="B1243" s="7" t="s">
        <v>18</v>
      </c>
      <c r="C1243" s="7" t="s">
        <v>19</v>
      </c>
      <c r="D1243" s="7" t="s">
        <v>20</v>
      </c>
      <c r="E1243" s="7" t="s">
        <v>21</v>
      </c>
      <c r="F1243" s="7" t="s">
        <v>59</v>
      </c>
      <c r="G1243" s="7" t="s">
        <v>60</v>
      </c>
      <c r="H1243" s="7" t="s">
        <v>153</v>
      </c>
      <c r="I1243" s="7" t="s">
        <v>156</v>
      </c>
      <c r="J1243" s="8">
        <v>1.1974359127224221</v>
      </c>
      <c r="K1243" s="8">
        <v>1.016150794461657</v>
      </c>
      <c r="L1243" s="8">
        <v>0.10972520315783152</v>
      </c>
      <c r="M1243" s="8">
        <v>11.888487229100702</v>
      </c>
      <c r="N1243" s="8">
        <v>0.35302891450780577</v>
      </c>
      <c r="O1243" s="8">
        <v>0.83009501519402951</v>
      </c>
      <c r="P1243" s="8">
        <v>0.11926652517155602</v>
      </c>
      <c r="Q1243" t="s">
        <v>137</v>
      </c>
    </row>
    <row r="1244" spans="1:17" hidden="1" x14ac:dyDescent="0.25">
      <c r="A1244" s="7" t="s">
        <v>17</v>
      </c>
      <c r="B1244" s="7" t="s">
        <v>18</v>
      </c>
      <c r="C1244" s="7" t="s">
        <v>19</v>
      </c>
      <c r="D1244" s="7" t="s">
        <v>20</v>
      </c>
      <c r="E1244" s="7" t="s">
        <v>21</v>
      </c>
      <c r="F1244" s="7" t="s">
        <v>61</v>
      </c>
      <c r="G1244" s="7" t="s">
        <v>62</v>
      </c>
      <c r="H1244" s="7" t="s">
        <v>153</v>
      </c>
      <c r="I1244" s="7" t="s">
        <v>156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t="s">
        <v>137</v>
      </c>
    </row>
    <row r="1245" spans="1:17" hidden="1" x14ac:dyDescent="0.25">
      <c r="A1245" s="7" t="s">
        <v>17</v>
      </c>
      <c r="B1245" s="7" t="s">
        <v>18</v>
      </c>
      <c r="C1245" s="7" t="s">
        <v>19</v>
      </c>
      <c r="D1245" s="7"/>
      <c r="E1245" s="7"/>
      <c r="F1245" s="7" t="s">
        <v>63</v>
      </c>
      <c r="G1245" s="7" t="s">
        <v>64</v>
      </c>
      <c r="H1245" s="7" t="s">
        <v>153</v>
      </c>
      <c r="I1245" s="7" t="s">
        <v>156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t="s">
        <v>137</v>
      </c>
    </row>
    <row r="1246" spans="1:17" hidden="1" x14ac:dyDescent="0.25">
      <c r="A1246" s="7" t="s">
        <v>17</v>
      </c>
      <c r="B1246" s="7" t="s">
        <v>18</v>
      </c>
      <c r="C1246" s="7" t="s">
        <v>19</v>
      </c>
      <c r="D1246" s="7" t="s">
        <v>20</v>
      </c>
      <c r="E1246" s="7" t="s">
        <v>21</v>
      </c>
      <c r="F1246" s="7" t="s">
        <v>65</v>
      </c>
      <c r="G1246" s="7" t="s">
        <v>66</v>
      </c>
      <c r="H1246" s="7" t="s">
        <v>153</v>
      </c>
      <c r="I1246" s="7" t="s">
        <v>156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t="s">
        <v>137</v>
      </c>
    </row>
    <row r="1247" spans="1:17" hidden="1" x14ac:dyDescent="0.25">
      <c r="A1247" s="7" t="s">
        <v>17</v>
      </c>
      <c r="B1247" s="7" t="s">
        <v>18</v>
      </c>
      <c r="C1247" s="7" t="s">
        <v>19</v>
      </c>
      <c r="D1247" s="7"/>
      <c r="E1247" s="7"/>
      <c r="F1247" s="7" t="s">
        <v>67</v>
      </c>
      <c r="G1247" s="7" t="s">
        <v>68</v>
      </c>
      <c r="H1247" s="7" t="s">
        <v>153</v>
      </c>
      <c r="I1247" s="7" t="s">
        <v>156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t="s">
        <v>137</v>
      </c>
    </row>
    <row r="1248" spans="1:17" hidden="1" x14ac:dyDescent="0.25">
      <c r="A1248" s="7" t="s">
        <v>17</v>
      </c>
      <c r="B1248" s="7" t="s">
        <v>18</v>
      </c>
      <c r="C1248" s="7" t="s">
        <v>19</v>
      </c>
      <c r="D1248" s="7"/>
      <c r="E1248" s="7"/>
      <c r="F1248" s="7" t="s">
        <v>69</v>
      </c>
      <c r="G1248" s="7" t="s">
        <v>70</v>
      </c>
      <c r="H1248" s="7" t="s">
        <v>153</v>
      </c>
      <c r="I1248" s="7" t="s">
        <v>156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t="s">
        <v>137</v>
      </c>
    </row>
    <row r="1249" spans="1:17" hidden="1" x14ac:dyDescent="0.25">
      <c r="A1249" s="7" t="s">
        <v>17</v>
      </c>
      <c r="B1249" s="7" t="s">
        <v>18</v>
      </c>
      <c r="C1249" s="7" t="s">
        <v>19</v>
      </c>
      <c r="D1249" s="7"/>
      <c r="E1249" s="7"/>
      <c r="F1249" s="7" t="s">
        <v>71</v>
      </c>
      <c r="G1249" s="7" t="s">
        <v>72</v>
      </c>
      <c r="H1249" s="7" t="s">
        <v>153</v>
      </c>
      <c r="I1249" s="7" t="s">
        <v>156</v>
      </c>
      <c r="J1249" s="8">
        <v>3.9672879728928714</v>
      </c>
      <c r="K1249" s="8">
        <v>3.3666627020963409</v>
      </c>
      <c r="L1249" s="8">
        <v>0.3635363481136894</v>
      </c>
      <c r="M1249" s="8">
        <v>39.388373021709299</v>
      </c>
      <c r="N1249" s="8">
        <v>1.1696386852353484</v>
      </c>
      <c r="O1249" s="8">
        <v>2.7502315031209537</v>
      </c>
      <c r="P1249" s="8">
        <v>0.39514820447140159</v>
      </c>
      <c r="Q1249" t="s">
        <v>137</v>
      </c>
    </row>
    <row r="1250" spans="1:17" hidden="1" x14ac:dyDescent="0.25">
      <c r="A1250" s="7" t="s">
        <v>17</v>
      </c>
      <c r="B1250" s="7" t="s">
        <v>18</v>
      </c>
      <c r="C1250" s="7" t="s">
        <v>19</v>
      </c>
      <c r="D1250" s="7" t="s">
        <v>20</v>
      </c>
      <c r="E1250" s="7" t="s">
        <v>21</v>
      </c>
      <c r="F1250" s="7" t="s">
        <v>73</v>
      </c>
      <c r="G1250" s="7" t="s">
        <v>74</v>
      </c>
      <c r="H1250" s="7" t="s">
        <v>153</v>
      </c>
      <c r="I1250" s="7" t="s">
        <v>156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t="s">
        <v>137</v>
      </c>
    </row>
    <row r="1251" spans="1:17" hidden="1" x14ac:dyDescent="0.25">
      <c r="A1251" s="7" t="s">
        <v>17</v>
      </c>
      <c r="B1251" s="7" t="s">
        <v>18</v>
      </c>
      <c r="C1251" s="7" t="s">
        <v>19</v>
      </c>
      <c r="D1251" s="7" t="s">
        <v>20</v>
      </c>
      <c r="E1251" s="7" t="s">
        <v>21</v>
      </c>
      <c r="F1251" s="7" t="s">
        <v>75</v>
      </c>
      <c r="G1251" s="7" t="s">
        <v>76</v>
      </c>
      <c r="H1251" s="7" t="s">
        <v>153</v>
      </c>
      <c r="I1251" s="7" t="s">
        <v>156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t="s">
        <v>137</v>
      </c>
    </row>
    <row r="1252" spans="1:17" hidden="1" x14ac:dyDescent="0.25">
      <c r="A1252" s="7" t="s">
        <v>17</v>
      </c>
      <c r="B1252" s="7" t="s">
        <v>18</v>
      </c>
      <c r="C1252" s="7" t="s">
        <v>19</v>
      </c>
      <c r="D1252" s="7"/>
      <c r="E1252" s="7"/>
      <c r="F1252" s="7" t="s">
        <v>77</v>
      </c>
      <c r="G1252" s="7" t="s">
        <v>78</v>
      </c>
      <c r="H1252" s="7" t="s">
        <v>153</v>
      </c>
      <c r="I1252" s="7" t="s">
        <v>156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t="s">
        <v>137</v>
      </c>
    </row>
    <row r="1253" spans="1:17" hidden="1" x14ac:dyDescent="0.25">
      <c r="A1253" s="7" t="s">
        <v>17</v>
      </c>
      <c r="B1253" s="7" t="s">
        <v>18</v>
      </c>
      <c r="C1253" s="7" t="s">
        <v>19</v>
      </c>
      <c r="D1253" s="7"/>
      <c r="E1253" s="7"/>
      <c r="F1253" s="7" t="s">
        <v>79</v>
      </c>
      <c r="G1253" s="7" t="s">
        <v>80</v>
      </c>
      <c r="H1253" s="7" t="s">
        <v>153</v>
      </c>
      <c r="I1253" s="7" t="s">
        <v>156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t="s">
        <v>137</v>
      </c>
    </row>
    <row r="1254" spans="1:17" hidden="1" x14ac:dyDescent="0.25">
      <c r="A1254" s="7" t="s">
        <v>17</v>
      </c>
      <c r="B1254" s="7" t="s">
        <v>18</v>
      </c>
      <c r="C1254" s="7" t="s">
        <v>19</v>
      </c>
      <c r="D1254" s="7"/>
      <c r="E1254" s="7"/>
      <c r="F1254" s="7" t="s">
        <v>81</v>
      </c>
      <c r="G1254" s="7" t="s">
        <v>82</v>
      </c>
      <c r="H1254" s="7" t="s">
        <v>153</v>
      </c>
      <c r="I1254" s="7" t="s">
        <v>156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t="s">
        <v>137</v>
      </c>
    </row>
    <row r="1255" spans="1:17" hidden="1" x14ac:dyDescent="0.25">
      <c r="A1255" s="7" t="s">
        <v>17</v>
      </c>
      <c r="B1255" s="7" t="s">
        <v>18</v>
      </c>
      <c r="C1255" s="7" t="s">
        <v>19</v>
      </c>
      <c r="D1255" s="7"/>
      <c r="E1255" s="7"/>
      <c r="F1255" s="7" t="s">
        <v>83</v>
      </c>
      <c r="G1255" s="7" t="s">
        <v>84</v>
      </c>
      <c r="H1255" s="7" t="s">
        <v>153</v>
      </c>
      <c r="I1255" s="7" t="s">
        <v>156</v>
      </c>
      <c r="J1255" s="8">
        <v>206.8255648586844</v>
      </c>
      <c r="K1255" s="8">
        <v>175.44304263905289</v>
      </c>
      <c r="L1255" s="8">
        <v>18.733829585692206</v>
      </c>
      <c r="M1255" s="8">
        <v>2057.8007418469106</v>
      </c>
      <c r="N1255" s="8">
        <v>60.489002572185989</v>
      </c>
      <c r="O1255" s="8">
        <v>143.70660090809329</v>
      </c>
      <c r="P1255" s="8">
        <v>20.646184775367633</v>
      </c>
      <c r="Q1255" t="s">
        <v>137</v>
      </c>
    </row>
    <row r="1256" spans="1:17" hidden="1" x14ac:dyDescent="0.25">
      <c r="A1256" s="7" t="s">
        <v>17</v>
      </c>
      <c r="B1256" s="7" t="s">
        <v>18</v>
      </c>
      <c r="C1256" s="7" t="s">
        <v>19</v>
      </c>
      <c r="D1256" s="7" t="s">
        <v>20</v>
      </c>
      <c r="E1256" s="7" t="s">
        <v>21</v>
      </c>
      <c r="F1256" s="7" t="s">
        <v>85</v>
      </c>
      <c r="G1256" s="7" t="s">
        <v>86</v>
      </c>
      <c r="H1256" s="7" t="s">
        <v>153</v>
      </c>
      <c r="I1256" s="7" t="s">
        <v>156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t="s">
        <v>137</v>
      </c>
    </row>
    <row r="1257" spans="1:17" hidden="1" x14ac:dyDescent="0.25">
      <c r="A1257" s="7" t="s">
        <v>17</v>
      </c>
      <c r="B1257" s="7" t="s">
        <v>18</v>
      </c>
      <c r="C1257" s="7" t="s">
        <v>19</v>
      </c>
      <c r="D1257" s="7"/>
      <c r="E1257" s="7"/>
      <c r="F1257" s="7" t="s">
        <v>87</v>
      </c>
      <c r="G1257" s="7" t="s">
        <v>88</v>
      </c>
      <c r="H1257" s="7" t="s">
        <v>153</v>
      </c>
      <c r="I1257" s="7" t="s">
        <v>156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t="s">
        <v>137</v>
      </c>
    </row>
    <row r="1258" spans="1:17" hidden="1" x14ac:dyDescent="0.25">
      <c r="A1258" s="7" t="s">
        <v>17</v>
      </c>
      <c r="B1258" s="7" t="s">
        <v>18</v>
      </c>
      <c r="C1258" s="7" t="s">
        <v>19</v>
      </c>
      <c r="D1258" s="7"/>
      <c r="E1258" s="7"/>
      <c r="F1258" s="7" t="s">
        <v>89</v>
      </c>
      <c r="G1258" s="7" t="s">
        <v>90</v>
      </c>
      <c r="H1258" s="7" t="s">
        <v>153</v>
      </c>
      <c r="I1258" s="7" t="s">
        <v>156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t="s">
        <v>137</v>
      </c>
    </row>
    <row r="1259" spans="1:17" hidden="1" x14ac:dyDescent="0.25">
      <c r="A1259" s="7" t="s">
        <v>17</v>
      </c>
      <c r="B1259" s="7" t="s">
        <v>18</v>
      </c>
      <c r="C1259" s="7" t="s">
        <v>19</v>
      </c>
      <c r="D1259" s="7"/>
      <c r="E1259" s="7"/>
      <c r="F1259" s="7" t="s">
        <v>91</v>
      </c>
      <c r="G1259" s="7" t="s">
        <v>92</v>
      </c>
      <c r="H1259" s="7" t="s">
        <v>153</v>
      </c>
      <c r="I1259" s="7" t="s">
        <v>156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t="s">
        <v>137</v>
      </c>
    </row>
    <row r="1260" spans="1:17" hidden="1" x14ac:dyDescent="0.25">
      <c r="A1260" s="7" t="s">
        <v>17</v>
      </c>
      <c r="B1260" s="7" t="s">
        <v>18</v>
      </c>
      <c r="C1260" s="7" t="s">
        <v>19</v>
      </c>
      <c r="D1260" s="7"/>
      <c r="E1260" s="7"/>
      <c r="F1260" s="7" t="s">
        <v>93</v>
      </c>
      <c r="G1260" s="7" t="s">
        <v>94</v>
      </c>
      <c r="H1260" s="7" t="s">
        <v>153</v>
      </c>
      <c r="I1260" s="7" t="s">
        <v>156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t="s">
        <v>137</v>
      </c>
    </row>
    <row r="1261" spans="1:17" hidden="1" x14ac:dyDescent="0.25">
      <c r="A1261" s="7" t="s">
        <v>17</v>
      </c>
      <c r="B1261" s="7" t="s">
        <v>18</v>
      </c>
      <c r="C1261" s="7" t="s">
        <v>19</v>
      </c>
      <c r="D1261" s="7"/>
      <c r="E1261" s="7"/>
      <c r="F1261" s="7" t="s">
        <v>95</v>
      </c>
      <c r="G1261" s="7" t="s">
        <v>96</v>
      </c>
      <c r="H1261" s="7" t="s">
        <v>153</v>
      </c>
      <c r="I1261" s="7" t="s">
        <v>156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t="s">
        <v>137</v>
      </c>
    </row>
    <row r="1262" spans="1:17" hidden="1" x14ac:dyDescent="0.25">
      <c r="A1262" s="7" t="s">
        <v>17</v>
      </c>
      <c r="B1262" s="7" t="s">
        <v>18</v>
      </c>
      <c r="C1262" s="7" t="s">
        <v>19</v>
      </c>
      <c r="D1262" s="7"/>
      <c r="E1262" s="7"/>
      <c r="F1262" s="7" t="s">
        <v>97</v>
      </c>
      <c r="G1262" s="7" t="s">
        <v>98</v>
      </c>
      <c r="H1262" s="7" t="s">
        <v>153</v>
      </c>
      <c r="I1262" s="7" t="s">
        <v>156</v>
      </c>
      <c r="J1262" s="8">
        <v>8.7986219338615843</v>
      </c>
      <c r="K1262" s="8">
        <v>7.4665596490538553</v>
      </c>
      <c r="L1262" s="8">
        <v>0.80624822501520499</v>
      </c>
      <c r="M1262" s="8">
        <v>87.355242466864809</v>
      </c>
      <c r="N1262" s="8">
        <v>2.5940160283097899</v>
      </c>
      <c r="O1262" s="8">
        <v>6.0994430935932886</v>
      </c>
      <c r="P1262" s="8">
        <v>0.87635676632087522</v>
      </c>
      <c r="Q1262" t="s">
        <v>137</v>
      </c>
    </row>
    <row r="1263" spans="1:17" hidden="1" x14ac:dyDescent="0.25">
      <c r="A1263" s="7" t="s">
        <v>17</v>
      </c>
      <c r="B1263" s="7" t="s">
        <v>18</v>
      </c>
      <c r="C1263" s="7" t="s">
        <v>19</v>
      </c>
      <c r="D1263" s="7"/>
      <c r="E1263" s="7"/>
      <c r="F1263" s="7" t="s">
        <v>99</v>
      </c>
      <c r="G1263" s="7" t="s">
        <v>100</v>
      </c>
      <c r="H1263" s="7" t="s">
        <v>153</v>
      </c>
      <c r="I1263" s="7" t="s">
        <v>156</v>
      </c>
      <c r="J1263" s="8">
        <v>0.11046936196785159</v>
      </c>
      <c r="K1263" s="8">
        <v>9.3744916729690791E-2</v>
      </c>
      <c r="L1263" s="8">
        <v>1.01226905388868E-2</v>
      </c>
      <c r="M1263" s="8">
        <v>1.0967715140393872</v>
      </c>
      <c r="N1263" s="8">
        <v>3.2568656516418402E-2</v>
      </c>
      <c r="O1263" s="8">
        <v>7.658035451157838E-2</v>
      </c>
      <c r="P1263" s="8">
        <v>1.1002924498790001E-2</v>
      </c>
      <c r="Q1263" t="s">
        <v>137</v>
      </c>
    </row>
    <row r="1264" spans="1:17" hidden="1" x14ac:dyDescent="0.25">
      <c r="A1264" s="7" t="s">
        <v>17</v>
      </c>
      <c r="B1264" s="7" t="s">
        <v>18</v>
      </c>
      <c r="C1264" s="7" t="s">
        <v>19</v>
      </c>
      <c r="D1264" s="7" t="s">
        <v>20</v>
      </c>
      <c r="E1264" s="7" t="s">
        <v>21</v>
      </c>
      <c r="F1264" s="7" t="s">
        <v>101</v>
      </c>
      <c r="G1264" s="7" t="s">
        <v>21</v>
      </c>
      <c r="H1264" s="7" t="s">
        <v>153</v>
      </c>
      <c r="I1264" s="7" t="s">
        <v>156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t="s">
        <v>137</v>
      </c>
    </row>
    <row r="1265" spans="1:17" hidden="1" x14ac:dyDescent="0.25">
      <c r="A1265" s="7" t="s">
        <v>17</v>
      </c>
      <c r="B1265" s="7" t="s">
        <v>18</v>
      </c>
      <c r="C1265" s="7" t="s">
        <v>19</v>
      </c>
      <c r="D1265" s="7"/>
      <c r="E1265" s="7"/>
      <c r="F1265" s="7" t="s">
        <v>102</v>
      </c>
      <c r="G1265" s="7" t="s">
        <v>103</v>
      </c>
      <c r="H1265" s="7" t="s">
        <v>153</v>
      </c>
      <c r="I1265" s="7" t="s">
        <v>156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t="s">
        <v>137</v>
      </c>
    </row>
    <row r="1266" spans="1:17" hidden="1" x14ac:dyDescent="0.25">
      <c r="A1266" s="7" t="s">
        <v>17</v>
      </c>
      <c r="B1266" s="7" t="s">
        <v>18</v>
      </c>
      <c r="C1266" s="7" t="s">
        <v>19</v>
      </c>
      <c r="D1266" s="7" t="s">
        <v>20</v>
      </c>
      <c r="E1266" s="7" t="s">
        <v>21</v>
      </c>
      <c r="F1266" s="7" t="s">
        <v>104</v>
      </c>
      <c r="G1266" s="7" t="s">
        <v>105</v>
      </c>
      <c r="H1266" s="7" t="s">
        <v>153</v>
      </c>
      <c r="I1266" s="7" t="s">
        <v>156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t="s">
        <v>137</v>
      </c>
    </row>
    <row r="1267" spans="1:17" hidden="1" x14ac:dyDescent="0.25">
      <c r="A1267" s="7" t="s">
        <v>17</v>
      </c>
      <c r="B1267" s="7" t="s">
        <v>18</v>
      </c>
      <c r="C1267" s="7" t="s">
        <v>19</v>
      </c>
      <c r="D1267" s="7"/>
      <c r="E1267" s="7"/>
      <c r="F1267" s="7" t="s">
        <v>106</v>
      </c>
      <c r="G1267" s="7" t="s">
        <v>107</v>
      </c>
      <c r="H1267" s="7" t="s">
        <v>153</v>
      </c>
      <c r="I1267" s="7" t="s">
        <v>156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t="s">
        <v>137</v>
      </c>
    </row>
    <row r="1268" spans="1:17" hidden="1" x14ac:dyDescent="0.25">
      <c r="A1268" s="7" t="s">
        <v>17</v>
      </c>
      <c r="B1268" s="7" t="s">
        <v>18</v>
      </c>
      <c r="C1268" s="7" t="s">
        <v>19</v>
      </c>
      <c r="D1268" s="7"/>
      <c r="E1268" s="7"/>
      <c r="F1268" s="7" t="s">
        <v>108</v>
      </c>
      <c r="G1268" s="7" t="s">
        <v>109</v>
      </c>
      <c r="H1268" s="7" t="s">
        <v>153</v>
      </c>
      <c r="I1268" s="7" t="s">
        <v>156</v>
      </c>
      <c r="J1268" s="8">
        <v>2.4445762300006733</v>
      </c>
      <c r="K1268" s="8">
        <v>2.074481023865113</v>
      </c>
      <c r="L1268" s="8">
        <v>0.22400499318731268</v>
      </c>
      <c r="M1268" s="8">
        <v>24.270454044468835</v>
      </c>
      <c r="N1268" s="8">
        <v>0.72071171721135374</v>
      </c>
      <c r="O1268" s="8">
        <v>1.6946464701996697</v>
      </c>
      <c r="P1268" s="8">
        <v>0.24348368824707906</v>
      </c>
      <c r="Q1268" t="s">
        <v>137</v>
      </c>
    </row>
    <row r="1269" spans="1:17" hidden="1" x14ac:dyDescent="0.25">
      <c r="A1269" s="7" t="s">
        <v>17</v>
      </c>
      <c r="B1269" s="7" t="s">
        <v>18</v>
      </c>
      <c r="C1269" s="7" t="s">
        <v>19</v>
      </c>
      <c r="D1269" s="7"/>
      <c r="E1269" s="7"/>
      <c r="F1269" s="7" t="s">
        <v>110</v>
      </c>
      <c r="G1269" s="7" t="s">
        <v>111</v>
      </c>
      <c r="H1269" s="7" t="s">
        <v>153</v>
      </c>
      <c r="I1269" s="7" t="s">
        <v>156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t="s">
        <v>137</v>
      </c>
    </row>
    <row r="1270" spans="1:17" hidden="1" x14ac:dyDescent="0.25">
      <c r="A1270" s="7" t="s">
        <v>17</v>
      </c>
      <c r="B1270" s="7" t="s">
        <v>18</v>
      </c>
      <c r="C1270" s="7" t="s">
        <v>19</v>
      </c>
      <c r="D1270" s="7" t="s">
        <v>20</v>
      </c>
      <c r="E1270" s="7" t="s">
        <v>21</v>
      </c>
      <c r="F1270" s="7" t="s">
        <v>112</v>
      </c>
      <c r="G1270" s="7" t="s">
        <v>113</v>
      </c>
      <c r="H1270" s="7" t="s">
        <v>153</v>
      </c>
      <c r="I1270" s="7" t="s">
        <v>156</v>
      </c>
      <c r="J1270" s="8">
        <v>4.6614811860308576</v>
      </c>
      <c r="K1270" s="8">
        <v>3.9557589347592539</v>
      </c>
      <c r="L1270" s="8">
        <v>0.42714767840123402</v>
      </c>
      <c r="M1270" s="8">
        <v>46.280522372864134</v>
      </c>
      <c r="N1270" s="8">
        <v>1.3743012261604921</v>
      </c>
      <c r="O1270" s="8">
        <v>3.2314650452962916</v>
      </c>
      <c r="P1270" s="8">
        <v>0.4642909547839501</v>
      </c>
      <c r="Q1270" t="s">
        <v>137</v>
      </c>
    </row>
    <row r="1271" spans="1:17" hidden="1" x14ac:dyDescent="0.25">
      <c r="A1271" s="7" t="s">
        <v>17</v>
      </c>
      <c r="B1271" s="7" t="s">
        <v>18</v>
      </c>
      <c r="C1271" s="7" t="s">
        <v>19</v>
      </c>
      <c r="D1271" s="7" t="s">
        <v>20</v>
      </c>
      <c r="E1271" s="7" t="s">
        <v>21</v>
      </c>
      <c r="F1271" s="7" t="s">
        <v>114</v>
      </c>
      <c r="G1271" s="7" t="s">
        <v>115</v>
      </c>
      <c r="H1271" s="7" t="s">
        <v>153</v>
      </c>
      <c r="I1271" s="7" t="s">
        <v>156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t="s">
        <v>137</v>
      </c>
    </row>
    <row r="1272" spans="1:17" hidden="1" x14ac:dyDescent="0.25">
      <c r="A1272" s="7" t="s">
        <v>17</v>
      </c>
      <c r="B1272" s="7" t="s">
        <v>18</v>
      </c>
      <c r="C1272" s="7" t="s">
        <v>19</v>
      </c>
      <c r="D1272" s="7" t="s">
        <v>20</v>
      </c>
      <c r="E1272" s="7" t="s">
        <v>21</v>
      </c>
      <c r="F1272" s="7" t="s">
        <v>116</v>
      </c>
      <c r="G1272" s="7" t="s">
        <v>117</v>
      </c>
      <c r="H1272" s="7" t="s">
        <v>153</v>
      </c>
      <c r="I1272" s="7" t="s">
        <v>156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t="s">
        <v>137</v>
      </c>
    </row>
    <row r="1273" spans="1:17" hidden="1" x14ac:dyDescent="0.25">
      <c r="A1273" s="7" t="s">
        <v>17</v>
      </c>
      <c r="B1273" s="7" t="s">
        <v>18</v>
      </c>
      <c r="C1273" s="7" t="s">
        <v>19</v>
      </c>
      <c r="D1273" s="7" t="s">
        <v>20</v>
      </c>
      <c r="E1273" s="7" t="s">
        <v>21</v>
      </c>
      <c r="F1273" s="7" t="s">
        <v>118</v>
      </c>
      <c r="G1273" s="7" t="s">
        <v>119</v>
      </c>
      <c r="H1273" s="7" t="s">
        <v>153</v>
      </c>
      <c r="I1273" s="7" t="s">
        <v>156</v>
      </c>
      <c r="J1273" s="8">
        <v>4.7449276270617206E-3</v>
      </c>
      <c r="K1273" s="8">
        <v>4.0265720500563601E-3</v>
      </c>
      <c r="L1273" s="8">
        <v>4.3479416502956002E-4</v>
      </c>
      <c r="M1273" s="8">
        <v>4.7109002576246242E-2</v>
      </c>
      <c r="N1273" s="8">
        <v>1.3989029657472802E-3</v>
      </c>
      <c r="O1273" s="8">
        <v>3.2893123789192796E-3</v>
      </c>
      <c r="P1273" s="8">
        <v>4.7260235329300013E-4</v>
      </c>
      <c r="Q1273" t="s">
        <v>137</v>
      </c>
    </row>
    <row r="1274" spans="1:17" hidden="1" x14ac:dyDescent="0.25">
      <c r="A1274" s="7" t="s">
        <v>17</v>
      </c>
      <c r="B1274" s="7" t="s">
        <v>18</v>
      </c>
      <c r="C1274" s="7" t="s">
        <v>19</v>
      </c>
      <c r="D1274" s="7" t="s">
        <v>20</v>
      </c>
      <c r="E1274" s="7" t="s">
        <v>21</v>
      </c>
      <c r="F1274" s="7" t="s">
        <v>120</v>
      </c>
      <c r="G1274" s="7" t="s">
        <v>121</v>
      </c>
      <c r="H1274" s="7" t="s">
        <v>153</v>
      </c>
      <c r="I1274" s="7" t="s">
        <v>156</v>
      </c>
      <c r="J1274" s="8">
        <v>1.1979410725702322</v>
      </c>
      <c r="K1274" s="8">
        <v>1.0165794759261333</v>
      </c>
      <c r="L1274" s="8">
        <v>0.10977149270563882</v>
      </c>
      <c r="M1274" s="8">
        <v>11.89350260097617</v>
      </c>
      <c r="N1274" s="8">
        <v>0.35317784609640318</v>
      </c>
      <c r="O1274" s="8">
        <v>0.830445205686137</v>
      </c>
      <c r="P1274" s="8">
        <v>0.11931683989743352</v>
      </c>
      <c r="Q1274" t="s">
        <v>137</v>
      </c>
    </row>
    <row r="1275" spans="1:17" hidden="1" x14ac:dyDescent="0.25">
      <c r="A1275" s="7" t="s">
        <v>17</v>
      </c>
      <c r="B1275" s="7" t="s">
        <v>18</v>
      </c>
      <c r="C1275" s="7" t="s">
        <v>19</v>
      </c>
      <c r="D1275" s="7"/>
      <c r="E1275" s="7"/>
      <c r="F1275" s="7" t="s">
        <v>122</v>
      </c>
      <c r="G1275" s="7" t="s">
        <v>123</v>
      </c>
      <c r="H1275" s="7" t="s">
        <v>153</v>
      </c>
      <c r="I1275" s="7" t="s">
        <v>156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t="s">
        <v>137</v>
      </c>
    </row>
    <row r="1276" spans="1:17" hidden="1" x14ac:dyDescent="0.25">
      <c r="A1276" s="7" t="s">
        <v>17</v>
      </c>
      <c r="B1276" s="7" t="s">
        <v>18</v>
      </c>
      <c r="C1276" s="7" t="s">
        <v>19</v>
      </c>
      <c r="D1276" s="7"/>
      <c r="E1276" s="7"/>
      <c r="F1276" s="7" t="s">
        <v>124</v>
      </c>
      <c r="G1276" s="7" t="s">
        <v>125</v>
      </c>
      <c r="H1276" s="7" t="s">
        <v>153</v>
      </c>
      <c r="I1276" s="7" t="s">
        <v>156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t="s">
        <v>137</v>
      </c>
    </row>
    <row r="1277" spans="1:17" hidden="1" x14ac:dyDescent="0.25">
      <c r="A1277" s="7" t="s">
        <v>17</v>
      </c>
      <c r="B1277" s="7" t="s">
        <v>18</v>
      </c>
      <c r="C1277" s="7" t="s">
        <v>19</v>
      </c>
      <c r="D1277" s="7" t="s">
        <v>20</v>
      </c>
      <c r="E1277" s="7" t="s">
        <v>21</v>
      </c>
      <c r="F1277" s="7" t="s">
        <v>22</v>
      </c>
      <c r="G1277" s="7" t="s">
        <v>23</v>
      </c>
      <c r="H1277" s="7" t="s">
        <v>153</v>
      </c>
      <c r="I1277" s="7" t="s">
        <v>157</v>
      </c>
      <c r="J1277" s="8"/>
      <c r="K1277" s="8"/>
      <c r="L1277" s="8"/>
      <c r="M1277" s="8"/>
      <c r="N1277" s="8"/>
      <c r="O1277" s="8">
        <v>0</v>
      </c>
      <c r="P1277" s="8"/>
      <c r="Q1277" t="s">
        <v>26</v>
      </c>
    </row>
    <row r="1278" spans="1:17" hidden="1" x14ac:dyDescent="0.25">
      <c r="A1278" s="7" t="s">
        <v>17</v>
      </c>
      <c r="B1278" s="7" t="s">
        <v>18</v>
      </c>
      <c r="C1278" s="7" t="s">
        <v>19</v>
      </c>
      <c r="D1278" s="7"/>
      <c r="E1278" s="7"/>
      <c r="F1278" s="7" t="s">
        <v>27</v>
      </c>
      <c r="G1278" s="7" t="s">
        <v>28</v>
      </c>
      <c r="H1278" s="7" t="s">
        <v>153</v>
      </c>
      <c r="I1278" s="7" t="s">
        <v>157</v>
      </c>
      <c r="J1278" s="8"/>
      <c r="K1278" s="8"/>
      <c r="L1278" s="8"/>
      <c r="M1278" s="8"/>
      <c r="N1278" s="8"/>
      <c r="O1278" s="8">
        <v>1.64E-3</v>
      </c>
      <c r="P1278" s="8"/>
      <c r="Q1278" t="s">
        <v>26</v>
      </c>
    </row>
    <row r="1279" spans="1:17" hidden="1" x14ac:dyDescent="0.25">
      <c r="A1279" s="7" t="s">
        <v>17</v>
      </c>
      <c r="B1279" s="7" t="s">
        <v>18</v>
      </c>
      <c r="C1279" s="7" t="s">
        <v>19</v>
      </c>
      <c r="D1279" s="7"/>
      <c r="E1279" s="7"/>
      <c r="F1279" s="7" t="s">
        <v>29</v>
      </c>
      <c r="G1279" s="7" t="s">
        <v>30</v>
      </c>
      <c r="H1279" s="7" t="s">
        <v>153</v>
      </c>
      <c r="I1279" s="7" t="s">
        <v>157</v>
      </c>
      <c r="J1279" s="8"/>
      <c r="K1279" s="8"/>
      <c r="L1279" s="8"/>
      <c r="M1279" s="8"/>
      <c r="N1279" s="8"/>
      <c r="O1279" s="8">
        <v>0</v>
      </c>
      <c r="P1279" s="8"/>
      <c r="Q1279" t="s">
        <v>26</v>
      </c>
    </row>
    <row r="1280" spans="1:17" hidden="1" x14ac:dyDescent="0.25">
      <c r="A1280" s="7" t="s">
        <v>17</v>
      </c>
      <c r="B1280" s="7" t="s">
        <v>18</v>
      </c>
      <c r="C1280" s="7" t="s">
        <v>19</v>
      </c>
      <c r="D1280" s="7"/>
      <c r="E1280" s="7"/>
      <c r="F1280" s="7" t="s">
        <v>31</v>
      </c>
      <c r="G1280" s="7" t="s">
        <v>32</v>
      </c>
      <c r="H1280" s="7" t="s">
        <v>153</v>
      </c>
      <c r="I1280" s="7" t="s">
        <v>157</v>
      </c>
      <c r="J1280" s="8"/>
      <c r="K1280" s="8"/>
      <c r="L1280" s="8"/>
      <c r="M1280" s="8"/>
      <c r="N1280" s="8"/>
      <c r="O1280" s="8">
        <v>2.4599999999999999E-3</v>
      </c>
      <c r="P1280" s="8"/>
      <c r="Q1280" t="s">
        <v>26</v>
      </c>
    </row>
    <row r="1281" spans="1:17" hidden="1" x14ac:dyDescent="0.25">
      <c r="A1281" s="7" t="s">
        <v>17</v>
      </c>
      <c r="B1281" s="7" t="s">
        <v>18</v>
      </c>
      <c r="C1281" s="7" t="s">
        <v>19</v>
      </c>
      <c r="D1281" s="7"/>
      <c r="E1281" s="7"/>
      <c r="F1281" s="7" t="s">
        <v>33</v>
      </c>
      <c r="G1281" s="7" t="s">
        <v>34</v>
      </c>
      <c r="H1281" s="7" t="s">
        <v>153</v>
      </c>
      <c r="I1281" s="7" t="s">
        <v>157</v>
      </c>
      <c r="J1281" s="8"/>
      <c r="K1281" s="8"/>
      <c r="L1281" s="8"/>
      <c r="M1281" s="8"/>
      <c r="N1281" s="8"/>
      <c r="O1281" s="8">
        <v>4.0999999999999995E-3</v>
      </c>
      <c r="P1281" s="8"/>
      <c r="Q1281" t="s">
        <v>26</v>
      </c>
    </row>
    <row r="1282" spans="1:17" hidden="1" x14ac:dyDescent="0.25">
      <c r="A1282" s="7" t="s">
        <v>17</v>
      </c>
      <c r="B1282" s="7" t="s">
        <v>18</v>
      </c>
      <c r="C1282" s="7" t="s">
        <v>19</v>
      </c>
      <c r="D1282" s="7" t="s">
        <v>20</v>
      </c>
      <c r="E1282" s="7" t="s">
        <v>21</v>
      </c>
      <c r="F1282" s="7" t="s">
        <v>35</v>
      </c>
      <c r="G1282" s="7" t="s">
        <v>36</v>
      </c>
      <c r="H1282" s="7" t="s">
        <v>153</v>
      </c>
      <c r="I1282" s="7" t="s">
        <v>157</v>
      </c>
      <c r="J1282" s="8"/>
      <c r="K1282" s="8"/>
      <c r="L1282" s="8"/>
      <c r="M1282" s="8"/>
      <c r="N1282" s="8"/>
      <c r="O1282" s="8">
        <v>0.15858</v>
      </c>
      <c r="P1282" s="8"/>
      <c r="Q1282" t="s">
        <v>26</v>
      </c>
    </row>
    <row r="1283" spans="1:17" hidden="1" x14ac:dyDescent="0.25">
      <c r="A1283" s="7" t="s">
        <v>17</v>
      </c>
      <c r="B1283" s="7" t="s">
        <v>18</v>
      </c>
      <c r="C1283" s="7" t="s">
        <v>19</v>
      </c>
      <c r="D1283" s="7"/>
      <c r="E1283" s="7"/>
      <c r="F1283" s="7" t="s">
        <v>37</v>
      </c>
      <c r="G1283" s="7" t="s">
        <v>38</v>
      </c>
      <c r="H1283" s="7" t="s">
        <v>153</v>
      </c>
      <c r="I1283" s="7" t="s">
        <v>157</v>
      </c>
      <c r="J1283" s="8"/>
      <c r="K1283" s="8"/>
      <c r="L1283" s="8"/>
      <c r="M1283" s="8"/>
      <c r="N1283" s="8"/>
      <c r="O1283" s="8">
        <v>3.2799999999999999E-3</v>
      </c>
      <c r="P1283" s="8"/>
      <c r="Q1283" t="s">
        <v>26</v>
      </c>
    </row>
    <row r="1284" spans="1:17" hidden="1" x14ac:dyDescent="0.25">
      <c r="A1284" s="7" t="s">
        <v>17</v>
      </c>
      <c r="B1284" s="7" t="s">
        <v>18</v>
      </c>
      <c r="C1284" s="7" t="s">
        <v>19</v>
      </c>
      <c r="D1284" s="7"/>
      <c r="E1284" s="7"/>
      <c r="F1284" s="7" t="s">
        <v>39</v>
      </c>
      <c r="G1284" s="7" t="s">
        <v>40</v>
      </c>
      <c r="H1284" s="7" t="s">
        <v>153</v>
      </c>
      <c r="I1284" s="7" t="s">
        <v>157</v>
      </c>
      <c r="J1284" s="8"/>
      <c r="K1284" s="8"/>
      <c r="L1284" s="8"/>
      <c r="M1284" s="8"/>
      <c r="N1284" s="8"/>
      <c r="O1284" s="8">
        <v>0</v>
      </c>
      <c r="P1284" s="8"/>
      <c r="Q1284" t="s">
        <v>26</v>
      </c>
    </row>
    <row r="1285" spans="1:17" hidden="1" x14ac:dyDescent="0.25">
      <c r="A1285" s="7" t="s">
        <v>17</v>
      </c>
      <c r="B1285" s="7" t="s">
        <v>18</v>
      </c>
      <c r="C1285" s="7" t="s">
        <v>19</v>
      </c>
      <c r="D1285" s="7" t="s">
        <v>20</v>
      </c>
      <c r="E1285" s="7" t="s">
        <v>21</v>
      </c>
      <c r="F1285" s="7" t="s">
        <v>41</v>
      </c>
      <c r="G1285" s="7" t="s">
        <v>42</v>
      </c>
      <c r="H1285" s="7" t="s">
        <v>153</v>
      </c>
      <c r="I1285" s="7" t="s">
        <v>157</v>
      </c>
      <c r="J1285" s="8"/>
      <c r="K1285" s="8"/>
      <c r="L1285" s="8"/>
      <c r="M1285" s="8"/>
      <c r="N1285" s="8"/>
      <c r="O1285" s="8">
        <v>3.7720000000000004E-2</v>
      </c>
      <c r="P1285" s="8"/>
      <c r="Q1285" t="s">
        <v>26</v>
      </c>
    </row>
    <row r="1286" spans="1:17" hidden="1" x14ac:dyDescent="0.25">
      <c r="A1286" s="7" t="s">
        <v>17</v>
      </c>
      <c r="B1286" s="7" t="s">
        <v>18</v>
      </c>
      <c r="C1286" s="7" t="s">
        <v>19</v>
      </c>
      <c r="D1286" s="7" t="s">
        <v>20</v>
      </c>
      <c r="E1286" s="7" t="s">
        <v>21</v>
      </c>
      <c r="F1286" s="7" t="s">
        <v>43</v>
      </c>
      <c r="G1286" s="7" t="s">
        <v>44</v>
      </c>
      <c r="H1286" s="7" t="s">
        <v>153</v>
      </c>
      <c r="I1286" s="7" t="s">
        <v>157</v>
      </c>
      <c r="J1286" s="8"/>
      <c r="K1286" s="8"/>
      <c r="L1286" s="8"/>
      <c r="M1286" s="8"/>
      <c r="N1286" s="8"/>
      <c r="O1286" s="8">
        <v>1.64E-3</v>
      </c>
      <c r="P1286" s="8"/>
      <c r="Q1286" t="s">
        <v>26</v>
      </c>
    </row>
    <row r="1287" spans="1:17" hidden="1" x14ac:dyDescent="0.25">
      <c r="A1287" s="7" t="s">
        <v>17</v>
      </c>
      <c r="B1287" s="7" t="s">
        <v>18</v>
      </c>
      <c r="C1287" s="7" t="s">
        <v>19</v>
      </c>
      <c r="D1287" s="7"/>
      <c r="E1287" s="7"/>
      <c r="F1287" s="7" t="s">
        <v>45</v>
      </c>
      <c r="G1287" s="7" t="s">
        <v>46</v>
      </c>
      <c r="H1287" s="7" t="s">
        <v>153</v>
      </c>
      <c r="I1287" s="7" t="s">
        <v>157</v>
      </c>
      <c r="J1287" s="8"/>
      <c r="K1287" s="8"/>
      <c r="L1287" s="8"/>
      <c r="M1287" s="8"/>
      <c r="N1287" s="8"/>
      <c r="O1287" s="8">
        <v>4.018E-2</v>
      </c>
      <c r="P1287" s="8"/>
      <c r="Q1287" t="s">
        <v>26</v>
      </c>
    </row>
    <row r="1288" spans="1:17" hidden="1" x14ac:dyDescent="0.25">
      <c r="A1288" s="7" t="s">
        <v>17</v>
      </c>
      <c r="B1288" s="7" t="s">
        <v>18</v>
      </c>
      <c r="C1288" s="7" t="s">
        <v>19</v>
      </c>
      <c r="D1288" s="7" t="s">
        <v>20</v>
      </c>
      <c r="E1288" s="7" t="s">
        <v>21</v>
      </c>
      <c r="F1288" s="7" t="s">
        <v>47</v>
      </c>
      <c r="G1288" s="7" t="s">
        <v>48</v>
      </c>
      <c r="H1288" s="7" t="s">
        <v>153</v>
      </c>
      <c r="I1288" s="7" t="s">
        <v>157</v>
      </c>
      <c r="J1288" s="8"/>
      <c r="K1288" s="8"/>
      <c r="L1288" s="8"/>
      <c r="M1288" s="8"/>
      <c r="N1288" s="8"/>
      <c r="O1288" s="8">
        <v>1.64E-3</v>
      </c>
      <c r="P1288" s="8"/>
      <c r="Q1288" t="s">
        <v>26</v>
      </c>
    </row>
    <row r="1289" spans="1:17" hidden="1" x14ac:dyDescent="0.25">
      <c r="A1289" s="7" t="s">
        <v>17</v>
      </c>
      <c r="B1289" s="7" t="s">
        <v>18</v>
      </c>
      <c r="C1289" s="7" t="s">
        <v>19</v>
      </c>
      <c r="D1289" s="7"/>
      <c r="E1289" s="7"/>
      <c r="F1289" s="7" t="s">
        <v>49</v>
      </c>
      <c r="G1289" s="7" t="s">
        <v>50</v>
      </c>
      <c r="H1289" s="7" t="s">
        <v>153</v>
      </c>
      <c r="I1289" s="7" t="s">
        <v>157</v>
      </c>
      <c r="J1289" s="8"/>
      <c r="K1289" s="8"/>
      <c r="L1289" s="8"/>
      <c r="M1289" s="8"/>
      <c r="N1289" s="8"/>
      <c r="O1289" s="8">
        <v>3.2799999999999999E-3</v>
      </c>
      <c r="P1289" s="8"/>
      <c r="Q1289" t="s">
        <v>26</v>
      </c>
    </row>
    <row r="1290" spans="1:17" hidden="1" x14ac:dyDescent="0.25">
      <c r="A1290" s="7" t="s">
        <v>17</v>
      </c>
      <c r="B1290" s="7" t="s">
        <v>18</v>
      </c>
      <c r="C1290" s="7" t="s">
        <v>19</v>
      </c>
      <c r="D1290" s="7"/>
      <c r="E1290" s="7"/>
      <c r="F1290" s="7" t="s">
        <v>51</v>
      </c>
      <c r="G1290" s="7" t="s">
        <v>52</v>
      </c>
      <c r="H1290" s="7" t="s">
        <v>153</v>
      </c>
      <c r="I1290" s="7" t="s">
        <v>157</v>
      </c>
      <c r="J1290" s="8"/>
      <c r="K1290" s="8"/>
      <c r="L1290" s="8"/>
      <c r="M1290" s="8"/>
      <c r="N1290" s="8"/>
      <c r="O1290" s="8">
        <v>5.0839999999999996E-2</v>
      </c>
      <c r="P1290" s="8"/>
      <c r="Q1290" t="s">
        <v>26</v>
      </c>
    </row>
    <row r="1291" spans="1:17" hidden="1" x14ac:dyDescent="0.25">
      <c r="A1291" s="7" t="s">
        <v>17</v>
      </c>
      <c r="B1291" s="7" t="s">
        <v>18</v>
      </c>
      <c r="C1291" s="7" t="s">
        <v>19</v>
      </c>
      <c r="D1291" s="7"/>
      <c r="E1291" s="7"/>
      <c r="F1291" s="7" t="s">
        <v>53</v>
      </c>
      <c r="G1291" s="7" t="s">
        <v>54</v>
      </c>
      <c r="H1291" s="7" t="s">
        <v>153</v>
      </c>
      <c r="I1291" s="7" t="s">
        <v>157</v>
      </c>
      <c r="J1291" s="8"/>
      <c r="K1291" s="8"/>
      <c r="L1291" s="8"/>
      <c r="M1291" s="8"/>
      <c r="N1291" s="8"/>
      <c r="O1291" s="8">
        <v>0</v>
      </c>
      <c r="P1291" s="8"/>
      <c r="Q1291" t="s">
        <v>26</v>
      </c>
    </row>
    <row r="1292" spans="1:17" hidden="1" x14ac:dyDescent="0.25">
      <c r="A1292" s="7" t="s">
        <v>17</v>
      </c>
      <c r="B1292" s="7" t="s">
        <v>18</v>
      </c>
      <c r="C1292" s="7" t="s">
        <v>19</v>
      </c>
      <c r="D1292" s="7"/>
      <c r="E1292" s="7"/>
      <c r="F1292" s="7" t="s">
        <v>55</v>
      </c>
      <c r="G1292" s="7" t="s">
        <v>56</v>
      </c>
      <c r="H1292" s="7" t="s">
        <v>153</v>
      </c>
      <c r="I1292" s="7" t="s">
        <v>157</v>
      </c>
      <c r="J1292" s="8"/>
      <c r="K1292" s="8"/>
      <c r="L1292" s="8"/>
      <c r="M1292" s="8"/>
      <c r="N1292" s="8"/>
      <c r="O1292" s="8">
        <v>0</v>
      </c>
      <c r="P1292" s="8"/>
      <c r="Q1292" t="s">
        <v>26</v>
      </c>
    </row>
    <row r="1293" spans="1:17" hidden="1" x14ac:dyDescent="0.25">
      <c r="A1293" s="7" t="s">
        <v>17</v>
      </c>
      <c r="B1293" s="7" t="s">
        <v>18</v>
      </c>
      <c r="C1293" s="7" t="s">
        <v>19</v>
      </c>
      <c r="D1293" s="7"/>
      <c r="E1293" s="7"/>
      <c r="F1293" s="7" t="s">
        <v>57</v>
      </c>
      <c r="G1293" s="7" t="s">
        <v>58</v>
      </c>
      <c r="H1293" s="7" t="s">
        <v>153</v>
      </c>
      <c r="I1293" s="7" t="s">
        <v>157</v>
      </c>
      <c r="J1293" s="8"/>
      <c r="K1293" s="8"/>
      <c r="L1293" s="8"/>
      <c r="M1293" s="8"/>
      <c r="N1293" s="8"/>
      <c r="O1293" s="8">
        <v>3.526E-2</v>
      </c>
      <c r="P1293" s="8"/>
      <c r="Q1293" t="s">
        <v>26</v>
      </c>
    </row>
    <row r="1294" spans="1:17" hidden="1" x14ac:dyDescent="0.25">
      <c r="A1294" s="7" t="s">
        <v>17</v>
      </c>
      <c r="B1294" s="7" t="s">
        <v>18</v>
      </c>
      <c r="C1294" s="7" t="s">
        <v>19</v>
      </c>
      <c r="D1294" s="7" t="s">
        <v>20</v>
      </c>
      <c r="E1294" s="7" t="s">
        <v>21</v>
      </c>
      <c r="F1294" s="7" t="s">
        <v>59</v>
      </c>
      <c r="G1294" s="7" t="s">
        <v>60</v>
      </c>
      <c r="H1294" s="7" t="s">
        <v>153</v>
      </c>
      <c r="I1294" s="7" t="s">
        <v>157</v>
      </c>
      <c r="J1294" s="8"/>
      <c r="K1294" s="8"/>
      <c r="L1294" s="8"/>
      <c r="M1294" s="8"/>
      <c r="N1294" s="8"/>
      <c r="O1294" s="8">
        <v>1.64E-3</v>
      </c>
      <c r="P1294" s="8"/>
      <c r="Q1294" t="s">
        <v>26</v>
      </c>
    </row>
    <row r="1295" spans="1:17" hidden="1" x14ac:dyDescent="0.25">
      <c r="A1295" s="7" t="s">
        <v>17</v>
      </c>
      <c r="B1295" s="7" t="s">
        <v>18</v>
      </c>
      <c r="C1295" s="7" t="s">
        <v>19</v>
      </c>
      <c r="D1295" s="7" t="s">
        <v>20</v>
      </c>
      <c r="E1295" s="7" t="s">
        <v>21</v>
      </c>
      <c r="F1295" s="7" t="s">
        <v>61</v>
      </c>
      <c r="G1295" s="7" t="s">
        <v>62</v>
      </c>
      <c r="H1295" s="7" t="s">
        <v>153</v>
      </c>
      <c r="I1295" s="7" t="s">
        <v>157</v>
      </c>
      <c r="J1295" s="8"/>
      <c r="K1295" s="8"/>
      <c r="L1295" s="8"/>
      <c r="M1295" s="8"/>
      <c r="N1295" s="8"/>
      <c r="O1295" s="8">
        <v>1.968E-2</v>
      </c>
      <c r="P1295" s="8"/>
      <c r="Q1295" t="s">
        <v>26</v>
      </c>
    </row>
    <row r="1296" spans="1:17" hidden="1" x14ac:dyDescent="0.25">
      <c r="A1296" s="7" t="s">
        <v>17</v>
      </c>
      <c r="B1296" s="7" t="s">
        <v>18</v>
      </c>
      <c r="C1296" s="7" t="s">
        <v>19</v>
      </c>
      <c r="D1296" s="7"/>
      <c r="E1296" s="7"/>
      <c r="F1296" s="7" t="s">
        <v>63</v>
      </c>
      <c r="G1296" s="7" t="s">
        <v>64</v>
      </c>
      <c r="H1296" s="7" t="s">
        <v>153</v>
      </c>
      <c r="I1296" s="7" t="s">
        <v>157</v>
      </c>
      <c r="J1296" s="8"/>
      <c r="K1296" s="8"/>
      <c r="L1296" s="8"/>
      <c r="M1296" s="8"/>
      <c r="N1296" s="8"/>
      <c r="O1296" s="8">
        <v>0</v>
      </c>
      <c r="P1296" s="8"/>
      <c r="Q1296" t="s">
        <v>26</v>
      </c>
    </row>
    <row r="1297" spans="1:17" hidden="1" x14ac:dyDescent="0.25">
      <c r="A1297" s="7" t="s">
        <v>17</v>
      </c>
      <c r="B1297" s="7" t="s">
        <v>18</v>
      </c>
      <c r="C1297" s="7" t="s">
        <v>19</v>
      </c>
      <c r="D1297" s="7" t="s">
        <v>20</v>
      </c>
      <c r="E1297" s="7" t="s">
        <v>21</v>
      </c>
      <c r="F1297" s="7" t="s">
        <v>65</v>
      </c>
      <c r="G1297" s="7" t="s">
        <v>66</v>
      </c>
      <c r="H1297" s="7" t="s">
        <v>153</v>
      </c>
      <c r="I1297" s="7" t="s">
        <v>157</v>
      </c>
      <c r="J1297" s="8"/>
      <c r="K1297" s="8"/>
      <c r="L1297" s="8"/>
      <c r="M1297" s="8"/>
      <c r="N1297" s="8"/>
      <c r="O1297" s="8">
        <v>0</v>
      </c>
      <c r="P1297" s="8"/>
      <c r="Q1297" t="s">
        <v>26</v>
      </c>
    </row>
    <row r="1298" spans="1:17" hidden="1" x14ac:dyDescent="0.25">
      <c r="A1298" s="7" t="s">
        <v>17</v>
      </c>
      <c r="B1298" s="7" t="s">
        <v>18</v>
      </c>
      <c r="C1298" s="7" t="s">
        <v>19</v>
      </c>
      <c r="D1298" s="7"/>
      <c r="E1298" s="7"/>
      <c r="F1298" s="7" t="s">
        <v>67</v>
      </c>
      <c r="G1298" s="7" t="s">
        <v>68</v>
      </c>
      <c r="H1298" s="7" t="s">
        <v>153</v>
      </c>
      <c r="I1298" s="7" t="s">
        <v>157</v>
      </c>
      <c r="J1298" s="8"/>
      <c r="K1298" s="8"/>
      <c r="L1298" s="8"/>
      <c r="M1298" s="8"/>
      <c r="N1298" s="8"/>
      <c r="O1298" s="8">
        <v>4.0999999999999995E-3</v>
      </c>
      <c r="P1298" s="8"/>
      <c r="Q1298" t="s">
        <v>26</v>
      </c>
    </row>
    <row r="1299" spans="1:17" hidden="1" x14ac:dyDescent="0.25">
      <c r="A1299" s="7" t="s">
        <v>17</v>
      </c>
      <c r="B1299" s="7" t="s">
        <v>18</v>
      </c>
      <c r="C1299" s="7" t="s">
        <v>19</v>
      </c>
      <c r="D1299" s="7"/>
      <c r="E1299" s="7"/>
      <c r="F1299" s="7" t="s">
        <v>69</v>
      </c>
      <c r="G1299" s="7" t="s">
        <v>70</v>
      </c>
      <c r="H1299" s="7" t="s">
        <v>153</v>
      </c>
      <c r="I1299" s="7" t="s">
        <v>157</v>
      </c>
      <c r="J1299" s="8"/>
      <c r="K1299" s="8"/>
      <c r="L1299" s="8"/>
      <c r="M1299" s="8"/>
      <c r="N1299" s="8"/>
      <c r="O1299" s="8">
        <v>0</v>
      </c>
      <c r="P1299" s="8"/>
      <c r="Q1299" t="s">
        <v>26</v>
      </c>
    </row>
    <row r="1300" spans="1:17" hidden="1" x14ac:dyDescent="0.25">
      <c r="A1300" s="7" t="s">
        <v>17</v>
      </c>
      <c r="B1300" s="7" t="s">
        <v>18</v>
      </c>
      <c r="C1300" s="7" t="s">
        <v>19</v>
      </c>
      <c r="D1300" s="7"/>
      <c r="E1300" s="7"/>
      <c r="F1300" s="7" t="s">
        <v>71</v>
      </c>
      <c r="G1300" s="7" t="s">
        <v>72</v>
      </c>
      <c r="H1300" s="7" t="s">
        <v>153</v>
      </c>
      <c r="I1300" s="7" t="s">
        <v>157</v>
      </c>
      <c r="J1300" s="8"/>
      <c r="K1300" s="8"/>
      <c r="L1300" s="8"/>
      <c r="M1300" s="8"/>
      <c r="N1300" s="8"/>
      <c r="O1300" s="8">
        <v>0</v>
      </c>
      <c r="P1300" s="8"/>
      <c r="Q1300" t="s">
        <v>26</v>
      </c>
    </row>
    <row r="1301" spans="1:17" hidden="1" x14ac:dyDescent="0.25">
      <c r="A1301" s="7" t="s">
        <v>17</v>
      </c>
      <c r="B1301" s="7" t="s">
        <v>18</v>
      </c>
      <c r="C1301" s="7" t="s">
        <v>19</v>
      </c>
      <c r="D1301" s="7" t="s">
        <v>20</v>
      </c>
      <c r="E1301" s="7" t="s">
        <v>21</v>
      </c>
      <c r="F1301" s="7" t="s">
        <v>73</v>
      </c>
      <c r="G1301" s="7" t="s">
        <v>74</v>
      </c>
      <c r="H1301" s="7" t="s">
        <v>153</v>
      </c>
      <c r="I1301" s="7" t="s">
        <v>157</v>
      </c>
      <c r="J1301" s="8"/>
      <c r="K1301" s="8"/>
      <c r="L1301" s="8"/>
      <c r="M1301" s="8"/>
      <c r="N1301" s="8"/>
      <c r="O1301" s="8">
        <v>0</v>
      </c>
      <c r="P1301" s="8"/>
      <c r="Q1301" t="s">
        <v>26</v>
      </c>
    </row>
    <row r="1302" spans="1:17" hidden="1" x14ac:dyDescent="0.25">
      <c r="A1302" s="7" t="s">
        <v>17</v>
      </c>
      <c r="B1302" s="7" t="s">
        <v>18</v>
      </c>
      <c r="C1302" s="7" t="s">
        <v>19</v>
      </c>
      <c r="D1302" s="7" t="s">
        <v>20</v>
      </c>
      <c r="E1302" s="7" t="s">
        <v>21</v>
      </c>
      <c r="F1302" s="7" t="s">
        <v>75</v>
      </c>
      <c r="G1302" s="7" t="s">
        <v>76</v>
      </c>
      <c r="H1302" s="7" t="s">
        <v>153</v>
      </c>
      <c r="I1302" s="7" t="s">
        <v>157</v>
      </c>
      <c r="J1302" s="8"/>
      <c r="K1302" s="8"/>
      <c r="L1302" s="8"/>
      <c r="M1302" s="8"/>
      <c r="N1302" s="8"/>
      <c r="O1302" s="8">
        <v>0.36989</v>
      </c>
      <c r="P1302" s="8"/>
      <c r="Q1302" t="s">
        <v>26</v>
      </c>
    </row>
    <row r="1303" spans="1:17" hidden="1" x14ac:dyDescent="0.25">
      <c r="A1303" s="7" t="s">
        <v>17</v>
      </c>
      <c r="B1303" s="7" t="s">
        <v>18</v>
      </c>
      <c r="C1303" s="7" t="s">
        <v>19</v>
      </c>
      <c r="D1303" s="7"/>
      <c r="E1303" s="7"/>
      <c r="F1303" s="7" t="s">
        <v>77</v>
      </c>
      <c r="G1303" s="7" t="s">
        <v>78</v>
      </c>
      <c r="H1303" s="7" t="s">
        <v>153</v>
      </c>
      <c r="I1303" s="7" t="s">
        <v>157</v>
      </c>
      <c r="J1303" s="8"/>
      <c r="K1303" s="8"/>
      <c r="L1303" s="8"/>
      <c r="M1303" s="8"/>
      <c r="N1303" s="8"/>
      <c r="O1303" s="8">
        <v>0</v>
      </c>
      <c r="P1303" s="8"/>
      <c r="Q1303" t="s">
        <v>26</v>
      </c>
    </row>
    <row r="1304" spans="1:17" hidden="1" x14ac:dyDescent="0.25">
      <c r="A1304" s="7" t="s">
        <v>17</v>
      </c>
      <c r="B1304" s="7" t="s">
        <v>18</v>
      </c>
      <c r="C1304" s="7" t="s">
        <v>19</v>
      </c>
      <c r="D1304" s="7"/>
      <c r="E1304" s="7"/>
      <c r="F1304" s="7" t="s">
        <v>79</v>
      </c>
      <c r="G1304" s="7" t="s">
        <v>80</v>
      </c>
      <c r="H1304" s="7" t="s">
        <v>153</v>
      </c>
      <c r="I1304" s="7" t="s">
        <v>157</v>
      </c>
      <c r="J1304" s="8"/>
      <c r="K1304" s="8"/>
      <c r="L1304" s="8"/>
      <c r="M1304" s="8"/>
      <c r="N1304" s="8"/>
      <c r="O1304" s="8">
        <v>0</v>
      </c>
      <c r="P1304" s="8"/>
      <c r="Q1304" t="s">
        <v>26</v>
      </c>
    </row>
    <row r="1305" spans="1:17" hidden="1" x14ac:dyDescent="0.25">
      <c r="A1305" s="7" t="s">
        <v>17</v>
      </c>
      <c r="B1305" s="7" t="s">
        <v>18</v>
      </c>
      <c r="C1305" s="7" t="s">
        <v>19</v>
      </c>
      <c r="D1305" s="7"/>
      <c r="E1305" s="7"/>
      <c r="F1305" s="7" t="s">
        <v>81</v>
      </c>
      <c r="G1305" s="7" t="s">
        <v>82</v>
      </c>
      <c r="H1305" s="7" t="s">
        <v>153</v>
      </c>
      <c r="I1305" s="7" t="s">
        <v>157</v>
      </c>
      <c r="J1305" s="8"/>
      <c r="K1305" s="8"/>
      <c r="L1305" s="8"/>
      <c r="M1305" s="8"/>
      <c r="N1305" s="8"/>
      <c r="O1305" s="8">
        <v>1.64E-3</v>
      </c>
      <c r="P1305" s="8"/>
      <c r="Q1305" t="s">
        <v>26</v>
      </c>
    </row>
    <row r="1306" spans="1:17" hidden="1" x14ac:dyDescent="0.25">
      <c r="A1306" s="7" t="s">
        <v>17</v>
      </c>
      <c r="B1306" s="7" t="s">
        <v>18</v>
      </c>
      <c r="C1306" s="7" t="s">
        <v>19</v>
      </c>
      <c r="D1306" s="7"/>
      <c r="E1306" s="7"/>
      <c r="F1306" s="7" t="s">
        <v>83</v>
      </c>
      <c r="G1306" s="7" t="s">
        <v>84</v>
      </c>
      <c r="H1306" s="7" t="s">
        <v>153</v>
      </c>
      <c r="I1306" s="7" t="s">
        <v>157</v>
      </c>
      <c r="J1306" s="8"/>
      <c r="K1306" s="8"/>
      <c r="L1306" s="8"/>
      <c r="M1306" s="8"/>
      <c r="N1306" s="8"/>
      <c r="O1306" s="8">
        <v>0</v>
      </c>
      <c r="P1306" s="8"/>
      <c r="Q1306" t="s">
        <v>26</v>
      </c>
    </row>
    <row r="1307" spans="1:17" hidden="1" x14ac:dyDescent="0.25">
      <c r="A1307" s="7" t="s">
        <v>17</v>
      </c>
      <c r="B1307" s="7" t="s">
        <v>18</v>
      </c>
      <c r="C1307" s="7" t="s">
        <v>19</v>
      </c>
      <c r="D1307" s="7" t="s">
        <v>20</v>
      </c>
      <c r="E1307" s="7" t="s">
        <v>21</v>
      </c>
      <c r="F1307" s="7" t="s">
        <v>85</v>
      </c>
      <c r="G1307" s="7" t="s">
        <v>86</v>
      </c>
      <c r="H1307" s="7" t="s">
        <v>153</v>
      </c>
      <c r="I1307" s="7" t="s">
        <v>157</v>
      </c>
      <c r="J1307" s="8"/>
      <c r="K1307" s="8"/>
      <c r="L1307" s="8"/>
      <c r="M1307" s="8"/>
      <c r="N1307" s="8"/>
      <c r="O1307" s="8">
        <v>1.64E-3</v>
      </c>
      <c r="P1307" s="8"/>
      <c r="Q1307" t="s">
        <v>26</v>
      </c>
    </row>
    <row r="1308" spans="1:17" hidden="1" x14ac:dyDescent="0.25">
      <c r="A1308" s="7" t="s">
        <v>17</v>
      </c>
      <c r="B1308" s="7" t="s">
        <v>18</v>
      </c>
      <c r="C1308" s="7" t="s">
        <v>19</v>
      </c>
      <c r="D1308" s="7"/>
      <c r="E1308" s="7"/>
      <c r="F1308" s="7" t="s">
        <v>87</v>
      </c>
      <c r="G1308" s="7" t="s">
        <v>88</v>
      </c>
      <c r="H1308" s="7" t="s">
        <v>153</v>
      </c>
      <c r="I1308" s="7" t="s">
        <v>157</v>
      </c>
      <c r="J1308" s="8"/>
      <c r="K1308" s="8"/>
      <c r="L1308" s="8"/>
      <c r="M1308" s="8"/>
      <c r="N1308" s="8"/>
      <c r="O1308" s="8">
        <v>8.1999999999999998E-4</v>
      </c>
      <c r="P1308" s="8"/>
      <c r="Q1308" t="s">
        <v>26</v>
      </c>
    </row>
    <row r="1309" spans="1:17" hidden="1" x14ac:dyDescent="0.25">
      <c r="A1309" s="7" t="s">
        <v>17</v>
      </c>
      <c r="B1309" s="7" t="s">
        <v>18</v>
      </c>
      <c r="C1309" s="7" t="s">
        <v>19</v>
      </c>
      <c r="D1309" s="7"/>
      <c r="E1309" s="7"/>
      <c r="F1309" s="7" t="s">
        <v>89</v>
      </c>
      <c r="G1309" s="7" t="s">
        <v>90</v>
      </c>
      <c r="H1309" s="7" t="s">
        <v>153</v>
      </c>
      <c r="I1309" s="7" t="s">
        <v>157</v>
      </c>
      <c r="J1309" s="8"/>
      <c r="K1309" s="8"/>
      <c r="L1309" s="8"/>
      <c r="M1309" s="8"/>
      <c r="N1309" s="8"/>
      <c r="O1309" s="8">
        <v>6.7239999999999994E-2</v>
      </c>
      <c r="P1309" s="8"/>
      <c r="Q1309" t="s">
        <v>26</v>
      </c>
    </row>
    <row r="1310" spans="1:17" hidden="1" x14ac:dyDescent="0.25">
      <c r="A1310" s="7" t="s">
        <v>17</v>
      </c>
      <c r="B1310" s="7" t="s">
        <v>18</v>
      </c>
      <c r="C1310" s="7" t="s">
        <v>19</v>
      </c>
      <c r="D1310" s="7"/>
      <c r="E1310" s="7"/>
      <c r="F1310" s="7" t="s">
        <v>91</v>
      </c>
      <c r="G1310" s="7" t="s">
        <v>92</v>
      </c>
      <c r="H1310" s="7" t="s">
        <v>153</v>
      </c>
      <c r="I1310" s="7" t="s">
        <v>157</v>
      </c>
      <c r="J1310" s="8"/>
      <c r="K1310" s="8"/>
      <c r="L1310" s="8"/>
      <c r="M1310" s="8"/>
      <c r="N1310" s="8"/>
      <c r="O1310" s="8">
        <v>0</v>
      </c>
      <c r="P1310" s="8"/>
      <c r="Q1310" t="s">
        <v>26</v>
      </c>
    </row>
    <row r="1311" spans="1:17" hidden="1" x14ac:dyDescent="0.25">
      <c r="A1311" s="7" t="s">
        <v>17</v>
      </c>
      <c r="B1311" s="7" t="s">
        <v>18</v>
      </c>
      <c r="C1311" s="7" t="s">
        <v>19</v>
      </c>
      <c r="D1311" s="7"/>
      <c r="E1311" s="7"/>
      <c r="F1311" s="7" t="s">
        <v>93</v>
      </c>
      <c r="G1311" s="7" t="s">
        <v>94</v>
      </c>
      <c r="H1311" s="7" t="s">
        <v>153</v>
      </c>
      <c r="I1311" s="7" t="s">
        <v>157</v>
      </c>
      <c r="J1311" s="8"/>
      <c r="K1311" s="8"/>
      <c r="L1311" s="8"/>
      <c r="M1311" s="8"/>
      <c r="N1311" s="8"/>
      <c r="O1311" s="8">
        <v>0</v>
      </c>
      <c r="P1311" s="8"/>
      <c r="Q1311" t="s">
        <v>26</v>
      </c>
    </row>
    <row r="1312" spans="1:17" hidden="1" x14ac:dyDescent="0.25">
      <c r="A1312" s="7" t="s">
        <v>17</v>
      </c>
      <c r="B1312" s="7" t="s">
        <v>18</v>
      </c>
      <c r="C1312" s="7" t="s">
        <v>19</v>
      </c>
      <c r="D1312" s="7"/>
      <c r="E1312" s="7"/>
      <c r="F1312" s="7" t="s">
        <v>95</v>
      </c>
      <c r="G1312" s="7" t="s">
        <v>96</v>
      </c>
      <c r="H1312" s="7" t="s">
        <v>153</v>
      </c>
      <c r="I1312" s="7" t="s">
        <v>157</v>
      </c>
      <c r="J1312" s="8"/>
      <c r="K1312" s="8"/>
      <c r="L1312" s="8"/>
      <c r="M1312" s="8"/>
      <c r="N1312" s="8"/>
      <c r="O1312" s="8">
        <v>0</v>
      </c>
      <c r="P1312" s="8"/>
      <c r="Q1312" t="s">
        <v>26</v>
      </c>
    </row>
    <row r="1313" spans="1:17" hidden="1" x14ac:dyDescent="0.25">
      <c r="A1313" s="7" t="s">
        <v>17</v>
      </c>
      <c r="B1313" s="7" t="s">
        <v>18</v>
      </c>
      <c r="C1313" s="7" t="s">
        <v>19</v>
      </c>
      <c r="D1313" s="7"/>
      <c r="E1313" s="7"/>
      <c r="F1313" s="7" t="s">
        <v>97</v>
      </c>
      <c r="G1313" s="7" t="s">
        <v>98</v>
      </c>
      <c r="H1313" s="7" t="s">
        <v>153</v>
      </c>
      <c r="I1313" s="7" t="s">
        <v>157</v>
      </c>
      <c r="J1313" s="8"/>
      <c r="K1313" s="8"/>
      <c r="L1313" s="8"/>
      <c r="M1313" s="8"/>
      <c r="N1313" s="8"/>
      <c r="O1313" s="8">
        <v>0</v>
      </c>
      <c r="P1313" s="8"/>
      <c r="Q1313" t="s">
        <v>26</v>
      </c>
    </row>
    <row r="1314" spans="1:17" hidden="1" x14ac:dyDescent="0.25">
      <c r="A1314" s="7" t="s">
        <v>17</v>
      </c>
      <c r="B1314" s="7" t="s">
        <v>18</v>
      </c>
      <c r="C1314" s="7" t="s">
        <v>19</v>
      </c>
      <c r="D1314" s="7"/>
      <c r="E1314" s="7"/>
      <c r="F1314" s="7" t="s">
        <v>99</v>
      </c>
      <c r="G1314" s="7" t="s">
        <v>100</v>
      </c>
      <c r="H1314" s="7" t="s">
        <v>153</v>
      </c>
      <c r="I1314" s="7" t="s">
        <v>157</v>
      </c>
      <c r="J1314" s="8"/>
      <c r="K1314" s="8"/>
      <c r="L1314" s="8"/>
      <c r="M1314" s="8"/>
      <c r="N1314" s="8"/>
      <c r="O1314" s="8">
        <v>7.3800000000000004E-2</v>
      </c>
      <c r="P1314" s="8"/>
      <c r="Q1314" t="s">
        <v>26</v>
      </c>
    </row>
    <row r="1315" spans="1:17" hidden="1" x14ac:dyDescent="0.25">
      <c r="A1315" s="7" t="s">
        <v>17</v>
      </c>
      <c r="B1315" s="7" t="s">
        <v>18</v>
      </c>
      <c r="C1315" s="7" t="s">
        <v>19</v>
      </c>
      <c r="D1315" s="7" t="s">
        <v>20</v>
      </c>
      <c r="E1315" s="7" t="s">
        <v>21</v>
      </c>
      <c r="F1315" s="7" t="s">
        <v>101</v>
      </c>
      <c r="G1315" s="7" t="s">
        <v>21</v>
      </c>
      <c r="H1315" s="7" t="s">
        <v>153</v>
      </c>
      <c r="I1315" s="7" t="s">
        <v>157</v>
      </c>
      <c r="J1315" s="8"/>
      <c r="K1315" s="8"/>
      <c r="L1315" s="8"/>
      <c r="M1315" s="8"/>
      <c r="N1315" s="8"/>
      <c r="O1315" s="8">
        <v>2.7523000000000013</v>
      </c>
      <c r="P1315" s="8"/>
      <c r="Q1315" t="s">
        <v>26</v>
      </c>
    </row>
    <row r="1316" spans="1:17" hidden="1" x14ac:dyDescent="0.25">
      <c r="A1316" s="7" t="s">
        <v>17</v>
      </c>
      <c r="B1316" s="7" t="s">
        <v>18</v>
      </c>
      <c r="C1316" s="7" t="s">
        <v>19</v>
      </c>
      <c r="D1316" s="7"/>
      <c r="E1316" s="7"/>
      <c r="F1316" s="7" t="s">
        <v>102</v>
      </c>
      <c r="G1316" s="7" t="s">
        <v>103</v>
      </c>
      <c r="H1316" s="7" t="s">
        <v>153</v>
      </c>
      <c r="I1316" s="7" t="s">
        <v>157</v>
      </c>
      <c r="J1316" s="8"/>
      <c r="K1316" s="8"/>
      <c r="L1316" s="8"/>
      <c r="M1316" s="8"/>
      <c r="N1316" s="8"/>
      <c r="O1316" s="8">
        <v>0</v>
      </c>
      <c r="P1316" s="8"/>
      <c r="Q1316" t="s">
        <v>26</v>
      </c>
    </row>
    <row r="1317" spans="1:17" hidden="1" x14ac:dyDescent="0.25">
      <c r="A1317" s="7" t="s">
        <v>17</v>
      </c>
      <c r="B1317" s="7" t="s">
        <v>18</v>
      </c>
      <c r="C1317" s="7" t="s">
        <v>19</v>
      </c>
      <c r="D1317" s="7" t="s">
        <v>20</v>
      </c>
      <c r="E1317" s="7" t="s">
        <v>21</v>
      </c>
      <c r="F1317" s="7" t="s">
        <v>104</v>
      </c>
      <c r="G1317" s="7" t="s">
        <v>105</v>
      </c>
      <c r="H1317" s="7" t="s">
        <v>153</v>
      </c>
      <c r="I1317" s="7" t="s">
        <v>157</v>
      </c>
      <c r="J1317" s="8"/>
      <c r="K1317" s="8"/>
      <c r="L1317" s="8"/>
      <c r="M1317" s="8"/>
      <c r="N1317" s="8"/>
      <c r="O1317" s="8">
        <v>0</v>
      </c>
      <c r="P1317" s="8"/>
      <c r="Q1317" t="s">
        <v>26</v>
      </c>
    </row>
    <row r="1318" spans="1:17" hidden="1" x14ac:dyDescent="0.25">
      <c r="A1318" s="7" t="s">
        <v>17</v>
      </c>
      <c r="B1318" s="7" t="s">
        <v>18</v>
      </c>
      <c r="C1318" s="7" t="s">
        <v>19</v>
      </c>
      <c r="D1318" s="7"/>
      <c r="E1318" s="7"/>
      <c r="F1318" s="7" t="s">
        <v>106</v>
      </c>
      <c r="G1318" s="7" t="s">
        <v>107</v>
      </c>
      <c r="H1318" s="7" t="s">
        <v>153</v>
      </c>
      <c r="I1318" s="7" t="s">
        <v>157</v>
      </c>
      <c r="J1318" s="8"/>
      <c r="K1318" s="8"/>
      <c r="L1318" s="8"/>
      <c r="M1318" s="8"/>
      <c r="N1318" s="8"/>
      <c r="O1318" s="8">
        <v>0</v>
      </c>
      <c r="P1318" s="8"/>
      <c r="Q1318" t="s">
        <v>26</v>
      </c>
    </row>
    <row r="1319" spans="1:17" hidden="1" x14ac:dyDescent="0.25">
      <c r="A1319" s="7" t="s">
        <v>17</v>
      </c>
      <c r="B1319" s="7" t="s">
        <v>18</v>
      </c>
      <c r="C1319" s="7" t="s">
        <v>19</v>
      </c>
      <c r="D1319" s="7"/>
      <c r="E1319" s="7"/>
      <c r="F1319" s="7" t="s">
        <v>108</v>
      </c>
      <c r="G1319" s="7" t="s">
        <v>109</v>
      </c>
      <c r="H1319" s="7" t="s">
        <v>153</v>
      </c>
      <c r="I1319" s="7" t="s">
        <v>157</v>
      </c>
      <c r="J1319" s="8"/>
      <c r="K1319" s="8"/>
      <c r="L1319" s="8"/>
      <c r="M1319" s="8"/>
      <c r="N1319" s="8"/>
      <c r="O1319" s="8">
        <v>0</v>
      </c>
      <c r="P1319" s="8"/>
      <c r="Q1319" t="s">
        <v>26</v>
      </c>
    </row>
    <row r="1320" spans="1:17" hidden="1" x14ac:dyDescent="0.25">
      <c r="A1320" s="7" t="s">
        <v>17</v>
      </c>
      <c r="B1320" s="7" t="s">
        <v>18</v>
      </c>
      <c r="C1320" s="7" t="s">
        <v>19</v>
      </c>
      <c r="D1320" s="7"/>
      <c r="E1320" s="7"/>
      <c r="F1320" s="7" t="s">
        <v>110</v>
      </c>
      <c r="G1320" s="7" t="s">
        <v>111</v>
      </c>
      <c r="H1320" s="7" t="s">
        <v>153</v>
      </c>
      <c r="I1320" s="7" t="s">
        <v>157</v>
      </c>
      <c r="J1320" s="8"/>
      <c r="K1320" s="8"/>
      <c r="L1320" s="8"/>
      <c r="M1320" s="8"/>
      <c r="N1320" s="8"/>
      <c r="O1320" s="8">
        <v>5.1659999999999998E-2</v>
      </c>
      <c r="P1320" s="8"/>
      <c r="Q1320" t="s">
        <v>26</v>
      </c>
    </row>
    <row r="1321" spans="1:17" hidden="1" x14ac:dyDescent="0.25">
      <c r="A1321" s="7" t="s">
        <v>17</v>
      </c>
      <c r="B1321" s="7" t="s">
        <v>18</v>
      </c>
      <c r="C1321" s="7" t="s">
        <v>19</v>
      </c>
      <c r="D1321" s="7" t="s">
        <v>20</v>
      </c>
      <c r="E1321" s="7" t="s">
        <v>21</v>
      </c>
      <c r="F1321" s="7" t="s">
        <v>112</v>
      </c>
      <c r="G1321" s="7" t="s">
        <v>113</v>
      </c>
      <c r="H1321" s="7" t="s">
        <v>153</v>
      </c>
      <c r="I1321" s="7" t="s">
        <v>157</v>
      </c>
      <c r="J1321" s="8"/>
      <c r="K1321" s="8"/>
      <c r="L1321" s="8"/>
      <c r="M1321" s="8"/>
      <c r="N1321" s="8"/>
      <c r="O1321" s="8">
        <v>1.64E-3</v>
      </c>
      <c r="P1321" s="8"/>
      <c r="Q1321" t="s">
        <v>26</v>
      </c>
    </row>
    <row r="1322" spans="1:17" hidden="1" x14ac:dyDescent="0.25">
      <c r="A1322" s="7" t="s">
        <v>17</v>
      </c>
      <c r="B1322" s="7" t="s">
        <v>18</v>
      </c>
      <c r="C1322" s="7" t="s">
        <v>19</v>
      </c>
      <c r="D1322" s="7" t="s">
        <v>20</v>
      </c>
      <c r="E1322" s="7" t="s">
        <v>21</v>
      </c>
      <c r="F1322" s="7" t="s">
        <v>114</v>
      </c>
      <c r="G1322" s="7" t="s">
        <v>115</v>
      </c>
      <c r="H1322" s="7" t="s">
        <v>153</v>
      </c>
      <c r="I1322" s="7" t="s">
        <v>157</v>
      </c>
      <c r="J1322" s="8"/>
      <c r="K1322" s="8"/>
      <c r="L1322" s="8"/>
      <c r="M1322" s="8"/>
      <c r="N1322" s="8"/>
      <c r="O1322" s="8">
        <v>0.41059000000000001</v>
      </c>
      <c r="P1322" s="8"/>
      <c r="Q1322" t="s">
        <v>26</v>
      </c>
    </row>
    <row r="1323" spans="1:17" hidden="1" x14ac:dyDescent="0.25">
      <c r="A1323" s="7" t="s">
        <v>17</v>
      </c>
      <c r="B1323" s="7" t="s">
        <v>18</v>
      </c>
      <c r="C1323" s="7" t="s">
        <v>19</v>
      </c>
      <c r="D1323" s="7" t="s">
        <v>20</v>
      </c>
      <c r="E1323" s="7" t="s">
        <v>21</v>
      </c>
      <c r="F1323" s="7" t="s">
        <v>116</v>
      </c>
      <c r="G1323" s="7" t="s">
        <v>117</v>
      </c>
      <c r="H1323" s="7" t="s">
        <v>153</v>
      </c>
      <c r="I1323" s="7" t="s">
        <v>157</v>
      </c>
      <c r="J1323" s="8"/>
      <c r="K1323" s="8"/>
      <c r="L1323" s="8"/>
      <c r="M1323" s="8"/>
      <c r="N1323" s="8"/>
      <c r="O1323" s="8">
        <v>2.4599999999999999E-3</v>
      </c>
      <c r="P1323" s="8"/>
      <c r="Q1323" t="s">
        <v>26</v>
      </c>
    </row>
    <row r="1324" spans="1:17" hidden="1" x14ac:dyDescent="0.25">
      <c r="A1324" s="7" t="s">
        <v>17</v>
      </c>
      <c r="B1324" s="7" t="s">
        <v>18</v>
      </c>
      <c r="C1324" s="7" t="s">
        <v>19</v>
      </c>
      <c r="D1324" s="7" t="s">
        <v>20</v>
      </c>
      <c r="E1324" s="7" t="s">
        <v>21</v>
      </c>
      <c r="F1324" s="7" t="s">
        <v>118</v>
      </c>
      <c r="G1324" s="7" t="s">
        <v>119</v>
      </c>
      <c r="H1324" s="7" t="s">
        <v>153</v>
      </c>
      <c r="I1324" s="7" t="s">
        <v>157</v>
      </c>
      <c r="J1324" s="8"/>
      <c r="K1324" s="8"/>
      <c r="L1324" s="8"/>
      <c r="M1324" s="8"/>
      <c r="N1324" s="8"/>
      <c r="O1324" s="8">
        <v>1.64E-3</v>
      </c>
      <c r="P1324" s="8"/>
      <c r="Q1324" t="s">
        <v>26</v>
      </c>
    </row>
    <row r="1325" spans="1:17" hidden="1" x14ac:dyDescent="0.25">
      <c r="A1325" s="7" t="s">
        <v>17</v>
      </c>
      <c r="B1325" s="7" t="s">
        <v>18</v>
      </c>
      <c r="C1325" s="7" t="s">
        <v>19</v>
      </c>
      <c r="D1325" s="7" t="s">
        <v>20</v>
      </c>
      <c r="E1325" s="7" t="s">
        <v>21</v>
      </c>
      <c r="F1325" s="7" t="s">
        <v>120</v>
      </c>
      <c r="G1325" s="7" t="s">
        <v>121</v>
      </c>
      <c r="H1325" s="7" t="s">
        <v>153</v>
      </c>
      <c r="I1325" s="7" t="s">
        <v>157</v>
      </c>
      <c r="J1325" s="8"/>
      <c r="K1325" s="8"/>
      <c r="L1325" s="8"/>
      <c r="M1325" s="8"/>
      <c r="N1325" s="8"/>
      <c r="O1325" s="8">
        <v>4.0999999999999995E-3</v>
      </c>
      <c r="P1325" s="8"/>
      <c r="Q1325" t="s">
        <v>26</v>
      </c>
    </row>
    <row r="1326" spans="1:17" hidden="1" x14ac:dyDescent="0.25">
      <c r="A1326" s="7" t="s">
        <v>17</v>
      </c>
      <c r="B1326" s="7" t="s">
        <v>18</v>
      </c>
      <c r="C1326" s="7" t="s">
        <v>19</v>
      </c>
      <c r="D1326" s="7"/>
      <c r="E1326" s="7"/>
      <c r="F1326" s="7" t="s">
        <v>122</v>
      </c>
      <c r="G1326" s="7" t="s">
        <v>123</v>
      </c>
      <c r="H1326" s="7" t="s">
        <v>153</v>
      </c>
      <c r="I1326" s="7" t="s">
        <v>157</v>
      </c>
      <c r="J1326" s="8"/>
      <c r="K1326" s="8"/>
      <c r="L1326" s="8"/>
      <c r="M1326" s="8"/>
      <c r="N1326" s="8"/>
      <c r="O1326" s="8">
        <v>0</v>
      </c>
      <c r="P1326" s="8"/>
      <c r="Q1326" t="s">
        <v>26</v>
      </c>
    </row>
    <row r="1327" spans="1:17" hidden="1" x14ac:dyDescent="0.25">
      <c r="A1327" s="7" t="s">
        <v>17</v>
      </c>
      <c r="B1327" s="7" t="s">
        <v>18</v>
      </c>
      <c r="C1327" s="7" t="s">
        <v>19</v>
      </c>
      <c r="D1327" s="7"/>
      <c r="E1327" s="7"/>
      <c r="F1327" s="7" t="s">
        <v>124</v>
      </c>
      <c r="G1327" s="7" t="s">
        <v>125</v>
      </c>
      <c r="H1327" s="7" t="s">
        <v>153</v>
      </c>
      <c r="I1327" s="7" t="s">
        <v>157</v>
      </c>
      <c r="J1327" s="8"/>
      <c r="K1327" s="8"/>
      <c r="L1327" s="8"/>
      <c r="M1327" s="8"/>
      <c r="N1327" s="8"/>
      <c r="O1327" s="8">
        <v>8.1999999999999998E-4</v>
      </c>
      <c r="P1327" s="8"/>
      <c r="Q1327" t="s">
        <v>26</v>
      </c>
    </row>
    <row r="1328" spans="1:17" hidden="1" x14ac:dyDescent="0.25">
      <c r="A1328" s="7" t="s">
        <v>17</v>
      </c>
      <c r="B1328" s="7" t="s">
        <v>18</v>
      </c>
      <c r="C1328" s="7" t="s">
        <v>19</v>
      </c>
      <c r="D1328" s="7" t="s">
        <v>20</v>
      </c>
      <c r="E1328" s="7" t="s">
        <v>21</v>
      </c>
      <c r="F1328" s="7" t="s">
        <v>22</v>
      </c>
      <c r="G1328" s="7" t="s">
        <v>23</v>
      </c>
      <c r="H1328" s="7" t="s">
        <v>153</v>
      </c>
      <c r="I1328" s="7" t="s">
        <v>158</v>
      </c>
      <c r="J1328" s="8">
        <v>2.1653954800976496E-3</v>
      </c>
      <c r="K1328" s="8">
        <v>2.0221273481441193E-3</v>
      </c>
      <c r="L1328" s="8">
        <v>0</v>
      </c>
      <c r="M1328" s="8">
        <v>3.4384351668847367E-2</v>
      </c>
      <c r="N1328" s="8">
        <v>8.1867503973446121E-4</v>
      </c>
      <c r="O1328" s="8">
        <v>2.1326484785082708E-3</v>
      </c>
      <c r="P1328" s="8">
        <v>0</v>
      </c>
      <c r="Q1328" t="s">
        <v>26</v>
      </c>
    </row>
    <row r="1329" spans="1:17" hidden="1" x14ac:dyDescent="0.25">
      <c r="A1329" s="7" t="s">
        <v>17</v>
      </c>
      <c r="B1329" s="7" t="s">
        <v>18</v>
      </c>
      <c r="C1329" s="7" t="s">
        <v>19</v>
      </c>
      <c r="D1329" s="7"/>
      <c r="E1329" s="7"/>
      <c r="F1329" s="7" t="s">
        <v>27</v>
      </c>
      <c r="G1329" s="7" t="s">
        <v>28</v>
      </c>
      <c r="H1329" s="7" t="s">
        <v>153</v>
      </c>
      <c r="I1329" s="7" t="s">
        <v>158</v>
      </c>
      <c r="J1329" s="8">
        <v>2.4892503067946614E-3</v>
      </c>
      <c r="K1329" s="8">
        <v>2.3245551069122176E-3</v>
      </c>
      <c r="L1329" s="8">
        <v>0</v>
      </c>
      <c r="M1329" s="8">
        <v>3.9526847971786683E-2</v>
      </c>
      <c r="N1329" s="8">
        <v>9.4111542789968288E-4</v>
      </c>
      <c r="O1329" s="8">
        <v>2.4516056896786735E-3</v>
      </c>
      <c r="P1329" s="8">
        <v>0</v>
      </c>
      <c r="Q1329" t="s">
        <v>26</v>
      </c>
    </row>
    <row r="1330" spans="1:17" hidden="1" x14ac:dyDescent="0.25">
      <c r="A1330" s="7" t="s">
        <v>17</v>
      </c>
      <c r="B1330" s="7" t="s">
        <v>18</v>
      </c>
      <c r="C1330" s="7" t="s">
        <v>19</v>
      </c>
      <c r="D1330" s="7"/>
      <c r="E1330" s="7"/>
      <c r="F1330" s="7" t="s">
        <v>29</v>
      </c>
      <c r="G1330" s="7" t="s">
        <v>30</v>
      </c>
      <c r="H1330" s="7" t="s">
        <v>153</v>
      </c>
      <c r="I1330" s="7" t="s">
        <v>158</v>
      </c>
      <c r="J1330" s="8">
        <v>1.530019403550009E-3</v>
      </c>
      <c r="K1330" s="8">
        <v>1.4287893863018989E-3</v>
      </c>
      <c r="L1330" s="8">
        <v>0</v>
      </c>
      <c r="M1330" s="8">
        <v>2.4295204139546448E-2</v>
      </c>
      <c r="N1330" s="8">
        <v>5.784572414177727E-4</v>
      </c>
      <c r="O1330" s="8">
        <v>1.5068811138932979E-3</v>
      </c>
      <c r="P1330" s="8">
        <v>0</v>
      </c>
      <c r="Q1330" t="s">
        <v>26</v>
      </c>
    </row>
    <row r="1331" spans="1:17" hidden="1" x14ac:dyDescent="0.25">
      <c r="A1331" s="7" t="s">
        <v>17</v>
      </c>
      <c r="B1331" s="7" t="s">
        <v>18</v>
      </c>
      <c r="C1331" s="7" t="s">
        <v>19</v>
      </c>
      <c r="D1331" s="7"/>
      <c r="E1331" s="7"/>
      <c r="F1331" s="7" t="s">
        <v>31</v>
      </c>
      <c r="G1331" s="7" t="s">
        <v>32</v>
      </c>
      <c r="H1331" s="7" t="s">
        <v>153</v>
      </c>
      <c r="I1331" s="7" t="s">
        <v>158</v>
      </c>
      <c r="J1331" s="8">
        <v>3.0405649673680368E-2</v>
      </c>
      <c r="K1331" s="8">
        <v>2.8393933721735546E-2</v>
      </c>
      <c r="L1331" s="8">
        <v>0</v>
      </c>
      <c r="M1331" s="8">
        <v>0.4828118284667583</v>
      </c>
      <c r="N1331" s="8">
        <v>1.1495519725399007E-2</v>
      </c>
      <c r="O1331" s="8">
        <v>2.9945828884664412E-2</v>
      </c>
      <c r="P1331" s="8">
        <v>0</v>
      </c>
      <c r="Q1331" t="s">
        <v>26</v>
      </c>
    </row>
    <row r="1332" spans="1:17" hidden="1" x14ac:dyDescent="0.25">
      <c r="A1332" s="7" t="s">
        <v>17</v>
      </c>
      <c r="B1332" s="7" t="s">
        <v>18</v>
      </c>
      <c r="C1332" s="7" t="s">
        <v>19</v>
      </c>
      <c r="D1332" s="7"/>
      <c r="E1332" s="7"/>
      <c r="F1332" s="7" t="s">
        <v>33</v>
      </c>
      <c r="G1332" s="7" t="s">
        <v>34</v>
      </c>
      <c r="H1332" s="7" t="s">
        <v>153</v>
      </c>
      <c r="I1332" s="7" t="s">
        <v>158</v>
      </c>
      <c r="J1332" s="8">
        <v>1.5813233344421126E-2</v>
      </c>
      <c r="K1332" s="8">
        <v>1.4766989172294966E-2</v>
      </c>
      <c r="L1332" s="8">
        <v>0</v>
      </c>
      <c r="M1332" s="8">
        <v>0.25109860131027884</v>
      </c>
      <c r="N1332" s="8">
        <v>5.9785381264352089E-3</v>
      </c>
      <c r="O1332" s="8">
        <v>1.5574091819363719E-2</v>
      </c>
      <c r="P1332" s="8">
        <v>0</v>
      </c>
      <c r="Q1332" t="s">
        <v>26</v>
      </c>
    </row>
    <row r="1333" spans="1:17" hidden="1" x14ac:dyDescent="0.25">
      <c r="A1333" s="7" t="s">
        <v>17</v>
      </c>
      <c r="B1333" s="7" t="s">
        <v>18</v>
      </c>
      <c r="C1333" s="7" t="s">
        <v>19</v>
      </c>
      <c r="D1333" s="7" t="s">
        <v>20</v>
      </c>
      <c r="E1333" s="7" t="s">
        <v>21</v>
      </c>
      <c r="F1333" s="7" t="s">
        <v>35</v>
      </c>
      <c r="G1333" s="7" t="s">
        <v>36</v>
      </c>
      <c r="H1333" s="7" t="s">
        <v>153</v>
      </c>
      <c r="I1333" s="7" t="s">
        <v>158</v>
      </c>
      <c r="J1333" s="8">
        <v>0.50892952841295036</v>
      </c>
      <c r="K1333" s="8">
        <v>0.47525744241209367</v>
      </c>
      <c r="L1333" s="8">
        <v>0</v>
      </c>
      <c r="M1333" s="8">
        <v>8.0813006402056402</v>
      </c>
      <c r="N1333" s="8">
        <v>0.19241192000489618</v>
      </c>
      <c r="O1333" s="8">
        <v>0.50123305161275455</v>
      </c>
      <c r="P1333" s="8">
        <v>0</v>
      </c>
      <c r="Q1333" t="s">
        <v>26</v>
      </c>
    </row>
    <row r="1334" spans="1:17" hidden="1" x14ac:dyDescent="0.25">
      <c r="A1334" s="7" t="s">
        <v>17</v>
      </c>
      <c r="B1334" s="7" t="s">
        <v>18</v>
      </c>
      <c r="C1334" s="7" t="s">
        <v>19</v>
      </c>
      <c r="D1334" s="7"/>
      <c r="E1334" s="7"/>
      <c r="F1334" s="7" t="s">
        <v>37</v>
      </c>
      <c r="G1334" s="7" t="s">
        <v>38</v>
      </c>
      <c r="H1334" s="7" t="s">
        <v>153</v>
      </c>
      <c r="I1334" s="7" t="s">
        <v>158</v>
      </c>
      <c r="J1334" s="8">
        <v>4.8906099569812934E-3</v>
      </c>
      <c r="K1334" s="8">
        <v>4.5670346290146678E-3</v>
      </c>
      <c r="L1334" s="8">
        <v>0</v>
      </c>
      <c r="M1334" s="8">
        <v>7.7658078711990319E-2</v>
      </c>
      <c r="N1334" s="8">
        <v>1.8490018740950072E-3</v>
      </c>
      <c r="O1334" s="8">
        <v>4.816649882017493E-3</v>
      </c>
      <c r="P1334" s="8">
        <v>0</v>
      </c>
      <c r="Q1334" t="s">
        <v>26</v>
      </c>
    </row>
    <row r="1335" spans="1:17" hidden="1" x14ac:dyDescent="0.25">
      <c r="A1335" s="7" t="s">
        <v>17</v>
      </c>
      <c r="B1335" s="7" t="s">
        <v>18</v>
      </c>
      <c r="C1335" s="7" t="s">
        <v>19</v>
      </c>
      <c r="D1335" s="7"/>
      <c r="E1335" s="7"/>
      <c r="F1335" s="7" t="s">
        <v>39</v>
      </c>
      <c r="G1335" s="7" t="s">
        <v>40</v>
      </c>
      <c r="H1335" s="7" t="s">
        <v>153</v>
      </c>
      <c r="I1335" s="7" t="s">
        <v>158</v>
      </c>
      <c r="J1335" s="8">
        <v>3.3183968081265235E-3</v>
      </c>
      <c r="K1335" s="8">
        <v>3.0988431440727841E-3</v>
      </c>
      <c r="L1335" s="8">
        <v>0</v>
      </c>
      <c r="M1335" s="8">
        <v>5.269287937289753E-2</v>
      </c>
      <c r="N1335" s="8">
        <v>1.2545923660213698E-3</v>
      </c>
      <c r="O1335" s="8">
        <v>3.2682131134856682E-3</v>
      </c>
      <c r="P1335" s="8">
        <v>0</v>
      </c>
      <c r="Q1335" t="s">
        <v>26</v>
      </c>
    </row>
    <row r="1336" spans="1:17" hidden="1" x14ac:dyDescent="0.25">
      <c r="A1336" s="7" t="s">
        <v>17</v>
      </c>
      <c r="B1336" s="7" t="s">
        <v>18</v>
      </c>
      <c r="C1336" s="7" t="s">
        <v>19</v>
      </c>
      <c r="D1336" s="7" t="s">
        <v>20</v>
      </c>
      <c r="E1336" s="7" t="s">
        <v>21</v>
      </c>
      <c r="F1336" s="7" t="s">
        <v>41</v>
      </c>
      <c r="G1336" s="7" t="s">
        <v>42</v>
      </c>
      <c r="H1336" s="7" t="s">
        <v>153</v>
      </c>
      <c r="I1336" s="7" t="s">
        <v>158</v>
      </c>
      <c r="J1336" s="8">
        <v>8.7396962438416007E-2</v>
      </c>
      <c r="K1336" s="8">
        <v>8.1614554715647464E-2</v>
      </c>
      <c r="L1336" s="8">
        <v>0</v>
      </c>
      <c r="M1336" s="8">
        <v>1.3877778534644507</v>
      </c>
      <c r="N1336" s="8">
        <v>3.3042329844391691E-2</v>
      </c>
      <c r="O1336" s="8">
        <v>8.6075269244640346E-2</v>
      </c>
      <c r="P1336" s="8">
        <v>0</v>
      </c>
      <c r="Q1336" t="s">
        <v>26</v>
      </c>
    </row>
    <row r="1337" spans="1:17" hidden="1" x14ac:dyDescent="0.25">
      <c r="A1337" s="7" t="s">
        <v>17</v>
      </c>
      <c r="B1337" s="7" t="s">
        <v>18</v>
      </c>
      <c r="C1337" s="7" t="s">
        <v>19</v>
      </c>
      <c r="D1337" s="7" t="s">
        <v>20</v>
      </c>
      <c r="E1337" s="7" t="s">
        <v>21</v>
      </c>
      <c r="F1337" s="7" t="s">
        <v>43</v>
      </c>
      <c r="G1337" s="7" t="s">
        <v>44</v>
      </c>
      <c r="H1337" s="7" t="s">
        <v>153</v>
      </c>
      <c r="I1337" s="7" t="s">
        <v>158</v>
      </c>
      <c r="J1337" s="8">
        <v>3.3615399112620847E-2</v>
      </c>
      <c r="K1337" s="8">
        <v>3.1391317885887907E-2</v>
      </c>
      <c r="L1337" s="8">
        <v>0</v>
      </c>
      <c r="M1337" s="8">
        <v>0.53377949441590777</v>
      </c>
      <c r="N1337" s="8">
        <v>1.2709035581331138E-2</v>
      </c>
      <c r="O1337" s="8">
        <v>3.310703768936761E-2</v>
      </c>
      <c r="P1337" s="8">
        <v>0</v>
      </c>
      <c r="Q1337" t="s">
        <v>26</v>
      </c>
    </row>
    <row r="1338" spans="1:17" hidden="1" x14ac:dyDescent="0.25">
      <c r="A1338" s="7" t="s">
        <v>17</v>
      </c>
      <c r="B1338" s="7" t="s">
        <v>18</v>
      </c>
      <c r="C1338" s="7" t="s">
        <v>19</v>
      </c>
      <c r="D1338" s="7"/>
      <c r="E1338" s="7"/>
      <c r="F1338" s="7" t="s">
        <v>45</v>
      </c>
      <c r="G1338" s="7" t="s">
        <v>46</v>
      </c>
      <c r="H1338" s="7" t="s">
        <v>153</v>
      </c>
      <c r="I1338" s="7" t="s">
        <v>158</v>
      </c>
      <c r="J1338" s="8">
        <v>7.6339915503442499E-3</v>
      </c>
      <c r="K1338" s="8">
        <v>7.1289070432326278E-3</v>
      </c>
      <c r="L1338" s="8">
        <v>0</v>
      </c>
      <c r="M1338" s="8">
        <v>0.12122028170678963</v>
      </c>
      <c r="N1338" s="8">
        <v>2.8861971834949914E-3</v>
      </c>
      <c r="O1338" s="8">
        <v>7.5185436630044507E-3</v>
      </c>
      <c r="P1338" s="8">
        <v>0</v>
      </c>
      <c r="Q1338" t="s">
        <v>26</v>
      </c>
    </row>
    <row r="1339" spans="1:17" hidden="1" x14ac:dyDescent="0.25">
      <c r="A1339" s="7" t="s">
        <v>17</v>
      </c>
      <c r="B1339" s="7" t="s">
        <v>18</v>
      </c>
      <c r="C1339" s="7" t="s">
        <v>19</v>
      </c>
      <c r="D1339" s="7" t="s">
        <v>20</v>
      </c>
      <c r="E1339" s="7" t="s">
        <v>21</v>
      </c>
      <c r="F1339" s="7" t="s">
        <v>47</v>
      </c>
      <c r="G1339" s="7" t="s">
        <v>48</v>
      </c>
      <c r="H1339" s="7" t="s">
        <v>153</v>
      </c>
      <c r="I1339" s="7" t="s">
        <v>158</v>
      </c>
      <c r="J1339" s="8">
        <v>3.8069467841716748E-2</v>
      </c>
      <c r="K1339" s="8">
        <v>3.5550693976952895E-2</v>
      </c>
      <c r="L1339" s="8">
        <v>0</v>
      </c>
      <c r="M1339" s="8">
        <v>0.60450572754332854</v>
      </c>
      <c r="N1339" s="8">
        <v>1.4392993512936393E-2</v>
      </c>
      <c r="O1339" s="8">
        <v>3.7493748101199299E-2</v>
      </c>
      <c r="P1339" s="8">
        <v>0</v>
      </c>
      <c r="Q1339" t="s">
        <v>26</v>
      </c>
    </row>
    <row r="1340" spans="1:17" hidden="1" x14ac:dyDescent="0.25">
      <c r="A1340" s="7" t="s">
        <v>17</v>
      </c>
      <c r="B1340" s="7" t="s">
        <v>18</v>
      </c>
      <c r="C1340" s="7" t="s">
        <v>19</v>
      </c>
      <c r="D1340" s="7"/>
      <c r="E1340" s="7"/>
      <c r="F1340" s="7" t="s">
        <v>49</v>
      </c>
      <c r="G1340" s="7" t="s">
        <v>50</v>
      </c>
      <c r="H1340" s="7" t="s">
        <v>153</v>
      </c>
      <c r="I1340" s="7" t="s">
        <v>158</v>
      </c>
      <c r="J1340" s="8">
        <v>1.0635240299966859E-2</v>
      </c>
      <c r="K1340" s="8">
        <v>9.9315854597044027E-3</v>
      </c>
      <c r="L1340" s="8">
        <v>0</v>
      </c>
      <c r="M1340" s="8">
        <v>0.16887716166298983</v>
      </c>
      <c r="N1340" s="8">
        <v>4.0208848014997578E-3</v>
      </c>
      <c r="O1340" s="8">
        <v>1.0474404907906867E-2</v>
      </c>
      <c r="P1340" s="8">
        <v>0</v>
      </c>
      <c r="Q1340" t="s">
        <v>26</v>
      </c>
    </row>
    <row r="1341" spans="1:17" hidden="1" x14ac:dyDescent="0.25">
      <c r="A1341" s="7" t="s">
        <v>17</v>
      </c>
      <c r="B1341" s="7" t="s">
        <v>18</v>
      </c>
      <c r="C1341" s="7" t="s">
        <v>19</v>
      </c>
      <c r="D1341" s="7"/>
      <c r="E1341" s="7"/>
      <c r="F1341" s="7" t="s">
        <v>51</v>
      </c>
      <c r="G1341" s="7" t="s">
        <v>52</v>
      </c>
      <c r="H1341" s="7" t="s">
        <v>153</v>
      </c>
      <c r="I1341" s="7" t="s">
        <v>158</v>
      </c>
      <c r="J1341" s="8">
        <v>1.0191621840459582E-2</v>
      </c>
      <c r="K1341" s="8">
        <v>9.5173179379717098E-3</v>
      </c>
      <c r="L1341" s="8">
        <v>0</v>
      </c>
      <c r="M1341" s="8">
        <v>0.16183293659708978</v>
      </c>
      <c r="N1341" s="8">
        <v>3.8531651570735668E-3</v>
      </c>
      <c r="O1341" s="8">
        <v>1.003749523417664E-2</v>
      </c>
      <c r="P1341" s="8">
        <v>0</v>
      </c>
      <c r="Q1341" t="s">
        <v>26</v>
      </c>
    </row>
    <row r="1342" spans="1:17" hidden="1" x14ac:dyDescent="0.25">
      <c r="A1342" s="7" t="s">
        <v>17</v>
      </c>
      <c r="B1342" s="7" t="s">
        <v>18</v>
      </c>
      <c r="C1342" s="7" t="s">
        <v>19</v>
      </c>
      <c r="D1342" s="7"/>
      <c r="E1342" s="7"/>
      <c r="F1342" s="7" t="s">
        <v>53</v>
      </c>
      <c r="G1342" s="7" t="s">
        <v>54</v>
      </c>
      <c r="H1342" s="7" t="s">
        <v>153</v>
      </c>
      <c r="I1342" s="7" t="s">
        <v>158</v>
      </c>
      <c r="J1342" s="8">
        <v>1.7083284700770368E-3</v>
      </c>
      <c r="K1342" s="8">
        <v>1.5953010665747756E-3</v>
      </c>
      <c r="L1342" s="8">
        <v>0</v>
      </c>
      <c r="M1342" s="8">
        <v>2.7126576840542739E-2</v>
      </c>
      <c r="N1342" s="8">
        <v>6.4587087715577954E-4</v>
      </c>
      <c r="O1342" s="8">
        <v>1.6824936349908056E-3</v>
      </c>
      <c r="P1342" s="8">
        <v>0</v>
      </c>
      <c r="Q1342" t="s">
        <v>26</v>
      </c>
    </row>
    <row r="1343" spans="1:17" hidden="1" x14ac:dyDescent="0.25">
      <c r="A1343" s="7" t="s">
        <v>17</v>
      </c>
      <c r="B1343" s="7" t="s">
        <v>18</v>
      </c>
      <c r="C1343" s="7" t="s">
        <v>19</v>
      </c>
      <c r="D1343" s="7"/>
      <c r="E1343" s="7"/>
      <c r="F1343" s="7" t="s">
        <v>55</v>
      </c>
      <c r="G1343" s="7" t="s">
        <v>56</v>
      </c>
      <c r="H1343" s="7" t="s">
        <v>153</v>
      </c>
      <c r="I1343" s="7" t="s">
        <v>158</v>
      </c>
      <c r="J1343" s="8">
        <v>2.6125769191260801E-3</v>
      </c>
      <c r="K1343" s="8">
        <v>2.4397221135128238E-3</v>
      </c>
      <c r="L1343" s="8">
        <v>0</v>
      </c>
      <c r="M1343" s="8">
        <v>4.1485153347181614E-2</v>
      </c>
      <c r="N1343" s="8">
        <v>9.8774174636146687E-4</v>
      </c>
      <c r="O1343" s="8">
        <v>2.5730672492716221E-3</v>
      </c>
      <c r="P1343" s="8">
        <v>0</v>
      </c>
      <c r="Q1343" t="s">
        <v>26</v>
      </c>
    </row>
    <row r="1344" spans="1:17" hidden="1" x14ac:dyDescent="0.25">
      <c r="A1344" s="7" t="s">
        <v>17</v>
      </c>
      <c r="B1344" s="7" t="s">
        <v>18</v>
      </c>
      <c r="C1344" s="7" t="s">
        <v>19</v>
      </c>
      <c r="D1344" s="7"/>
      <c r="E1344" s="7"/>
      <c r="F1344" s="7" t="s">
        <v>57</v>
      </c>
      <c r="G1344" s="7" t="s">
        <v>58</v>
      </c>
      <c r="H1344" s="7" t="s">
        <v>153</v>
      </c>
      <c r="I1344" s="7" t="s">
        <v>158</v>
      </c>
      <c r="J1344" s="8">
        <v>1.1721661760528574E-2</v>
      </c>
      <c r="K1344" s="8">
        <v>1.0946126483366949E-2</v>
      </c>
      <c r="L1344" s="8">
        <v>0</v>
      </c>
      <c r="M1344" s="8">
        <v>0.18612846651879023</v>
      </c>
      <c r="N1344" s="8">
        <v>4.4316301552092922E-3</v>
      </c>
      <c r="O1344" s="8">
        <v>1.1544396554320201E-2</v>
      </c>
      <c r="P1344" s="8">
        <v>0</v>
      </c>
      <c r="Q1344" t="s">
        <v>26</v>
      </c>
    </row>
    <row r="1345" spans="1:17" hidden="1" x14ac:dyDescent="0.25">
      <c r="A1345" s="7" t="s">
        <v>17</v>
      </c>
      <c r="B1345" s="7" t="s">
        <v>18</v>
      </c>
      <c r="C1345" s="7" t="s">
        <v>19</v>
      </c>
      <c r="D1345" s="7" t="s">
        <v>20</v>
      </c>
      <c r="E1345" s="7" t="s">
        <v>21</v>
      </c>
      <c r="F1345" s="7" t="s">
        <v>59</v>
      </c>
      <c r="G1345" s="7" t="s">
        <v>60</v>
      </c>
      <c r="H1345" s="7" t="s">
        <v>153</v>
      </c>
      <c r="I1345" s="7" t="s">
        <v>158</v>
      </c>
      <c r="J1345" s="8">
        <v>0.21440008540966837</v>
      </c>
      <c r="K1345" s="8">
        <v>0.20021482456025749</v>
      </c>
      <c r="L1345" s="8">
        <v>0</v>
      </c>
      <c r="M1345" s="8">
        <v>3.404462603858629</v>
      </c>
      <c r="N1345" s="8">
        <v>8.1058633425205445E-2</v>
      </c>
      <c r="O1345" s="8">
        <v>0.21115774007266017</v>
      </c>
      <c r="P1345" s="8">
        <v>0</v>
      </c>
      <c r="Q1345" t="s">
        <v>26</v>
      </c>
    </row>
    <row r="1346" spans="1:17" hidden="1" x14ac:dyDescent="0.25">
      <c r="A1346" s="7" t="s">
        <v>17</v>
      </c>
      <c r="B1346" s="7" t="s">
        <v>18</v>
      </c>
      <c r="C1346" s="7" t="s">
        <v>19</v>
      </c>
      <c r="D1346" s="7" t="s">
        <v>20</v>
      </c>
      <c r="E1346" s="7" t="s">
        <v>21</v>
      </c>
      <c r="F1346" s="7" t="s">
        <v>61</v>
      </c>
      <c r="G1346" s="7" t="s">
        <v>62</v>
      </c>
      <c r="H1346" s="7" t="s">
        <v>153</v>
      </c>
      <c r="I1346" s="7" t="s">
        <v>158</v>
      </c>
      <c r="J1346" s="8">
        <v>0.11074461902981758</v>
      </c>
      <c r="K1346" s="8">
        <v>0.10341747032274083</v>
      </c>
      <c r="L1346" s="8">
        <v>0</v>
      </c>
      <c r="M1346" s="8">
        <v>1.7585156896984264</v>
      </c>
      <c r="N1346" s="8">
        <v>4.1869421183295875E-2</v>
      </c>
      <c r="O1346" s="8">
        <v>0.10906984218248575</v>
      </c>
      <c r="P1346" s="8">
        <v>0</v>
      </c>
      <c r="Q1346" t="s">
        <v>26</v>
      </c>
    </row>
    <row r="1347" spans="1:17" hidden="1" x14ac:dyDescent="0.25">
      <c r="A1347" s="7" t="s">
        <v>17</v>
      </c>
      <c r="B1347" s="7" t="s">
        <v>18</v>
      </c>
      <c r="C1347" s="7" t="s">
        <v>19</v>
      </c>
      <c r="D1347" s="7"/>
      <c r="E1347" s="7"/>
      <c r="F1347" s="7" t="s">
        <v>63</v>
      </c>
      <c r="G1347" s="7" t="s">
        <v>64</v>
      </c>
      <c r="H1347" s="7" t="s">
        <v>153</v>
      </c>
      <c r="I1347" s="7" t="s">
        <v>158</v>
      </c>
      <c r="J1347" s="8">
        <v>5.4199719202444171E-3</v>
      </c>
      <c r="K1347" s="8">
        <v>5.061372643857736E-3</v>
      </c>
      <c r="L1347" s="8">
        <v>0</v>
      </c>
      <c r="M1347" s="8">
        <v>8.60638263328036E-2</v>
      </c>
      <c r="N1347" s="8">
        <v>2.0491387222096101E-3</v>
      </c>
      <c r="O1347" s="8">
        <v>5.3380063713560329E-3</v>
      </c>
      <c r="P1347" s="8">
        <v>0</v>
      </c>
      <c r="Q1347" t="s">
        <v>26</v>
      </c>
    </row>
    <row r="1348" spans="1:17" hidden="1" x14ac:dyDescent="0.25">
      <c r="A1348" s="7" t="s">
        <v>17</v>
      </c>
      <c r="B1348" s="7" t="s">
        <v>18</v>
      </c>
      <c r="C1348" s="7" t="s">
        <v>19</v>
      </c>
      <c r="D1348" s="7" t="s">
        <v>20</v>
      </c>
      <c r="E1348" s="7" t="s">
        <v>21</v>
      </c>
      <c r="F1348" s="7" t="s">
        <v>65</v>
      </c>
      <c r="G1348" s="7" t="s">
        <v>66</v>
      </c>
      <c r="H1348" s="7" t="s">
        <v>153</v>
      </c>
      <c r="I1348" s="7" t="s">
        <v>158</v>
      </c>
      <c r="J1348" s="8">
        <v>0.35145681893998532</v>
      </c>
      <c r="K1348" s="8">
        <v>0.32820353224263282</v>
      </c>
      <c r="L1348" s="8">
        <v>0</v>
      </c>
      <c r="M1348" s="8">
        <v>5.5807888073646064</v>
      </c>
      <c r="N1348" s="8">
        <v>0.13287592398487155</v>
      </c>
      <c r="O1348" s="8">
        <v>0.34614178198059053</v>
      </c>
      <c r="P1348" s="8">
        <v>0</v>
      </c>
      <c r="Q1348" t="s">
        <v>26</v>
      </c>
    </row>
    <row r="1349" spans="1:17" hidden="1" x14ac:dyDescent="0.25">
      <c r="A1349" s="7" t="s">
        <v>17</v>
      </c>
      <c r="B1349" s="7" t="s">
        <v>18</v>
      </c>
      <c r="C1349" s="7" t="s">
        <v>19</v>
      </c>
      <c r="D1349" s="7"/>
      <c r="E1349" s="7"/>
      <c r="F1349" s="7" t="s">
        <v>67</v>
      </c>
      <c r="G1349" s="7" t="s">
        <v>68</v>
      </c>
      <c r="H1349" s="7" t="s">
        <v>153</v>
      </c>
      <c r="I1349" s="7" t="s">
        <v>158</v>
      </c>
      <c r="J1349" s="8">
        <v>1.3118795670591588E-2</v>
      </c>
      <c r="K1349" s="8">
        <v>1.2250822422064739E-2</v>
      </c>
      <c r="L1349" s="8">
        <v>0</v>
      </c>
      <c r="M1349" s="8">
        <v>0.2083135796464449</v>
      </c>
      <c r="N1349" s="8">
        <v>4.9598471344391637E-3</v>
      </c>
      <c r="O1349" s="8">
        <v>1.2920401785214022E-2</v>
      </c>
      <c r="P1349" s="8">
        <v>0</v>
      </c>
      <c r="Q1349" t="s">
        <v>26</v>
      </c>
    </row>
    <row r="1350" spans="1:17" hidden="1" x14ac:dyDescent="0.25">
      <c r="A1350" s="7" t="s">
        <v>17</v>
      </c>
      <c r="B1350" s="7" t="s">
        <v>18</v>
      </c>
      <c r="C1350" s="7" t="s">
        <v>19</v>
      </c>
      <c r="D1350" s="7"/>
      <c r="E1350" s="7"/>
      <c r="F1350" s="7" t="s">
        <v>69</v>
      </c>
      <c r="G1350" s="7" t="s">
        <v>70</v>
      </c>
      <c r="H1350" s="7" t="s">
        <v>153</v>
      </c>
      <c r="I1350" s="7" t="s">
        <v>158</v>
      </c>
      <c r="J1350" s="8">
        <v>1.1799460400532095E-3</v>
      </c>
      <c r="K1350" s="8">
        <v>1.1018777765336213E-3</v>
      </c>
      <c r="L1350" s="8">
        <v>0</v>
      </c>
      <c r="M1350" s="8">
        <v>1.8736383244701248E-2</v>
      </c>
      <c r="N1350" s="8">
        <v>4.4610436296907728E-4</v>
      </c>
      <c r="O1350" s="8">
        <v>1.1621018655344464E-3</v>
      </c>
      <c r="P1350" s="8">
        <v>0</v>
      </c>
      <c r="Q1350" t="s">
        <v>26</v>
      </c>
    </row>
    <row r="1351" spans="1:17" hidden="1" x14ac:dyDescent="0.25">
      <c r="A1351" s="7" t="s">
        <v>17</v>
      </c>
      <c r="B1351" s="7" t="s">
        <v>18</v>
      </c>
      <c r="C1351" s="7" t="s">
        <v>19</v>
      </c>
      <c r="D1351" s="7"/>
      <c r="E1351" s="7"/>
      <c r="F1351" s="7" t="s">
        <v>71</v>
      </c>
      <c r="G1351" s="7" t="s">
        <v>72</v>
      </c>
      <c r="H1351" s="7" t="s">
        <v>153</v>
      </c>
      <c r="I1351" s="7" t="s">
        <v>158</v>
      </c>
      <c r="J1351" s="8">
        <v>2.4538987701106575E-3</v>
      </c>
      <c r="K1351" s="8">
        <v>2.291542518780085E-3</v>
      </c>
      <c r="L1351" s="8">
        <v>0</v>
      </c>
      <c r="M1351" s="8">
        <v>3.8965500319337473E-2</v>
      </c>
      <c r="N1351" s="8">
        <v>9.2775000760327323E-4</v>
      </c>
      <c r="O1351" s="8">
        <v>2.4167887698065258E-3</v>
      </c>
      <c r="P1351" s="8">
        <v>0</v>
      </c>
      <c r="Q1351" t="s">
        <v>26</v>
      </c>
    </row>
    <row r="1352" spans="1:17" hidden="1" x14ac:dyDescent="0.25">
      <c r="A1352" s="7" t="s">
        <v>17</v>
      </c>
      <c r="B1352" s="7" t="s">
        <v>18</v>
      </c>
      <c r="C1352" s="7" t="s">
        <v>19</v>
      </c>
      <c r="D1352" s="7" t="s">
        <v>20</v>
      </c>
      <c r="E1352" s="7" t="s">
        <v>21</v>
      </c>
      <c r="F1352" s="7" t="s">
        <v>73</v>
      </c>
      <c r="G1352" s="7" t="s">
        <v>74</v>
      </c>
      <c r="H1352" s="7" t="s">
        <v>153</v>
      </c>
      <c r="I1352" s="7" t="s">
        <v>158</v>
      </c>
      <c r="J1352" s="8">
        <v>5.6539412620385143E-2</v>
      </c>
      <c r="K1352" s="8">
        <v>5.2798619724896523E-2</v>
      </c>
      <c r="L1352" s="8">
        <v>0</v>
      </c>
      <c r="M1352" s="8">
        <v>0.89779029491726869</v>
      </c>
      <c r="N1352" s="8">
        <v>2.1375959402792116E-2</v>
      </c>
      <c r="O1352" s="8">
        <v>5.5684374244273457E-2</v>
      </c>
      <c r="P1352" s="8">
        <v>0</v>
      </c>
      <c r="Q1352" t="s">
        <v>26</v>
      </c>
    </row>
    <row r="1353" spans="1:17" hidden="1" x14ac:dyDescent="0.25">
      <c r="A1353" s="7" t="s">
        <v>17</v>
      </c>
      <c r="B1353" s="7" t="s">
        <v>18</v>
      </c>
      <c r="C1353" s="7" t="s">
        <v>19</v>
      </c>
      <c r="D1353" s="7" t="s">
        <v>20</v>
      </c>
      <c r="E1353" s="7" t="s">
        <v>21</v>
      </c>
      <c r="F1353" s="7" t="s">
        <v>75</v>
      </c>
      <c r="G1353" s="7" t="s">
        <v>76</v>
      </c>
      <c r="H1353" s="7" t="s">
        <v>153</v>
      </c>
      <c r="I1353" s="7" t="s">
        <v>158</v>
      </c>
      <c r="J1353" s="8">
        <v>0.5925637091954794</v>
      </c>
      <c r="K1353" s="8">
        <v>0.55335817077989946</v>
      </c>
      <c r="L1353" s="8">
        <v>0</v>
      </c>
      <c r="M1353" s="8">
        <v>9.4093292197391811</v>
      </c>
      <c r="N1353" s="8">
        <v>0.22403164808902812</v>
      </c>
      <c r="O1353" s="8">
        <v>0.58360244327191824</v>
      </c>
      <c r="P1353" s="8">
        <v>0</v>
      </c>
      <c r="Q1353" t="s">
        <v>26</v>
      </c>
    </row>
    <row r="1354" spans="1:17" hidden="1" x14ac:dyDescent="0.25">
      <c r="A1354" s="7" t="s">
        <v>17</v>
      </c>
      <c r="B1354" s="7" t="s">
        <v>18</v>
      </c>
      <c r="C1354" s="7" t="s">
        <v>19</v>
      </c>
      <c r="D1354" s="7"/>
      <c r="E1354" s="7"/>
      <c r="F1354" s="7" t="s">
        <v>77</v>
      </c>
      <c r="G1354" s="7" t="s">
        <v>78</v>
      </c>
      <c r="H1354" s="7" t="s">
        <v>153</v>
      </c>
      <c r="I1354" s="7" t="s">
        <v>158</v>
      </c>
      <c r="J1354" s="8">
        <v>1.9968317600900479E-3</v>
      </c>
      <c r="K1354" s="8">
        <v>1.8647162372107445E-3</v>
      </c>
      <c r="L1354" s="8">
        <v>0</v>
      </c>
      <c r="M1354" s="8">
        <v>3.1707725491032901E-2</v>
      </c>
      <c r="N1354" s="8">
        <v>7.5494584502459276E-4</v>
      </c>
      <c r="O1354" s="8">
        <v>1.9666339262890643E-3</v>
      </c>
      <c r="P1354" s="8">
        <v>0</v>
      </c>
      <c r="Q1354" t="s">
        <v>26</v>
      </c>
    </row>
    <row r="1355" spans="1:17" hidden="1" x14ac:dyDescent="0.25">
      <c r="A1355" s="7" t="s">
        <v>17</v>
      </c>
      <c r="B1355" s="7" t="s">
        <v>18</v>
      </c>
      <c r="C1355" s="7" t="s">
        <v>19</v>
      </c>
      <c r="D1355" s="7"/>
      <c r="E1355" s="7"/>
      <c r="F1355" s="7" t="s">
        <v>79</v>
      </c>
      <c r="G1355" s="7" t="s">
        <v>80</v>
      </c>
      <c r="H1355" s="7" t="s">
        <v>153</v>
      </c>
      <c r="I1355" s="7" t="s">
        <v>158</v>
      </c>
      <c r="J1355" s="8">
        <v>1.4198251800640275E-3</v>
      </c>
      <c r="K1355" s="8">
        <v>1.3258858959388088E-3</v>
      </c>
      <c r="L1355" s="8">
        <v>0</v>
      </c>
      <c r="M1355" s="8">
        <v>2.2545428190052615E-2</v>
      </c>
      <c r="N1355" s="8">
        <v>5.3679590928696697E-4</v>
      </c>
      <c r="O1355" s="8">
        <v>1.3983533436925488E-3</v>
      </c>
      <c r="P1355" s="8">
        <v>0</v>
      </c>
      <c r="Q1355" t="s">
        <v>26</v>
      </c>
    </row>
    <row r="1356" spans="1:17" hidden="1" x14ac:dyDescent="0.25">
      <c r="A1356" s="7" t="s">
        <v>17</v>
      </c>
      <c r="B1356" s="7" t="s">
        <v>18</v>
      </c>
      <c r="C1356" s="7" t="s">
        <v>19</v>
      </c>
      <c r="D1356" s="7"/>
      <c r="E1356" s="7"/>
      <c r="F1356" s="7" t="s">
        <v>81</v>
      </c>
      <c r="G1356" s="7" t="s">
        <v>82</v>
      </c>
      <c r="H1356" s="7" t="s">
        <v>153</v>
      </c>
      <c r="I1356" s="7" t="s">
        <v>158</v>
      </c>
      <c r="J1356" s="8">
        <v>5.9483543502682409E-3</v>
      </c>
      <c r="K1356" s="8">
        <v>5.5547959338988874E-3</v>
      </c>
      <c r="L1356" s="8">
        <v>0</v>
      </c>
      <c r="M1356" s="8">
        <v>9.445401992864505E-2</v>
      </c>
      <c r="N1356" s="8">
        <v>2.2489052363963108E-3</v>
      </c>
      <c r="O1356" s="8">
        <v>5.8583981408123903E-3</v>
      </c>
      <c r="P1356" s="8">
        <v>0</v>
      </c>
      <c r="Q1356" t="s">
        <v>26</v>
      </c>
    </row>
    <row r="1357" spans="1:17" hidden="1" x14ac:dyDescent="0.25">
      <c r="A1357" s="7" t="s">
        <v>17</v>
      </c>
      <c r="B1357" s="7" t="s">
        <v>18</v>
      </c>
      <c r="C1357" s="7" t="s">
        <v>19</v>
      </c>
      <c r="D1357" s="7"/>
      <c r="E1357" s="7"/>
      <c r="F1357" s="7" t="s">
        <v>83</v>
      </c>
      <c r="G1357" s="7" t="s">
        <v>84</v>
      </c>
      <c r="H1357" s="7" t="s">
        <v>153</v>
      </c>
      <c r="I1357" s="7" t="s">
        <v>158</v>
      </c>
      <c r="J1357" s="8">
        <v>2.2788518301027644E-3</v>
      </c>
      <c r="K1357" s="8">
        <v>2.1280771343492734E-3</v>
      </c>
      <c r="L1357" s="8">
        <v>0</v>
      </c>
      <c r="M1357" s="8">
        <v>3.6185926980837849E-2</v>
      </c>
      <c r="N1357" s="8">
        <v>8.6156969001994869E-4</v>
      </c>
      <c r="O1357" s="8">
        <v>2.2443890425019662E-3</v>
      </c>
      <c r="P1357" s="8">
        <v>0</v>
      </c>
      <c r="Q1357" t="s">
        <v>26</v>
      </c>
    </row>
    <row r="1358" spans="1:17" hidden="1" x14ac:dyDescent="0.25">
      <c r="A1358" s="7" t="s">
        <v>17</v>
      </c>
      <c r="B1358" s="7" t="s">
        <v>18</v>
      </c>
      <c r="C1358" s="7" t="s">
        <v>19</v>
      </c>
      <c r="D1358" s="7" t="s">
        <v>20</v>
      </c>
      <c r="E1358" s="7" t="s">
        <v>21</v>
      </c>
      <c r="F1358" s="7" t="s">
        <v>85</v>
      </c>
      <c r="G1358" s="7" t="s">
        <v>86</v>
      </c>
      <c r="H1358" s="7" t="s">
        <v>153</v>
      </c>
      <c r="I1358" s="7" t="s">
        <v>158</v>
      </c>
      <c r="J1358" s="8">
        <v>0.28096574349680514</v>
      </c>
      <c r="K1358" s="8">
        <v>0.26237632757546647</v>
      </c>
      <c r="L1358" s="8">
        <v>0</v>
      </c>
      <c r="M1358" s="8">
        <v>4.4614598211212915</v>
      </c>
      <c r="N1358" s="8">
        <v>0.10622523383622122</v>
      </c>
      <c r="O1358" s="8">
        <v>0.27671673414335629</v>
      </c>
      <c r="P1358" s="8">
        <v>0</v>
      </c>
      <c r="Q1358" t="s">
        <v>26</v>
      </c>
    </row>
    <row r="1359" spans="1:17" hidden="1" x14ac:dyDescent="0.25">
      <c r="A1359" s="7" t="s">
        <v>17</v>
      </c>
      <c r="B1359" s="7" t="s">
        <v>18</v>
      </c>
      <c r="C1359" s="7" t="s">
        <v>19</v>
      </c>
      <c r="D1359" s="7"/>
      <c r="E1359" s="7"/>
      <c r="F1359" s="7" t="s">
        <v>87</v>
      </c>
      <c r="G1359" s="7" t="s">
        <v>88</v>
      </c>
      <c r="H1359" s="7" t="s">
        <v>153</v>
      </c>
      <c r="I1359" s="7" t="s">
        <v>158</v>
      </c>
      <c r="J1359" s="8">
        <v>4.2659587601923754E-3</v>
      </c>
      <c r="K1359" s="8">
        <v>3.9837119613138627E-3</v>
      </c>
      <c r="L1359" s="8">
        <v>0</v>
      </c>
      <c r="M1359" s="8">
        <v>6.7739231730843022E-2</v>
      </c>
      <c r="N1359" s="8">
        <v>1.6128388507343574E-3</v>
      </c>
      <c r="O1359" s="8">
        <v>4.2014452061630006E-3</v>
      </c>
      <c r="P1359" s="8">
        <v>0</v>
      </c>
      <c r="Q1359" t="s">
        <v>26</v>
      </c>
    </row>
    <row r="1360" spans="1:17" hidden="1" x14ac:dyDescent="0.25">
      <c r="A1360" s="7" t="s">
        <v>17</v>
      </c>
      <c r="B1360" s="7" t="s">
        <v>18</v>
      </c>
      <c r="C1360" s="7" t="s">
        <v>19</v>
      </c>
      <c r="D1360" s="7"/>
      <c r="E1360" s="7"/>
      <c r="F1360" s="7" t="s">
        <v>89</v>
      </c>
      <c r="G1360" s="7" t="s">
        <v>90</v>
      </c>
      <c r="H1360" s="7" t="s">
        <v>153</v>
      </c>
      <c r="I1360" s="7" t="s">
        <v>158</v>
      </c>
      <c r="J1360" s="8">
        <v>6.8002494583066606E-2</v>
      </c>
      <c r="K1360" s="8">
        <v>6.3503274714621749E-2</v>
      </c>
      <c r="L1360" s="8">
        <v>0</v>
      </c>
      <c r="M1360" s="8">
        <v>1.0798127684267664</v>
      </c>
      <c r="N1360" s="8">
        <v>2.5709827819684918E-2</v>
      </c>
      <c r="O1360" s="8">
        <v>6.6974101470279213E-2</v>
      </c>
      <c r="P1360" s="8">
        <v>0</v>
      </c>
      <c r="Q1360" t="s">
        <v>26</v>
      </c>
    </row>
    <row r="1361" spans="1:17" hidden="1" x14ac:dyDescent="0.25">
      <c r="A1361" s="7" t="s">
        <v>17</v>
      </c>
      <c r="B1361" s="7" t="s">
        <v>18</v>
      </c>
      <c r="C1361" s="7" t="s">
        <v>19</v>
      </c>
      <c r="D1361" s="7"/>
      <c r="E1361" s="7"/>
      <c r="F1361" s="7" t="s">
        <v>91</v>
      </c>
      <c r="G1361" s="7" t="s">
        <v>92</v>
      </c>
      <c r="H1361" s="7" t="s">
        <v>153</v>
      </c>
      <c r="I1361" s="7" t="s">
        <v>158</v>
      </c>
      <c r="J1361" s="8">
        <v>4.7133009402125468E-3</v>
      </c>
      <c r="K1361" s="8">
        <v>4.4014568326370485E-3</v>
      </c>
      <c r="L1361" s="8">
        <v>0</v>
      </c>
      <c r="M1361" s="8">
        <v>7.4842585818119853E-2</v>
      </c>
      <c r="N1361" s="8">
        <v>1.7819663290028537E-3</v>
      </c>
      <c r="O1361" s="8">
        <v>4.642022287052433E-3</v>
      </c>
      <c r="P1361" s="8">
        <v>0</v>
      </c>
      <c r="Q1361" t="s">
        <v>26</v>
      </c>
    </row>
    <row r="1362" spans="1:17" hidden="1" x14ac:dyDescent="0.25">
      <c r="A1362" s="7" t="s">
        <v>17</v>
      </c>
      <c r="B1362" s="7" t="s">
        <v>18</v>
      </c>
      <c r="C1362" s="7" t="s">
        <v>19</v>
      </c>
      <c r="D1362" s="7"/>
      <c r="E1362" s="7"/>
      <c r="F1362" s="7" t="s">
        <v>93</v>
      </c>
      <c r="G1362" s="7" t="s">
        <v>94</v>
      </c>
      <c r="H1362" s="7" t="s">
        <v>153</v>
      </c>
      <c r="I1362" s="7" t="s">
        <v>158</v>
      </c>
      <c r="J1362" s="8">
        <v>1.0113823200456082E-3</v>
      </c>
      <c r="K1362" s="8">
        <v>9.4446666560024672E-4</v>
      </c>
      <c r="L1362" s="8">
        <v>0</v>
      </c>
      <c r="M1362" s="8">
        <v>1.6059757066886785E-2</v>
      </c>
      <c r="N1362" s="8">
        <v>3.823751682592092E-4</v>
      </c>
      <c r="O1362" s="8">
        <v>9.9608731331523996E-4</v>
      </c>
      <c r="P1362" s="8">
        <v>0</v>
      </c>
      <c r="Q1362" t="s">
        <v>26</v>
      </c>
    </row>
    <row r="1363" spans="1:17" hidden="1" x14ac:dyDescent="0.25">
      <c r="A1363" s="7" t="s">
        <v>17</v>
      </c>
      <c r="B1363" s="7" t="s">
        <v>18</v>
      </c>
      <c r="C1363" s="7" t="s">
        <v>19</v>
      </c>
      <c r="D1363" s="7"/>
      <c r="E1363" s="7"/>
      <c r="F1363" s="7" t="s">
        <v>95</v>
      </c>
      <c r="G1363" s="7" t="s">
        <v>96</v>
      </c>
      <c r="H1363" s="7" t="s">
        <v>153</v>
      </c>
      <c r="I1363" s="7" t="s">
        <v>158</v>
      </c>
      <c r="J1363" s="8">
        <v>2.7650933301246929E-3</v>
      </c>
      <c r="K1363" s="8">
        <v>2.5821476466570854E-3</v>
      </c>
      <c r="L1363" s="8">
        <v>0</v>
      </c>
      <c r="M1363" s="8">
        <v>4.390696403222575E-2</v>
      </c>
      <c r="N1363" s="8">
        <v>1.0454039055291845E-3</v>
      </c>
      <c r="O1363" s="8">
        <v>2.7232771739035253E-3</v>
      </c>
      <c r="P1363" s="8">
        <v>0</v>
      </c>
      <c r="Q1363" t="s">
        <v>26</v>
      </c>
    </row>
    <row r="1364" spans="1:17" hidden="1" x14ac:dyDescent="0.25">
      <c r="A1364" s="7" t="s">
        <v>17</v>
      </c>
      <c r="B1364" s="7" t="s">
        <v>18</v>
      </c>
      <c r="C1364" s="7" t="s">
        <v>19</v>
      </c>
      <c r="D1364" s="7"/>
      <c r="E1364" s="7"/>
      <c r="F1364" s="7" t="s">
        <v>97</v>
      </c>
      <c r="G1364" s="7" t="s">
        <v>98</v>
      </c>
      <c r="H1364" s="7" t="s">
        <v>153</v>
      </c>
      <c r="I1364" s="7" t="s">
        <v>158</v>
      </c>
      <c r="J1364" s="8">
        <v>4.1687104601879901E-3</v>
      </c>
      <c r="K1364" s="8">
        <v>3.8928978588523002E-3</v>
      </c>
      <c r="L1364" s="8">
        <v>0</v>
      </c>
      <c r="M1364" s="8">
        <v>6.619502432056544E-2</v>
      </c>
      <c r="N1364" s="8">
        <v>1.5760720076325101E-3</v>
      </c>
      <c r="O1364" s="8">
        <v>4.1056675798826891E-3</v>
      </c>
      <c r="P1364" s="8">
        <v>0</v>
      </c>
      <c r="Q1364" t="s">
        <v>26</v>
      </c>
    </row>
    <row r="1365" spans="1:17" hidden="1" x14ac:dyDescent="0.25">
      <c r="A1365" s="7" t="s">
        <v>17</v>
      </c>
      <c r="B1365" s="7" t="s">
        <v>18</v>
      </c>
      <c r="C1365" s="7" t="s">
        <v>19</v>
      </c>
      <c r="D1365" s="7"/>
      <c r="E1365" s="7"/>
      <c r="F1365" s="7" t="s">
        <v>99</v>
      </c>
      <c r="G1365" s="7" t="s">
        <v>100</v>
      </c>
      <c r="H1365" s="7" t="s">
        <v>153</v>
      </c>
      <c r="I1365" s="7" t="s">
        <v>158</v>
      </c>
      <c r="J1365" s="8">
        <v>5.4658773493187457E-2</v>
      </c>
      <c r="K1365" s="8">
        <v>5.1042408517267684E-2</v>
      </c>
      <c r="L1365" s="8">
        <v>0</v>
      </c>
      <c r="M1365" s="8">
        <v>0.86792759422074595</v>
      </c>
      <c r="N1365" s="8">
        <v>2.0664942719541567E-2</v>
      </c>
      <c r="O1365" s="8">
        <v>5.3832175784405779E-2</v>
      </c>
      <c r="P1365" s="8">
        <v>0</v>
      </c>
      <c r="Q1365" t="s">
        <v>26</v>
      </c>
    </row>
    <row r="1366" spans="1:17" hidden="1" x14ac:dyDescent="0.25">
      <c r="A1366" s="7" t="s">
        <v>17</v>
      </c>
      <c r="B1366" s="7" t="s">
        <v>18</v>
      </c>
      <c r="C1366" s="7" t="s">
        <v>19</v>
      </c>
      <c r="D1366" s="7" t="s">
        <v>20</v>
      </c>
      <c r="E1366" s="7" t="s">
        <v>21</v>
      </c>
      <c r="F1366" s="7" t="s">
        <v>101</v>
      </c>
      <c r="G1366" s="7" t="s">
        <v>21</v>
      </c>
      <c r="H1366" s="7" t="s">
        <v>153</v>
      </c>
      <c r="I1366" s="7" t="s">
        <v>158</v>
      </c>
      <c r="J1366" s="8">
        <v>0.96594077743383455</v>
      </c>
      <c r="K1366" s="8">
        <v>0.90203165227280591</v>
      </c>
      <c r="L1366" s="8">
        <v>0</v>
      </c>
      <c r="M1366" s="8">
        <v>15.338190038646902</v>
      </c>
      <c r="N1366" s="8">
        <v>0.36519500092016433</v>
      </c>
      <c r="O1366" s="8">
        <v>0.95133297739702805</v>
      </c>
      <c r="P1366" s="8">
        <v>0</v>
      </c>
      <c r="Q1366" t="s">
        <v>26</v>
      </c>
    </row>
    <row r="1367" spans="1:17" hidden="1" x14ac:dyDescent="0.25">
      <c r="A1367" s="7" t="s">
        <v>17</v>
      </c>
      <c r="B1367" s="7" t="s">
        <v>18</v>
      </c>
      <c r="C1367" s="7" t="s">
        <v>19</v>
      </c>
      <c r="D1367" s="7"/>
      <c r="E1367" s="7"/>
      <c r="F1367" s="7" t="s">
        <v>102</v>
      </c>
      <c r="G1367" s="7" t="s">
        <v>103</v>
      </c>
      <c r="H1367" s="7" t="s">
        <v>153</v>
      </c>
      <c r="I1367" s="7" t="s">
        <v>158</v>
      </c>
      <c r="J1367" s="8">
        <v>9.9517427004487788E-4</v>
      </c>
      <c r="K1367" s="8">
        <v>9.2933098185665351E-4</v>
      </c>
      <c r="L1367" s="8">
        <v>0</v>
      </c>
      <c r="M1367" s="8">
        <v>1.5802389165173864E-2</v>
      </c>
      <c r="N1367" s="8">
        <v>3.7624736107556817E-4</v>
      </c>
      <c r="O1367" s="8">
        <v>9.8012437560185514E-4</v>
      </c>
      <c r="P1367" s="8">
        <v>0</v>
      </c>
      <c r="Q1367" t="s">
        <v>26</v>
      </c>
    </row>
    <row r="1368" spans="1:17" hidden="1" x14ac:dyDescent="0.25">
      <c r="A1368" s="7" t="s">
        <v>17</v>
      </c>
      <c r="B1368" s="7" t="s">
        <v>18</v>
      </c>
      <c r="C1368" s="7" t="s">
        <v>19</v>
      </c>
      <c r="D1368" s="7" t="s">
        <v>20</v>
      </c>
      <c r="E1368" s="7" t="s">
        <v>21</v>
      </c>
      <c r="F1368" s="7" t="s">
        <v>104</v>
      </c>
      <c r="G1368" s="7" t="s">
        <v>105</v>
      </c>
      <c r="H1368" s="7" t="s">
        <v>153</v>
      </c>
      <c r="I1368" s="7" t="s">
        <v>158</v>
      </c>
      <c r="J1368" s="8">
        <v>7.6478772975734216E-2</v>
      </c>
      <c r="K1368" s="8">
        <v>7.1418740737264091E-2</v>
      </c>
      <c r="L1368" s="8">
        <v>0</v>
      </c>
      <c r="M1368" s="8">
        <v>1.2144077372328304</v>
      </c>
      <c r="N1368" s="8">
        <v>2.8914469934115013E-2</v>
      </c>
      <c r="O1368" s="8">
        <v>7.5322194178369606E-2</v>
      </c>
      <c r="P1368" s="8">
        <v>0</v>
      </c>
      <c r="Q1368" t="s">
        <v>26</v>
      </c>
    </row>
    <row r="1369" spans="1:17" hidden="1" x14ac:dyDescent="0.25">
      <c r="A1369" s="7" t="s">
        <v>17</v>
      </c>
      <c r="B1369" s="7" t="s">
        <v>18</v>
      </c>
      <c r="C1369" s="7" t="s">
        <v>19</v>
      </c>
      <c r="D1369" s="7"/>
      <c r="E1369" s="7"/>
      <c r="F1369" s="7" t="s">
        <v>106</v>
      </c>
      <c r="G1369" s="7" t="s">
        <v>107</v>
      </c>
      <c r="H1369" s="7" t="s">
        <v>153</v>
      </c>
      <c r="I1369" s="7" t="s">
        <v>158</v>
      </c>
      <c r="J1369" s="8">
        <v>4.4799050202020225E-3</v>
      </c>
      <c r="K1369" s="8">
        <v>4.1835029867293002E-3</v>
      </c>
      <c r="L1369" s="8">
        <v>0</v>
      </c>
      <c r="M1369" s="8">
        <v>7.1136488033453668E-2</v>
      </c>
      <c r="N1369" s="8">
        <v>1.6937259055584207E-3</v>
      </c>
      <c r="O1369" s="8">
        <v>4.4121559839796851E-3</v>
      </c>
      <c r="P1369" s="8">
        <v>0</v>
      </c>
      <c r="Q1369" t="s">
        <v>26</v>
      </c>
    </row>
    <row r="1370" spans="1:17" hidden="1" x14ac:dyDescent="0.25">
      <c r="A1370" s="7" t="s">
        <v>17</v>
      </c>
      <c r="B1370" s="7" t="s">
        <v>18</v>
      </c>
      <c r="C1370" s="7" t="s">
        <v>19</v>
      </c>
      <c r="D1370" s="7"/>
      <c r="E1370" s="7"/>
      <c r="F1370" s="7" t="s">
        <v>108</v>
      </c>
      <c r="G1370" s="7" t="s">
        <v>109</v>
      </c>
      <c r="H1370" s="7" t="s">
        <v>153</v>
      </c>
      <c r="I1370" s="7" t="s">
        <v>158</v>
      </c>
      <c r="J1370" s="8">
        <v>8.1688572003683695E-4</v>
      </c>
      <c r="K1370" s="8">
        <v>7.6283846067712194E-4</v>
      </c>
      <c r="L1370" s="8">
        <v>0</v>
      </c>
      <c r="M1370" s="8">
        <v>1.2971342246331624E-2</v>
      </c>
      <c r="N1370" s="8">
        <v>3.0884148205551488E-4</v>
      </c>
      <c r="O1370" s="8">
        <v>8.0453206075461624E-4</v>
      </c>
      <c r="P1370" s="8">
        <v>0</v>
      </c>
      <c r="Q1370" t="s">
        <v>26</v>
      </c>
    </row>
    <row r="1371" spans="1:17" hidden="1" x14ac:dyDescent="0.25">
      <c r="A1371" s="7" t="s">
        <v>17</v>
      </c>
      <c r="B1371" s="7" t="s">
        <v>18</v>
      </c>
      <c r="C1371" s="7" t="s">
        <v>19</v>
      </c>
      <c r="D1371" s="7"/>
      <c r="E1371" s="7"/>
      <c r="F1371" s="7" t="s">
        <v>110</v>
      </c>
      <c r="G1371" s="7" t="s">
        <v>111</v>
      </c>
      <c r="H1371" s="7" t="s">
        <v>153</v>
      </c>
      <c r="I1371" s="7" t="s">
        <v>158</v>
      </c>
      <c r="J1371" s="8">
        <v>3.4594125684438037E-2</v>
      </c>
      <c r="K1371" s="8">
        <v>3.2305289391516806E-2</v>
      </c>
      <c r="L1371" s="8">
        <v>0</v>
      </c>
      <c r="M1371" s="8">
        <v>0.54932071030109553</v>
      </c>
      <c r="N1371" s="8">
        <v>1.3079064530978466E-2</v>
      </c>
      <c r="O1371" s="8">
        <v>3.4070963103198897E-2</v>
      </c>
      <c r="P1371" s="8">
        <v>0</v>
      </c>
      <c r="Q1371" t="s">
        <v>26</v>
      </c>
    </row>
    <row r="1372" spans="1:17" hidden="1" x14ac:dyDescent="0.25">
      <c r="A1372" s="7" t="s">
        <v>17</v>
      </c>
      <c r="B1372" s="7" t="s">
        <v>18</v>
      </c>
      <c r="C1372" s="7" t="s">
        <v>19</v>
      </c>
      <c r="D1372" s="7" t="s">
        <v>20</v>
      </c>
      <c r="E1372" s="7" t="s">
        <v>21</v>
      </c>
      <c r="F1372" s="7" t="s">
        <v>112</v>
      </c>
      <c r="G1372" s="7" t="s">
        <v>113</v>
      </c>
      <c r="H1372" s="7" t="s">
        <v>153</v>
      </c>
      <c r="I1372" s="7" t="s">
        <v>158</v>
      </c>
      <c r="J1372" s="8">
        <v>4.5483029912051047E-2</v>
      </c>
      <c r="K1372" s="8">
        <v>4.2473755721272627E-2</v>
      </c>
      <c r="L1372" s="8">
        <v>0</v>
      </c>
      <c r="M1372" s="8">
        <v>0.72222580578682183</v>
      </c>
      <c r="N1372" s="8">
        <v>1.7195852518733856E-2</v>
      </c>
      <c r="O1372" s="8">
        <v>4.4795195811301688E-2</v>
      </c>
      <c r="P1372" s="8">
        <v>0</v>
      </c>
      <c r="Q1372" t="s">
        <v>26</v>
      </c>
    </row>
    <row r="1373" spans="1:17" hidden="1" x14ac:dyDescent="0.25">
      <c r="A1373" s="7" t="s">
        <v>17</v>
      </c>
      <c r="B1373" s="7" t="s">
        <v>18</v>
      </c>
      <c r="C1373" s="7" t="s">
        <v>19</v>
      </c>
      <c r="D1373" s="7" t="s">
        <v>20</v>
      </c>
      <c r="E1373" s="7" t="s">
        <v>21</v>
      </c>
      <c r="F1373" s="7" t="s">
        <v>114</v>
      </c>
      <c r="G1373" s="7" t="s">
        <v>115</v>
      </c>
      <c r="H1373" s="7" t="s">
        <v>153</v>
      </c>
      <c r="I1373" s="7" t="s">
        <v>158</v>
      </c>
      <c r="J1373" s="8">
        <v>0.38775490499748605</v>
      </c>
      <c r="K1373" s="8">
        <v>0.36210004360823844</v>
      </c>
      <c r="L1373" s="8">
        <v>0</v>
      </c>
      <c r="M1373" s="8">
        <v>6.1571667334194382</v>
      </c>
      <c r="N1373" s="8">
        <v>0.14659920793855805</v>
      </c>
      <c r="O1373" s="8">
        <v>0.38189093667994373</v>
      </c>
      <c r="P1373" s="8">
        <v>0</v>
      </c>
      <c r="Q1373" t="s">
        <v>26</v>
      </c>
    </row>
    <row r="1374" spans="1:17" hidden="1" x14ac:dyDescent="0.25">
      <c r="A1374" s="7" t="s">
        <v>17</v>
      </c>
      <c r="B1374" s="7" t="s">
        <v>18</v>
      </c>
      <c r="C1374" s="7" t="s">
        <v>19</v>
      </c>
      <c r="D1374" s="7" t="s">
        <v>20</v>
      </c>
      <c r="E1374" s="7" t="s">
        <v>21</v>
      </c>
      <c r="F1374" s="7" t="s">
        <v>116</v>
      </c>
      <c r="G1374" s="7" t="s">
        <v>117</v>
      </c>
      <c r="H1374" s="7" t="s">
        <v>153</v>
      </c>
      <c r="I1374" s="7" t="s">
        <v>158</v>
      </c>
      <c r="J1374" s="8">
        <v>1.2211144870550668E-2</v>
      </c>
      <c r="K1374" s="8">
        <v>1.1403224132423499E-2</v>
      </c>
      <c r="L1374" s="8">
        <v>0</v>
      </c>
      <c r="M1374" s="8">
        <v>0.19390097715052101</v>
      </c>
      <c r="N1374" s="8">
        <v>4.616689932155262E-3</v>
      </c>
      <c r="O1374" s="8">
        <v>1.2026477273264459E-2</v>
      </c>
      <c r="P1374" s="8">
        <v>0</v>
      </c>
      <c r="Q1374" t="s">
        <v>26</v>
      </c>
    </row>
    <row r="1375" spans="1:17" hidden="1" x14ac:dyDescent="0.25">
      <c r="A1375" s="7" t="s">
        <v>17</v>
      </c>
      <c r="B1375" s="7" t="s">
        <v>18</v>
      </c>
      <c r="C1375" s="7" t="s">
        <v>19</v>
      </c>
      <c r="D1375" s="7" t="s">
        <v>20</v>
      </c>
      <c r="E1375" s="7" t="s">
        <v>21</v>
      </c>
      <c r="F1375" s="7" t="s">
        <v>118</v>
      </c>
      <c r="G1375" s="7" t="s">
        <v>119</v>
      </c>
      <c r="H1375" s="7" t="s">
        <v>153</v>
      </c>
      <c r="I1375" s="7" t="s">
        <v>158</v>
      </c>
      <c r="J1375" s="8">
        <v>0.24490687712104417</v>
      </c>
      <c r="K1375" s="8">
        <v>0.22870320850244957</v>
      </c>
      <c r="L1375" s="8">
        <v>0</v>
      </c>
      <c r="M1375" s="8">
        <v>3.888880468462705</v>
      </c>
      <c r="N1375" s="8">
        <v>9.2592392106254875E-2</v>
      </c>
      <c r="O1375" s="8">
        <v>0.24120318143679401</v>
      </c>
      <c r="P1375" s="8">
        <v>0</v>
      </c>
      <c r="Q1375" t="s">
        <v>26</v>
      </c>
    </row>
    <row r="1376" spans="1:17" hidden="1" x14ac:dyDescent="0.25">
      <c r="A1376" s="7" t="s">
        <v>17</v>
      </c>
      <c r="B1376" s="7" t="s">
        <v>18</v>
      </c>
      <c r="C1376" s="7" t="s">
        <v>19</v>
      </c>
      <c r="D1376" s="7" t="s">
        <v>20</v>
      </c>
      <c r="E1376" s="7" t="s">
        <v>21</v>
      </c>
      <c r="F1376" s="7" t="s">
        <v>120</v>
      </c>
      <c r="G1376" s="7" t="s">
        <v>121</v>
      </c>
      <c r="H1376" s="7" t="s">
        <v>153</v>
      </c>
      <c r="I1376" s="7" t="s">
        <v>158</v>
      </c>
      <c r="J1376" s="8">
        <v>3.6757008956587872E-2</v>
      </c>
      <c r="K1376" s="8">
        <v>3.4325070745849548E-2</v>
      </c>
      <c r="L1376" s="8">
        <v>0</v>
      </c>
      <c r="M1376" s="8">
        <v>0.5836651705771988</v>
      </c>
      <c r="N1376" s="8">
        <v>1.3896789775647589E-2</v>
      </c>
      <c r="O1376" s="8">
        <v>3.6201137365561978E-2</v>
      </c>
      <c r="P1376" s="8">
        <v>0</v>
      </c>
      <c r="Q1376" t="s">
        <v>26</v>
      </c>
    </row>
    <row r="1377" spans="1:17" hidden="1" x14ac:dyDescent="0.25">
      <c r="A1377" s="7" t="s">
        <v>17</v>
      </c>
      <c r="B1377" s="7" t="s">
        <v>18</v>
      </c>
      <c r="C1377" s="7" t="s">
        <v>19</v>
      </c>
      <c r="D1377" s="7"/>
      <c r="E1377" s="7"/>
      <c r="F1377" s="7" t="s">
        <v>122</v>
      </c>
      <c r="G1377" s="7" t="s">
        <v>123</v>
      </c>
      <c r="H1377" s="7" t="s">
        <v>153</v>
      </c>
      <c r="I1377" s="7" t="s">
        <v>158</v>
      </c>
      <c r="J1377" s="8">
        <v>1.7601942300793756E-3</v>
      </c>
      <c r="K1377" s="8">
        <v>1.6437352545542756E-3</v>
      </c>
      <c r="L1377" s="8">
        <v>0</v>
      </c>
      <c r="M1377" s="8">
        <v>2.7950154126024116E-2</v>
      </c>
      <c r="N1377" s="8">
        <v>6.6547986014343127E-4</v>
      </c>
      <c r="O1377" s="8">
        <v>1.7335750356736383E-3</v>
      </c>
      <c r="P1377" s="8">
        <v>0</v>
      </c>
      <c r="Q1377" t="s">
        <v>26</v>
      </c>
    </row>
    <row r="1378" spans="1:17" hidden="1" x14ac:dyDescent="0.25">
      <c r="A1378" s="7" t="s">
        <v>17</v>
      </c>
      <c r="B1378" s="7" t="s">
        <v>18</v>
      </c>
      <c r="C1378" s="7" t="s">
        <v>19</v>
      </c>
      <c r="D1378" s="7"/>
      <c r="E1378" s="7"/>
      <c r="F1378" s="7" t="s">
        <v>124</v>
      </c>
      <c r="G1378" s="7" t="s">
        <v>125</v>
      </c>
      <c r="H1378" s="7" t="s">
        <v>153</v>
      </c>
      <c r="I1378" s="7" t="s">
        <v>158</v>
      </c>
      <c r="J1378" s="8">
        <v>3.750542770169132E-3</v>
      </c>
      <c r="K1378" s="8">
        <v>3.5023972182675832E-3</v>
      </c>
      <c r="L1378" s="8">
        <v>0</v>
      </c>
      <c r="M1378" s="8">
        <v>5.9554932456371862E-2</v>
      </c>
      <c r="N1378" s="8">
        <v>1.417974582294568E-3</v>
      </c>
      <c r="O1378" s="8">
        <v>3.6938237868773495E-3</v>
      </c>
      <c r="P1378" s="8">
        <v>0</v>
      </c>
      <c r="Q1378" t="s">
        <v>26</v>
      </c>
    </row>
    <row r="1379" spans="1:17" hidden="1" x14ac:dyDescent="0.25">
      <c r="A1379" s="7" t="s">
        <v>17</v>
      </c>
      <c r="B1379" s="7" t="s">
        <v>18</v>
      </c>
      <c r="C1379" s="7" t="s">
        <v>19</v>
      </c>
      <c r="D1379" s="7" t="s">
        <v>20</v>
      </c>
      <c r="E1379" s="7" t="s">
        <v>21</v>
      </c>
      <c r="F1379" s="7" t="s">
        <v>22</v>
      </c>
      <c r="G1379" s="7" t="s">
        <v>23</v>
      </c>
      <c r="H1379" s="7" t="s">
        <v>153</v>
      </c>
      <c r="I1379" s="7" t="s">
        <v>159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t="s">
        <v>26</v>
      </c>
    </row>
    <row r="1380" spans="1:17" hidden="1" x14ac:dyDescent="0.25">
      <c r="A1380" s="7" t="s">
        <v>17</v>
      </c>
      <c r="B1380" s="7" t="s">
        <v>18</v>
      </c>
      <c r="C1380" s="7" t="s">
        <v>19</v>
      </c>
      <c r="D1380" s="7"/>
      <c r="E1380" s="7"/>
      <c r="F1380" s="7" t="s">
        <v>27</v>
      </c>
      <c r="G1380" s="7" t="s">
        <v>28</v>
      </c>
      <c r="H1380" s="7" t="s">
        <v>153</v>
      </c>
      <c r="I1380" s="7" t="s">
        <v>159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t="s">
        <v>26</v>
      </c>
    </row>
    <row r="1381" spans="1:17" hidden="1" x14ac:dyDescent="0.25">
      <c r="A1381" s="7" t="s">
        <v>17</v>
      </c>
      <c r="B1381" s="7" t="s">
        <v>18</v>
      </c>
      <c r="C1381" s="7" t="s">
        <v>19</v>
      </c>
      <c r="D1381" s="7"/>
      <c r="E1381" s="7"/>
      <c r="F1381" s="7" t="s">
        <v>29</v>
      </c>
      <c r="G1381" s="7" t="s">
        <v>30</v>
      </c>
      <c r="H1381" s="7" t="s">
        <v>153</v>
      </c>
      <c r="I1381" s="7" t="s">
        <v>159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t="s">
        <v>26</v>
      </c>
    </row>
    <row r="1382" spans="1:17" hidden="1" x14ac:dyDescent="0.25">
      <c r="A1382" s="7" t="s">
        <v>17</v>
      </c>
      <c r="B1382" s="7" t="s">
        <v>18</v>
      </c>
      <c r="C1382" s="7" t="s">
        <v>19</v>
      </c>
      <c r="D1382" s="7"/>
      <c r="E1382" s="7"/>
      <c r="F1382" s="7" t="s">
        <v>31</v>
      </c>
      <c r="G1382" s="7" t="s">
        <v>32</v>
      </c>
      <c r="H1382" s="7" t="s">
        <v>153</v>
      </c>
      <c r="I1382" s="7" t="s">
        <v>159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t="s">
        <v>26</v>
      </c>
    </row>
    <row r="1383" spans="1:17" hidden="1" x14ac:dyDescent="0.25">
      <c r="A1383" s="7" t="s">
        <v>17</v>
      </c>
      <c r="B1383" s="7" t="s">
        <v>18</v>
      </c>
      <c r="C1383" s="7" t="s">
        <v>19</v>
      </c>
      <c r="D1383" s="7"/>
      <c r="E1383" s="7"/>
      <c r="F1383" s="7" t="s">
        <v>33</v>
      </c>
      <c r="G1383" s="7" t="s">
        <v>34</v>
      </c>
      <c r="H1383" s="7" t="s">
        <v>153</v>
      </c>
      <c r="I1383" s="7" t="s">
        <v>159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t="s">
        <v>26</v>
      </c>
    </row>
    <row r="1384" spans="1:17" hidden="1" x14ac:dyDescent="0.25">
      <c r="A1384" s="7" t="s">
        <v>17</v>
      </c>
      <c r="B1384" s="7" t="s">
        <v>18</v>
      </c>
      <c r="C1384" s="7" t="s">
        <v>19</v>
      </c>
      <c r="D1384" s="7" t="s">
        <v>20</v>
      </c>
      <c r="E1384" s="7" t="s">
        <v>21</v>
      </c>
      <c r="F1384" s="7" t="s">
        <v>35</v>
      </c>
      <c r="G1384" s="7" t="s">
        <v>36</v>
      </c>
      <c r="H1384" s="7" t="s">
        <v>153</v>
      </c>
      <c r="I1384" s="7" t="s">
        <v>159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t="s">
        <v>26</v>
      </c>
    </row>
    <row r="1385" spans="1:17" hidden="1" x14ac:dyDescent="0.25">
      <c r="A1385" s="7" t="s">
        <v>17</v>
      </c>
      <c r="B1385" s="7" t="s">
        <v>18</v>
      </c>
      <c r="C1385" s="7" t="s">
        <v>19</v>
      </c>
      <c r="D1385" s="7"/>
      <c r="E1385" s="7"/>
      <c r="F1385" s="7" t="s">
        <v>37</v>
      </c>
      <c r="G1385" s="7" t="s">
        <v>38</v>
      </c>
      <c r="H1385" s="7" t="s">
        <v>153</v>
      </c>
      <c r="I1385" s="7" t="s">
        <v>159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t="s">
        <v>26</v>
      </c>
    </row>
    <row r="1386" spans="1:17" hidden="1" x14ac:dyDescent="0.25">
      <c r="A1386" s="7" t="s">
        <v>17</v>
      </c>
      <c r="B1386" s="7" t="s">
        <v>18</v>
      </c>
      <c r="C1386" s="7" t="s">
        <v>19</v>
      </c>
      <c r="D1386" s="7"/>
      <c r="E1386" s="7"/>
      <c r="F1386" s="7" t="s">
        <v>39</v>
      </c>
      <c r="G1386" s="7" t="s">
        <v>40</v>
      </c>
      <c r="H1386" s="7" t="s">
        <v>153</v>
      </c>
      <c r="I1386" s="7" t="s">
        <v>159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t="s">
        <v>26</v>
      </c>
    </row>
    <row r="1387" spans="1:17" hidden="1" x14ac:dyDescent="0.25">
      <c r="A1387" s="7" t="s">
        <v>17</v>
      </c>
      <c r="B1387" s="7" t="s">
        <v>18</v>
      </c>
      <c r="C1387" s="7" t="s">
        <v>19</v>
      </c>
      <c r="D1387" s="7" t="s">
        <v>20</v>
      </c>
      <c r="E1387" s="7" t="s">
        <v>21</v>
      </c>
      <c r="F1387" s="7" t="s">
        <v>41</v>
      </c>
      <c r="G1387" s="7" t="s">
        <v>42</v>
      </c>
      <c r="H1387" s="7" t="s">
        <v>153</v>
      </c>
      <c r="I1387" s="7" t="s">
        <v>159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t="s">
        <v>26</v>
      </c>
    </row>
    <row r="1388" spans="1:17" hidden="1" x14ac:dyDescent="0.25">
      <c r="A1388" s="7" t="s">
        <v>17</v>
      </c>
      <c r="B1388" s="7" t="s">
        <v>18</v>
      </c>
      <c r="C1388" s="7" t="s">
        <v>19</v>
      </c>
      <c r="D1388" s="7" t="s">
        <v>20</v>
      </c>
      <c r="E1388" s="7" t="s">
        <v>21</v>
      </c>
      <c r="F1388" s="7" t="s">
        <v>43</v>
      </c>
      <c r="G1388" s="7" t="s">
        <v>44</v>
      </c>
      <c r="H1388" s="7" t="s">
        <v>153</v>
      </c>
      <c r="I1388" s="7" t="s">
        <v>159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t="s">
        <v>26</v>
      </c>
    </row>
    <row r="1389" spans="1:17" hidden="1" x14ac:dyDescent="0.25">
      <c r="A1389" s="7" t="s">
        <v>17</v>
      </c>
      <c r="B1389" s="7" t="s">
        <v>18</v>
      </c>
      <c r="C1389" s="7" t="s">
        <v>19</v>
      </c>
      <c r="D1389" s="7"/>
      <c r="E1389" s="7"/>
      <c r="F1389" s="7" t="s">
        <v>45</v>
      </c>
      <c r="G1389" s="7" t="s">
        <v>46</v>
      </c>
      <c r="H1389" s="7" t="s">
        <v>153</v>
      </c>
      <c r="I1389" s="7" t="s">
        <v>159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t="s">
        <v>26</v>
      </c>
    </row>
    <row r="1390" spans="1:17" hidden="1" x14ac:dyDescent="0.25">
      <c r="A1390" s="7" t="s">
        <v>17</v>
      </c>
      <c r="B1390" s="7" t="s">
        <v>18</v>
      </c>
      <c r="C1390" s="7" t="s">
        <v>19</v>
      </c>
      <c r="D1390" s="7" t="s">
        <v>20</v>
      </c>
      <c r="E1390" s="7" t="s">
        <v>21</v>
      </c>
      <c r="F1390" s="7" t="s">
        <v>47</v>
      </c>
      <c r="G1390" s="7" t="s">
        <v>48</v>
      </c>
      <c r="H1390" s="7" t="s">
        <v>153</v>
      </c>
      <c r="I1390" s="7" t="s">
        <v>159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t="s">
        <v>26</v>
      </c>
    </row>
    <row r="1391" spans="1:17" hidden="1" x14ac:dyDescent="0.25">
      <c r="A1391" s="7" t="s">
        <v>17</v>
      </c>
      <c r="B1391" s="7" t="s">
        <v>18</v>
      </c>
      <c r="C1391" s="7" t="s">
        <v>19</v>
      </c>
      <c r="D1391" s="7"/>
      <c r="E1391" s="7"/>
      <c r="F1391" s="7" t="s">
        <v>49</v>
      </c>
      <c r="G1391" s="7" t="s">
        <v>50</v>
      </c>
      <c r="H1391" s="7" t="s">
        <v>153</v>
      </c>
      <c r="I1391" s="7" t="s">
        <v>159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t="s">
        <v>26</v>
      </c>
    </row>
    <row r="1392" spans="1:17" hidden="1" x14ac:dyDescent="0.25">
      <c r="A1392" s="7" t="s">
        <v>17</v>
      </c>
      <c r="B1392" s="7" t="s">
        <v>18</v>
      </c>
      <c r="C1392" s="7" t="s">
        <v>19</v>
      </c>
      <c r="D1392" s="7"/>
      <c r="E1392" s="7"/>
      <c r="F1392" s="7" t="s">
        <v>51</v>
      </c>
      <c r="G1392" s="7" t="s">
        <v>52</v>
      </c>
      <c r="H1392" s="7" t="s">
        <v>153</v>
      </c>
      <c r="I1392" s="7" t="s">
        <v>159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t="s">
        <v>26</v>
      </c>
    </row>
    <row r="1393" spans="1:17" hidden="1" x14ac:dyDescent="0.25">
      <c r="A1393" s="7" t="s">
        <v>17</v>
      </c>
      <c r="B1393" s="7" t="s">
        <v>18</v>
      </c>
      <c r="C1393" s="7" t="s">
        <v>19</v>
      </c>
      <c r="D1393" s="7"/>
      <c r="E1393" s="7"/>
      <c r="F1393" s="7" t="s">
        <v>53</v>
      </c>
      <c r="G1393" s="7" t="s">
        <v>54</v>
      </c>
      <c r="H1393" s="7" t="s">
        <v>153</v>
      </c>
      <c r="I1393" s="7" t="s">
        <v>159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t="s">
        <v>26</v>
      </c>
    </row>
    <row r="1394" spans="1:17" hidden="1" x14ac:dyDescent="0.25">
      <c r="A1394" s="7" t="s">
        <v>17</v>
      </c>
      <c r="B1394" s="7" t="s">
        <v>18</v>
      </c>
      <c r="C1394" s="7" t="s">
        <v>19</v>
      </c>
      <c r="D1394" s="7"/>
      <c r="E1394" s="7"/>
      <c r="F1394" s="7" t="s">
        <v>55</v>
      </c>
      <c r="G1394" s="7" t="s">
        <v>56</v>
      </c>
      <c r="H1394" s="7" t="s">
        <v>153</v>
      </c>
      <c r="I1394" s="7" t="s">
        <v>159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t="s">
        <v>26</v>
      </c>
    </row>
    <row r="1395" spans="1:17" hidden="1" x14ac:dyDescent="0.25">
      <c r="A1395" s="7" t="s">
        <v>17</v>
      </c>
      <c r="B1395" s="7" t="s">
        <v>18</v>
      </c>
      <c r="C1395" s="7" t="s">
        <v>19</v>
      </c>
      <c r="D1395" s="7"/>
      <c r="E1395" s="7"/>
      <c r="F1395" s="7" t="s">
        <v>57</v>
      </c>
      <c r="G1395" s="7" t="s">
        <v>58</v>
      </c>
      <c r="H1395" s="7" t="s">
        <v>153</v>
      </c>
      <c r="I1395" s="7" t="s">
        <v>159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t="s">
        <v>26</v>
      </c>
    </row>
    <row r="1396" spans="1:17" hidden="1" x14ac:dyDescent="0.25">
      <c r="A1396" s="7" t="s">
        <v>17</v>
      </c>
      <c r="B1396" s="7" t="s">
        <v>18</v>
      </c>
      <c r="C1396" s="7" t="s">
        <v>19</v>
      </c>
      <c r="D1396" s="7" t="s">
        <v>20</v>
      </c>
      <c r="E1396" s="7" t="s">
        <v>21</v>
      </c>
      <c r="F1396" s="7" t="s">
        <v>59</v>
      </c>
      <c r="G1396" s="7" t="s">
        <v>60</v>
      </c>
      <c r="H1396" s="7" t="s">
        <v>153</v>
      </c>
      <c r="I1396" s="7" t="s">
        <v>159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t="s">
        <v>26</v>
      </c>
    </row>
    <row r="1397" spans="1:17" hidden="1" x14ac:dyDescent="0.25">
      <c r="A1397" s="7" t="s">
        <v>17</v>
      </c>
      <c r="B1397" s="7" t="s">
        <v>18</v>
      </c>
      <c r="C1397" s="7" t="s">
        <v>19</v>
      </c>
      <c r="D1397" s="7" t="s">
        <v>20</v>
      </c>
      <c r="E1397" s="7" t="s">
        <v>21</v>
      </c>
      <c r="F1397" s="7" t="s">
        <v>61</v>
      </c>
      <c r="G1397" s="7" t="s">
        <v>62</v>
      </c>
      <c r="H1397" s="7" t="s">
        <v>153</v>
      </c>
      <c r="I1397" s="7" t="s">
        <v>159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t="s">
        <v>26</v>
      </c>
    </row>
    <row r="1398" spans="1:17" hidden="1" x14ac:dyDescent="0.25">
      <c r="A1398" s="7" t="s">
        <v>17</v>
      </c>
      <c r="B1398" s="7" t="s">
        <v>18</v>
      </c>
      <c r="C1398" s="7" t="s">
        <v>19</v>
      </c>
      <c r="D1398" s="7"/>
      <c r="E1398" s="7"/>
      <c r="F1398" s="7" t="s">
        <v>63</v>
      </c>
      <c r="G1398" s="7" t="s">
        <v>64</v>
      </c>
      <c r="H1398" s="7" t="s">
        <v>153</v>
      </c>
      <c r="I1398" s="7" t="s">
        <v>159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t="s">
        <v>26</v>
      </c>
    </row>
    <row r="1399" spans="1:17" hidden="1" x14ac:dyDescent="0.25">
      <c r="A1399" s="7" t="s">
        <v>17</v>
      </c>
      <c r="B1399" s="7" t="s">
        <v>18</v>
      </c>
      <c r="C1399" s="7" t="s">
        <v>19</v>
      </c>
      <c r="D1399" s="7" t="s">
        <v>20</v>
      </c>
      <c r="E1399" s="7" t="s">
        <v>21</v>
      </c>
      <c r="F1399" s="7" t="s">
        <v>65</v>
      </c>
      <c r="G1399" s="7" t="s">
        <v>66</v>
      </c>
      <c r="H1399" s="7" t="s">
        <v>153</v>
      </c>
      <c r="I1399" s="7" t="s">
        <v>159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t="s">
        <v>26</v>
      </c>
    </row>
    <row r="1400" spans="1:17" hidden="1" x14ac:dyDescent="0.25">
      <c r="A1400" s="7" t="s">
        <v>17</v>
      </c>
      <c r="B1400" s="7" t="s">
        <v>18</v>
      </c>
      <c r="C1400" s="7" t="s">
        <v>19</v>
      </c>
      <c r="D1400" s="7"/>
      <c r="E1400" s="7"/>
      <c r="F1400" s="7" t="s">
        <v>67</v>
      </c>
      <c r="G1400" s="7" t="s">
        <v>68</v>
      </c>
      <c r="H1400" s="7" t="s">
        <v>153</v>
      </c>
      <c r="I1400" s="7" t="s">
        <v>159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t="s">
        <v>26</v>
      </c>
    </row>
    <row r="1401" spans="1:17" hidden="1" x14ac:dyDescent="0.25">
      <c r="A1401" s="7" t="s">
        <v>17</v>
      </c>
      <c r="B1401" s="7" t="s">
        <v>18</v>
      </c>
      <c r="C1401" s="7" t="s">
        <v>19</v>
      </c>
      <c r="D1401" s="7"/>
      <c r="E1401" s="7"/>
      <c r="F1401" s="7" t="s">
        <v>69</v>
      </c>
      <c r="G1401" s="7" t="s">
        <v>70</v>
      </c>
      <c r="H1401" s="7" t="s">
        <v>153</v>
      </c>
      <c r="I1401" s="7" t="s">
        <v>159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t="s">
        <v>26</v>
      </c>
    </row>
    <row r="1402" spans="1:17" hidden="1" x14ac:dyDescent="0.25">
      <c r="A1402" s="7" t="s">
        <v>17</v>
      </c>
      <c r="B1402" s="7" t="s">
        <v>18</v>
      </c>
      <c r="C1402" s="7" t="s">
        <v>19</v>
      </c>
      <c r="D1402" s="7"/>
      <c r="E1402" s="7"/>
      <c r="F1402" s="7" t="s">
        <v>71</v>
      </c>
      <c r="G1402" s="7" t="s">
        <v>72</v>
      </c>
      <c r="H1402" s="7" t="s">
        <v>153</v>
      </c>
      <c r="I1402" s="7" t="s">
        <v>159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t="s">
        <v>26</v>
      </c>
    </row>
    <row r="1403" spans="1:17" hidden="1" x14ac:dyDescent="0.25">
      <c r="A1403" s="7" t="s">
        <v>17</v>
      </c>
      <c r="B1403" s="7" t="s">
        <v>18</v>
      </c>
      <c r="C1403" s="7" t="s">
        <v>19</v>
      </c>
      <c r="D1403" s="7" t="s">
        <v>20</v>
      </c>
      <c r="E1403" s="7" t="s">
        <v>21</v>
      </c>
      <c r="F1403" s="7" t="s">
        <v>73</v>
      </c>
      <c r="G1403" s="7" t="s">
        <v>74</v>
      </c>
      <c r="H1403" s="7" t="s">
        <v>153</v>
      </c>
      <c r="I1403" s="7" t="s">
        <v>159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t="s">
        <v>26</v>
      </c>
    </row>
    <row r="1404" spans="1:17" hidden="1" x14ac:dyDescent="0.25">
      <c r="A1404" s="7" t="s">
        <v>17</v>
      </c>
      <c r="B1404" s="7" t="s">
        <v>18</v>
      </c>
      <c r="C1404" s="7" t="s">
        <v>19</v>
      </c>
      <c r="D1404" s="7" t="s">
        <v>20</v>
      </c>
      <c r="E1404" s="7" t="s">
        <v>21</v>
      </c>
      <c r="F1404" s="7" t="s">
        <v>75</v>
      </c>
      <c r="G1404" s="7" t="s">
        <v>76</v>
      </c>
      <c r="H1404" s="7" t="s">
        <v>153</v>
      </c>
      <c r="I1404" s="7" t="s">
        <v>159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t="s">
        <v>26</v>
      </c>
    </row>
    <row r="1405" spans="1:17" hidden="1" x14ac:dyDescent="0.25">
      <c r="A1405" s="7" t="s">
        <v>17</v>
      </c>
      <c r="B1405" s="7" t="s">
        <v>18</v>
      </c>
      <c r="C1405" s="7" t="s">
        <v>19</v>
      </c>
      <c r="D1405" s="7"/>
      <c r="E1405" s="7"/>
      <c r="F1405" s="7" t="s">
        <v>77</v>
      </c>
      <c r="G1405" s="7" t="s">
        <v>78</v>
      </c>
      <c r="H1405" s="7" t="s">
        <v>153</v>
      </c>
      <c r="I1405" s="7" t="s">
        <v>159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t="s">
        <v>26</v>
      </c>
    </row>
    <row r="1406" spans="1:17" hidden="1" x14ac:dyDescent="0.25">
      <c r="A1406" s="7" t="s">
        <v>17</v>
      </c>
      <c r="B1406" s="7" t="s">
        <v>18</v>
      </c>
      <c r="C1406" s="7" t="s">
        <v>19</v>
      </c>
      <c r="D1406" s="7"/>
      <c r="E1406" s="7"/>
      <c r="F1406" s="7" t="s">
        <v>79</v>
      </c>
      <c r="G1406" s="7" t="s">
        <v>80</v>
      </c>
      <c r="H1406" s="7" t="s">
        <v>153</v>
      </c>
      <c r="I1406" s="7" t="s">
        <v>159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t="s">
        <v>26</v>
      </c>
    </row>
    <row r="1407" spans="1:17" hidden="1" x14ac:dyDescent="0.25">
      <c r="A1407" s="7" t="s">
        <v>17</v>
      </c>
      <c r="B1407" s="7" t="s">
        <v>18</v>
      </c>
      <c r="C1407" s="7" t="s">
        <v>19</v>
      </c>
      <c r="D1407" s="7"/>
      <c r="E1407" s="7"/>
      <c r="F1407" s="7" t="s">
        <v>81</v>
      </c>
      <c r="G1407" s="7" t="s">
        <v>82</v>
      </c>
      <c r="H1407" s="7" t="s">
        <v>153</v>
      </c>
      <c r="I1407" s="7" t="s">
        <v>159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t="s">
        <v>26</v>
      </c>
    </row>
    <row r="1408" spans="1:17" hidden="1" x14ac:dyDescent="0.25">
      <c r="A1408" s="7" t="s">
        <v>17</v>
      </c>
      <c r="B1408" s="7" t="s">
        <v>18</v>
      </c>
      <c r="C1408" s="7" t="s">
        <v>19</v>
      </c>
      <c r="D1408" s="7"/>
      <c r="E1408" s="7"/>
      <c r="F1408" s="7" t="s">
        <v>83</v>
      </c>
      <c r="G1408" s="7" t="s">
        <v>84</v>
      </c>
      <c r="H1408" s="7" t="s">
        <v>153</v>
      </c>
      <c r="I1408" s="7" t="s">
        <v>159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t="s">
        <v>26</v>
      </c>
    </row>
    <row r="1409" spans="1:17" hidden="1" x14ac:dyDescent="0.25">
      <c r="A1409" s="7" t="s">
        <v>17</v>
      </c>
      <c r="B1409" s="7" t="s">
        <v>18</v>
      </c>
      <c r="C1409" s="7" t="s">
        <v>19</v>
      </c>
      <c r="D1409" s="7" t="s">
        <v>20</v>
      </c>
      <c r="E1409" s="7" t="s">
        <v>21</v>
      </c>
      <c r="F1409" s="7" t="s">
        <v>85</v>
      </c>
      <c r="G1409" s="7" t="s">
        <v>86</v>
      </c>
      <c r="H1409" s="7" t="s">
        <v>153</v>
      </c>
      <c r="I1409" s="7" t="s">
        <v>159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t="s">
        <v>26</v>
      </c>
    </row>
    <row r="1410" spans="1:17" hidden="1" x14ac:dyDescent="0.25">
      <c r="A1410" s="7" t="s">
        <v>17</v>
      </c>
      <c r="B1410" s="7" t="s">
        <v>18</v>
      </c>
      <c r="C1410" s="7" t="s">
        <v>19</v>
      </c>
      <c r="D1410" s="7"/>
      <c r="E1410" s="7"/>
      <c r="F1410" s="7" t="s">
        <v>87</v>
      </c>
      <c r="G1410" s="7" t="s">
        <v>88</v>
      </c>
      <c r="H1410" s="7" t="s">
        <v>153</v>
      </c>
      <c r="I1410" s="7" t="s">
        <v>159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t="s">
        <v>26</v>
      </c>
    </row>
    <row r="1411" spans="1:17" hidden="1" x14ac:dyDescent="0.25">
      <c r="A1411" s="7" t="s">
        <v>17</v>
      </c>
      <c r="B1411" s="7" t="s">
        <v>18</v>
      </c>
      <c r="C1411" s="7" t="s">
        <v>19</v>
      </c>
      <c r="D1411" s="7"/>
      <c r="E1411" s="7"/>
      <c r="F1411" s="7" t="s">
        <v>89</v>
      </c>
      <c r="G1411" s="7" t="s">
        <v>90</v>
      </c>
      <c r="H1411" s="7" t="s">
        <v>153</v>
      </c>
      <c r="I1411" s="7" t="s">
        <v>159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t="s">
        <v>26</v>
      </c>
    </row>
    <row r="1412" spans="1:17" hidden="1" x14ac:dyDescent="0.25">
      <c r="A1412" s="7" t="s">
        <v>17</v>
      </c>
      <c r="B1412" s="7" t="s">
        <v>18</v>
      </c>
      <c r="C1412" s="7" t="s">
        <v>19</v>
      </c>
      <c r="D1412" s="7"/>
      <c r="E1412" s="7"/>
      <c r="F1412" s="7" t="s">
        <v>91</v>
      </c>
      <c r="G1412" s="7" t="s">
        <v>92</v>
      </c>
      <c r="H1412" s="7" t="s">
        <v>153</v>
      </c>
      <c r="I1412" s="7" t="s">
        <v>159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t="s">
        <v>26</v>
      </c>
    </row>
    <row r="1413" spans="1:17" hidden="1" x14ac:dyDescent="0.25">
      <c r="A1413" s="7" t="s">
        <v>17</v>
      </c>
      <c r="B1413" s="7" t="s">
        <v>18</v>
      </c>
      <c r="C1413" s="7" t="s">
        <v>19</v>
      </c>
      <c r="D1413" s="7"/>
      <c r="E1413" s="7"/>
      <c r="F1413" s="7" t="s">
        <v>93</v>
      </c>
      <c r="G1413" s="7" t="s">
        <v>94</v>
      </c>
      <c r="H1413" s="7" t="s">
        <v>153</v>
      </c>
      <c r="I1413" s="7" t="s">
        <v>159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t="s">
        <v>26</v>
      </c>
    </row>
    <row r="1414" spans="1:17" hidden="1" x14ac:dyDescent="0.25">
      <c r="A1414" s="7" t="s">
        <v>17</v>
      </c>
      <c r="B1414" s="7" t="s">
        <v>18</v>
      </c>
      <c r="C1414" s="7" t="s">
        <v>19</v>
      </c>
      <c r="D1414" s="7"/>
      <c r="E1414" s="7"/>
      <c r="F1414" s="7" t="s">
        <v>95</v>
      </c>
      <c r="G1414" s="7" t="s">
        <v>96</v>
      </c>
      <c r="H1414" s="7" t="s">
        <v>153</v>
      </c>
      <c r="I1414" s="7" t="s">
        <v>159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t="s">
        <v>26</v>
      </c>
    </row>
    <row r="1415" spans="1:17" hidden="1" x14ac:dyDescent="0.25">
      <c r="A1415" s="7" t="s">
        <v>17</v>
      </c>
      <c r="B1415" s="7" t="s">
        <v>18</v>
      </c>
      <c r="C1415" s="7" t="s">
        <v>19</v>
      </c>
      <c r="D1415" s="7"/>
      <c r="E1415" s="7"/>
      <c r="F1415" s="7" t="s">
        <v>97</v>
      </c>
      <c r="G1415" s="7" t="s">
        <v>98</v>
      </c>
      <c r="H1415" s="7" t="s">
        <v>153</v>
      </c>
      <c r="I1415" s="7" t="s">
        <v>159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t="s">
        <v>26</v>
      </c>
    </row>
    <row r="1416" spans="1:17" hidden="1" x14ac:dyDescent="0.25">
      <c r="A1416" s="7" t="s">
        <v>17</v>
      </c>
      <c r="B1416" s="7" t="s">
        <v>18</v>
      </c>
      <c r="C1416" s="7" t="s">
        <v>19</v>
      </c>
      <c r="D1416" s="7"/>
      <c r="E1416" s="7"/>
      <c r="F1416" s="7" t="s">
        <v>99</v>
      </c>
      <c r="G1416" s="7" t="s">
        <v>100</v>
      </c>
      <c r="H1416" s="7" t="s">
        <v>153</v>
      </c>
      <c r="I1416" s="7" t="s">
        <v>159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t="s">
        <v>26</v>
      </c>
    </row>
    <row r="1417" spans="1:17" hidden="1" x14ac:dyDescent="0.25">
      <c r="A1417" s="7" t="s">
        <v>17</v>
      </c>
      <c r="B1417" s="7" t="s">
        <v>18</v>
      </c>
      <c r="C1417" s="7" t="s">
        <v>19</v>
      </c>
      <c r="D1417" s="7" t="s">
        <v>20</v>
      </c>
      <c r="E1417" s="7" t="s">
        <v>21</v>
      </c>
      <c r="F1417" s="7" t="s">
        <v>101</v>
      </c>
      <c r="G1417" s="7" t="s">
        <v>21</v>
      </c>
      <c r="H1417" s="7" t="s">
        <v>153</v>
      </c>
      <c r="I1417" s="7" t="s">
        <v>159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t="s">
        <v>26</v>
      </c>
    </row>
    <row r="1418" spans="1:17" hidden="1" x14ac:dyDescent="0.25">
      <c r="A1418" s="7" t="s">
        <v>17</v>
      </c>
      <c r="B1418" s="7" t="s">
        <v>18</v>
      </c>
      <c r="C1418" s="7" t="s">
        <v>19</v>
      </c>
      <c r="D1418" s="7"/>
      <c r="E1418" s="7"/>
      <c r="F1418" s="7" t="s">
        <v>102</v>
      </c>
      <c r="G1418" s="7" t="s">
        <v>103</v>
      </c>
      <c r="H1418" s="7" t="s">
        <v>153</v>
      </c>
      <c r="I1418" s="7" t="s">
        <v>159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t="s">
        <v>26</v>
      </c>
    </row>
    <row r="1419" spans="1:17" hidden="1" x14ac:dyDescent="0.25">
      <c r="A1419" s="7" t="s">
        <v>17</v>
      </c>
      <c r="B1419" s="7" t="s">
        <v>18</v>
      </c>
      <c r="C1419" s="7" t="s">
        <v>19</v>
      </c>
      <c r="D1419" s="7" t="s">
        <v>20</v>
      </c>
      <c r="E1419" s="7" t="s">
        <v>21</v>
      </c>
      <c r="F1419" s="7" t="s">
        <v>104</v>
      </c>
      <c r="G1419" s="7" t="s">
        <v>105</v>
      </c>
      <c r="H1419" s="7" t="s">
        <v>153</v>
      </c>
      <c r="I1419" s="7" t="s">
        <v>159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t="s">
        <v>26</v>
      </c>
    </row>
    <row r="1420" spans="1:17" hidden="1" x14ac:dyDescent="0.25">
      <c r="A1420" s="7" t="s">
        <v>17</v>
      </c>
      <c r="B1420" s="7" t="s">
        <v>18</v>
      </c>
      <c r="C1420" s="7" t="s">
        <v>19</v>
      </c>
      <c r="D1420" s="7"/>
      <c r="E1420" s="7"/>
      <c r="F1420" s="7" t="s">
        <v>106</v>
      </c>
      <c r="G1420" s="7" t="s">
        <v>107</v>
      </c>
      <c r="H1420" s="7" t="s">
        <v>153</v>
      </c>
      <c r="I1420" s="7" t="s">
        <v>159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t="s">
        <v>26</v>
      </c>
    </row>
    <row r="1421" spans="1:17" hidden="1" x14ac:dyDescent="0.25">
      <c r="A1421" s="7" t="s">
        <v>17</v>
      </c>
      <c r="B1421" s="7" t="s">
        <v>18</v>
      </c>
      <c r="C1421" s="7" t="s">
        <v>19</v>
      </c>
      <c r="D1421" s="7"/>
      <c r="E1421" s="7"/>
      <c r="F1421" s="7" t="s">
        <v>108</v>
      </c>
      <c r="G1421" s="7" t="s">
        <v>109</v>
      </c>
      <c r="H1421" s="7" t="s">
        <v>153</v>
      </c>
      <c r="I1421" s="7" t="s">
        <v>159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t="s">
        <v>26</v>
      </c>
    </row>
    <row r="1422" spans="1:17" hidden="1" x14ac:dyDescent="0.25">
      <c r="A1422" s="7" t="s">
        <v>17</v>
      </c>
      <c r="B1422" s="7" t="s">
        <v>18</v>
      </c>
      <c r="C1422" s="7" t="s">
        <v>19</v>
      </c>
      <c r="D1422" s="7"/>
      <c r="E1422" s="7"/>
      <c r="F1422" s="7" t="s">
        <v>110</v>
      </c>
      <c r="G1422" s="7" t="s">
        <v>111</v>
      </c>
      <c r="H1422" s="7" t="s">
        <v>153</v>
      </c>
      <c r="I1422" s="7" t="s">
        <v>159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t="s">
        <v>26</v>
      </c>
    </row>
    <row r="1423" spans="1:17" hidden="1" x14ac:dyDescent="0.25">
      <c r="A1423" s="7" t="s">
        <v>17</v>
      </c>
      <c r="B1423" s="7" t="s">
        <v>18</v>
      </c>
      <c r="C1423" s="7" t="s">
        <v>19</v>
      </c>
      <c r="D1423" s="7" t="s">
        <v>20</v>
      </c>
      <c r="E1423" s="7" t="s">
        <v>21</v>
      </c>
      <c r="F1423" s="7" t="s">
        <v>112</v>
      </c>
      <c r="G1423" s="7" t="s">
        <v>113</v>
      </c>
      <c r="H1423" s="7" t="s">
        <v>153</v>
      </c>
      <c r="I1423" s="7" t="s">
        <v>159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t="s">
        <v>26</v>
      </c>
    </row>
    <row r="1424" spans="1:17" hidden="1" x14ac:dyDescent="0.25">
      <c r="A1424" s="7" t="s">
        <v>17</v>
      </c>
      <c r="B1424" s="7" t="s">
        <v>18</v>
      </c>
      <c r="C1424" s="7" t="s">
        <v>19</v>
      </c>
      <c r="D1424" s="7" t="s">
        <v>20</v>
      </c>
      <c r="E1424" s="7" t="s">
        <v>21</v>
      </c>
      <c r="F1424" s="7" t="s">
        <v>114</v>
      </c>
      <c r="G1424" s="7" t="s">
        <v>115</v>
      </c>
      <c r="H1424" s="7" t="s">
        <v>153</v>
      </c>
      <c r="I1424" s="7" t="s">
        <v>159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t="s">
        <v>26</v>
      </c>
    </row>
    <row r="1425" spans="1:17" hidden="1" x14ac:dyDescent="0.25">
      <c r="A1425" s="7" t="s">
        <v>17</v>
      </c>
      <c r="B1425" s="7" t="s">
        <v>18</v>
      </c>
      <c r="C1425" s="7" t="s">
        <v>19</v>
      </c>
      <c r="D1425" s="7" t="s">
        <v>20</v>
      </c>
      <c r="E1425" s="7" t="s">
        <v>21</v>
      </c>
      <c r="F1425" s="7" t="s">
        <v>116</v>
      </c>
      <c r="G1425" s="7" t="s">
        <v>117</v>
      </c>
      <c r="H1425" s="7" t="s">
        <v>153</v>
      </c>
      <c r="I1425" s="7" t="s">
        <v>159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t="s">
        <v>26</v>
      </c>
    </row>
    <row r="1426" spans="1:17" hidden="1" x14ac:dyDescent="0.25">
      <c r="A1426" s="7" t="s">
        <v>17</v>
      </c>
      <c r="B1426" s="7" t="s">
        <v>18</v>
      </c>
      <c r="C1426" s="7" t="s">
        <v>19</v>
      </c>
      <c r="D1426" s="7" t="s">
        <v>20</v>
      </c>
      <c r="E1426" s="7" t="s">
        <v>21</v>
      </c>
      <c r="F1426" s="7" t="s">
        <v>118</v>
      </c>
      <c r="G1426" s="7" t="s">
        <v>119</v>
      </c>
      <c r="H1426" s="7" t="s">
        <v>153</v>
      </c>
      <c r="I1426" s="7" t="s">
        <v>159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t="s">
        <v>26</v>
      </c>
    </row>
    <row r="1427" spans="1:17" hidden="1" x14ac:dyDescent="0.25">
      <c r="A1427" s="7" t="s">
        <v>17</v>
      </c>
      <c r="B1427" s="7" t="s">
        <v>18</v>
      </c>
      <c r="C1427" s="7" t="s">
        <v>19</v>
      </c>
      <c r="D1427" s="7" t="s">
        <v>20</v>
      </c>
      <c r="E1427" s="7" t="s">
        <v>21</v>
      </c>
      <c r="F1427" s="7" t="s">
        <v>120</v>
      </c>
      <c r="G1427" s="7" t="s">
        <v>121</v>
      </c>
      <c r="H1427" s="7" t="s">
        <v>153</v>
      </c>
      <c r="I1427" s="7" t="s">
        <v>159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t="s">
        <v>26</v>
      </c>
    </row>
    <row r="1428" spans="1:17" hidden="1" x14ac:dyDescent="0.25">
      <c r="A1428" s="7" t="s">
        <v>17</v>
      </c>
      <c r="B1428" s="7" t="s">
        <v>18</v>
      </c>
      <c r="C1428" s="7" t="s">
        <v>19</v>
      </c>
      <c r="D1428" s="7"/>
      <c r="E1428" s="7"/>
      <c r="F1428" s="7" t="s">
        <v>122</v>
      </c>
      <c r="G1428" s="7" t="s">
        <v>123</v>
      </c>
      <c r="H1428" s="7" t="s">
        <v>153</v>
      </c>
      <c r="I1428" s="7" t="s">
        <v>159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t="s">
        <v>26</v>
      </c>
    </row>
    <row r="1429" spans="1:17" hidden="1" x14ac:dyDescent="0.25">
      <c r="A1429" s="7" t="s">
        <v>17</v>
      </c>
      <c r="B1429" s="7" t="s">
        <v>18</v>
      </c>
      <c r="C1429" s="7" t="s">
        <v>19</v>
      </c>
      <c r="D1429" s="7"/>
      <c r="E1429" s="7"/>
      <c r="F1429" s="7" t="s">
        <v>124</v>
      </c>
      <c r="G1429" s="7" t="s">
        <v>125</v>
      </c>
      <c r="H1429" s="7" t="s">
        <v>153</v>
      </c>
      <c r="I1429" s="7" t="s">
        <v>159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t="s">
        <v>26</v>
      </c>
    </row>
    <row r="1430" spans="1:17" hidden="1" x14ac:dyDescent="0.25">
      <c r="A1430" s="7" t="s">
        <v>160</v>
      </c>
      <c r="B1430" s="7" t="s">
        <v>18</v>
      </c>
      <c r="C1430" s="7" t="s">
        <v>19</v>
      </c>
      <c r="D1430" s="7" t="s">
        <v>20</v>
      </c>
      <c r="E1430" s="7" t="s">
        <v>21</v>
      </c>
      <c r="F1430" s="7" t="s">
        <v>22</v>
      </c>
      <c r="G1430" s="7" t="s">
        <v>23</v>
      </c>
      <c r="H1430" s="7" t="s">
        <v>161</v>
      </c>
      <c r="I1430" s="7"/>
      <c r="J1430" s="8"/>
      <c r="K1430" s="8"/>
      <c r="L1430" s="8"/>
      <c r="M1430" s="8"/>
      <c r="N1430" s="8">
        <v>163</v>
      </c>
      <c r="O1430" s="8">
        <v>478</v>
      </c>
      <c r="P1430" s="8"/>
      <c r="Q1430" t="s">
        <v>137</v>
      </c>
    </row>
    <row r="1431" spans="1:17" hidden="1" x14ac:dyDescent="0.25">
      <c r="A1431" s="7" t="s">
        <v>160</v>
      </c>
      <c r="B1431" s="7" t="s">
        <v>18</v>
      </c>
      <c r="C1431" s="7" t="s">
        <v>19</v>
      </c>
      <c r="D1431" s="7"/>
      <c r="E1431" s="7"/>
      <c r="F1431" s="7" t="s">
        <v>27</v>
      </c>
      <c r="G1431" s="7" t="s">
        <v>28</v>
      </c>
      <c r="H1431" s="7" t="s">
        <v>161</v>
      </c>
      <c r="I1431" s="7"/>
      <c r="J1431" s="8"/>
      <c r="K1431" s="8"/>
      <c r="L1431" s="8"/>
      <c r="M1431" s="8"/>
      <c r="N1431" s="8">
        <v>89.924054075827925</v>
      </c>
      <c r="O1431" s="8">
        <v>170.62568070848769</v>
      </c>
      <c r="P1431" s="8"/>
      <c r="Q1431" t="s">
        <v>137</v>
      </c>
    </row>
    <row r="1432" spans="1:17" hidden="1" x14ac:dyDescent="0.25">
      <c r="A1432" s="7" t="s">
        <v>160</v>
      </c>
      <c r="B1432" s="7" t="s">
        <v>18</v>
      </c>
      <c r="C1432" s="7" t="s">
        <v>19</v>
      </c>
      <c r="D1432" s="7"/>
      <c r="E1432" s="7"/>
      <c r="F1432" s="7" t="s">
        <v>29</v>
      </c>
      <c r="G1432" s="7" t="s">
        <v>30</v>
      </c>
      <c r="H1432" s="7" t="s">
        <v>161</v>
      </c>
      <c r="I1432" s="7"/>
      <c r="J1432" s="8"/>
      <c r="K1432" s="8"/>
      <c r="L1432" s="8"/>
      <c r="M1432" s="8"/>
      <c r="N1432" s="8">
        <v>101.81270380045876</v>
      </c>
      <c r="O1432" s="8">
        <v>250.32739988632261</v>
      </c>
      <c r="P1432" s="8"/>
      <c r="Q1432" t="s">
        <v>137</v>
      </c>
    </row>
    <row r="1433" spans="1:17" hidden="1" x14ac:dyDescent="0.25">
      <c r="A1433" s="7" t="s">
        <v>160</v>
      </c>
      <c r="B1433" s="7" t="s">
        <v>18</v>
      </c>
      <c r="C1433" s="7" t="s">
        <v>19</v>
      </c>
      <c r="D1433" s="7"/>
      <c r="E1433" s="7"/>
      <c r="F1433" s="7" t="s">
        <v>31</v>
      </c>
      <c r="G1433" s="7" t="s">
        <v>32</v>
      </c>
      <c r="H1433" s="7" t="s">
        <v>161</v>
      </c>
      <c r="I1433" s="7"/>
      <c r="J1433" s="8"/>
      <c r="K1433" s="8"/>
      <c r="L1433" s="8"/>
      <c r="M1433" s="8"/>
      <c r="N1433" s="8">
        <v>711.19333070342157</v>
      </c>
      <c r="O1433" s="8">
        <v>3169.2305647126882</v>
      </c>
      <c r="P1433" s="8"/>
      <c r="Q1433" t="s">
        <v>137</v>
      </c>
    </row>
    <row r="1434" spans="1:17" hidden="1" x14ac:dyDescent="0.25">
      <c r="A1434" s="7" t="s">
        <v>160</v>
      </c>
      <c r="B1434" s="7" t="s">
        <v>18</v>
      </c>
      <c r="C1434" s="7" t="s">
        <v>19</v>
      </c>
      <c r="D1434" s="7"/>
      <c r="E1434" s="7"/>
      <c r="F1434" s="7" t="s">
        <v>33</v>
      </c>
      <c r="G1434" s="7" t="s">
        <v>34</v>
      </c>
      <c r="H1434" s="7" t="s">
        <v>161</v>
      </c>
      <c r="I1434" s="7"/>
      <c r="J1434" s="8"/>
      <c r="K1434" s="8"/>
      <c r="L1434" s="8"/>
      <c r="M1434" s="8"/>
      <c r="N1434" s="8">
        <v>128.17219025806375</v>
      </c>
      <c r="O1434" s="8">
        <v>358.46007717775245</v>
      </c>
      <c r="P1434" s="8"/>
      <c r="Q1434" t="s">
        <v>137</v>
      </c>
    </row>
    <row r="1435" spans="1:17" hidden="1" x14ac:dyDescent="0.25">
      <c r="A1435" s="7" t="s">
        <v>160</v>
      </c>
      <c r="B1435" s="7" t="s">
        <v>18</v>
      </c>
      <c r="C1435" s="7" t="s">
        <v>19</v>
      </c>
      <c r="D1435" s="7" t="s">
        <v>20</v>
      </c>
      <c r="E1435" s="7" t="s">
        <v>21</v>
      </c>
      <c r="F1435" s="7" t="s">
        <v>35</v>
      </c>
      <c r="G1435" s="7" t="s">
        <v>36</v>
      </c>
      <c r="H1435" s="7" t="s">
        <v>161</v>
      </c>
      <c r="I1435" s="7"/>
      <c r="J1435" s="8"/>
      <c r="K1435" s="8"/>
      <c r="L1435" s="8"/>
      <c r="M1435" s="8"/>
      <c r="N1435" s="8">
        <v>362</v>
      </c>
      <c r="O1435" s="8">
        <v>1133</v>
      </c>
      <c r="P1435" s="8"/>
      <c r="Q1435" t="s">
        <v>137</v>
      </c>
    </row>
    <row r="1436" spans="1:17" hidden="1" x14ac:dyDescent="0.25">
      <c r="A1436" s="7" t="s">
        <v>160</v>
      </c>
      <c r="B1436" s="7" t="s">
        <v>18</v>
      </c>
      <c r="C1436" s="7" t="s">
        <v>19</v>
      </c>
      <c r="D1436" s="7"/>
      <c r="E1436" s="7"/>
      <c r="F1436" s="7" t="s">
        <v>37</v>
      </c>
      <c r="G1436" s="7" t="s">
        <v>38</v>
      </c>
      <c r="H1436" s="7" t="s">
        <v>161</v>
      </c>
      <c r="I1436" s="7"/>
      <c r="J1436" s="8"/>
      <c r="K1436" s="8"/>
      <c r="L1436" s="8"/>
      <c r="M1436" s="8"/>
      <c r="N1436" s="8">
        <v>133.30523352206478</v>
      </c>
      <c r="O1436" s="8">
        <v>501.64812035708866</v>
      </c>
      <c r="P1436" s="8"/>
      <c r="Q1436" t="s">
        <v>137</v>
      </c>
    </row>
    <row r="1437" spans="1:17" hidden="1" x14ac:dyDescent="0.25">
      <c r="A1437" s="7" t="s">
        <v>160</v>
      </c>
      <c r="B1437" s="7" t="s">
        <v>18</v>
      </c>
      <c r="C1437" s="7" t="s">
        <v>19</v>
      </c>
      <c r="D1437" s="7"/>
      <c r="E1437" s="7"/>
      <c r="F1437" s="7" t="s">
        <v>39</v>
      </c>
      <c r="G1437" s="7" t="s">
        <v>40</v>
      </c>
      <c r="H1437" s="7" t="s">
        <v>161</v>
      </c>
      <c r="I1437" s="7"/>
      <c r="J1437" s="8"/>
      <c r="K1437" s="8"/>
      <c r="L1437" s="8"/>
      <c r="M1437" s="8"/>
      <c r="N1437" s="8">
        <v>113.66941894436935</v>
      </c>
      <c r="O1437" s="8">
        <v>417.97536491386739</v>
      </c>
      <c r="P1437" s="8"/>
      <c r="Q1437" t="s">
        <v>137</v>
      </c>
    </row>
    <row r="1438" spans="1:17" hidden="1" x14ac:dyDescent="0.25">
      <c r="A1438" s="7" t="s">
        <v>160</v>
      </c>
      <c r="B1438" s="7" t="s">
        <v>18</v>
      </c>
      <c r="C1438" s="7" t="s">
        <v>19</v>
      </c>
      <c r="D1438" s="7" t="s">
        <v>20</v>
      </c>
      <c r="E1438" s="7" t="s">
        <v>21</v>
      </c>
      <c r="F1438" s="7" t="s">
        <v>41</v>
      </c>
      <c r="G1438" s="7" t="s">
        <v>42</v>
      </c>
      <c r="H1438" s="7" t="s">
        <v>161</v>
      </c>
      <c r="I1438" s="7"/>
      <c r="J1438" s="8"/>
      <c r="K1438" s="8"/>
      <c r="L1438" s="8"/>
      <c r="M1438" s="8"/>
      <c r="N1438" s="8">
        <v>947</v>
      </c>
      <c r="O1438" s="8">
        <v>2884</v>
      </c>
      <c r="P1438" s="8"/>
      <c r="Q1438" t="s">
        <v>137</v>
      </c>
    </row>
    <row r="1439" spans="1:17" hidden="1" x14ac:dyDescent="0.25">
      <c r="A1439" s="7" t="s">
        <v>160</v>
      </c>
      <c r="B1439" s="7" t="s">
        <v>18</v>
      </c>
      <c r="C1439" s="7" t="s">
        <v>19</v>
      </c>
      <c r="D1439" s="7" t="s">
        <v>20</v>
      </c>
      <c r="E1439" s="7" t="s">
        <v>21</v>
      </c>
      <c r="F1439" s="7" t="s">
        <v>43</v>
      </c>
      <c r="G1439" s="7" t="s">
        <v>44</v>
      </c>
      <c r="H1439" s="7" t="s">
        <v>161</v>
      </c>
      <c r="I1439" s="7"/>
      <c r="J1439" s="8"/>
      <c r="K1439" s="8"/>
      <c r="L1439" s="8"/>
      <c r="M1439" s="8"/>
      <c r="N1439" s="8">
        <v>439</v>
      </c>
      <c r="O1439" s="8">
        <v>1313</v>
      </c>
      <c r="P1439" s="8"/>
      <c r="Q1439" t="s">
        <v>137</v>
      </c>
    </row>
    <row r="1440" spans="1:17" hidden="1" x14ac:dyDescent="0.25">
      <c r="A1440" s="7" t="s">
        <v>160</v>
      </c>
      <c r="B1440" s="7" t="s">
        <v>18</v>
      </c>
      <c r="C1440" s="7" t="s">
        <v>19</v>
      </c>
      <c r="D1440" s="7"/>
      <c r="E1440" s="7"/>
      <c r="F1440" s="7" t="s">
        <v>45</v>
      </c>
      <c r="G1440" s="7" t="s">
        <v>46</v>
      </c>
      <c r="H1440" s="7" t="s">
        <v>161</v>
      </c>
      <c r="I1440" s="7"/>
      <c r="J1440" s="8"/>
      <c r="K1440" s="8"/>
      <c r="L1440" s="8"/>
      <c r="M1440" s="8"/>
      <c r="N1440" s="8">
        <v>147.93857446065286</v>
      </c>
      <c r="O1440" s="8">
        <v>554.18310507854449</v>
      </c>
      <c r="P1440" s="8"/>
      <c r="Q1440" t="s">
        <v>137</v>
      </c>
    </row>
    <row r="1441" spans="1:17" hidden="1" x14ac:dyDescent="0.25">
      <c r="A1441" s="7" t="s">
        <v>160</v>
      </c>
      <c r="B1441" s="7" t="s">
        <v>18</v>
      </c>
      <c r="C1441" s="7" t="s">
        <v>19</v>
      </c>
      <c r="D1441" s="7" t="s">
        <v>20</v>
      </c>
      <c r="E1441" s="7" t="s">
        <v>21</v>
      </c>
      <c r="F1441" s="7" t="s">
        <v>47</v>
      </c>
      <c r="G1441" s="7" t="s">
        <v>48</v>
      </c>
      <c r="H1441" s="7" t="s">
        <v>161</v>
      </c>
      <c r="I1441" s="7"/>
      <c r="J1441" s="8"/>
      <c r="K1441" s="8"/>
      <c r="L1441" s="8"/>
      <c r="M1441" s="8"/>
      <c r="N1441" s="8">
        <v>188</v>
      </c>
      <c r="O1441" s="8">
        <v>651</v>
      </c>
      <c r="P1441" s="8"/>
      <c r="Q1441" t="s">
        <v>137</v>
      </c>
    </row>
    <row r="1442" spans="1:17" hidden="1" x14ac:dyDescent="0.25">
      <c r="A1442" s="7" t="s">
        <v>160</v>
      </c>
      <c r="B1442" s="7" t="s">
        <v>18</v>
      </c>
      <c r="C1442" s="7" t="s">
        <v>19</v>
      </c>
      <c r="D1442" s="7"/>
      <c r="E1442" s="7"/>
      <c r="F1442" s="7" t="s">
        <v>49</v>
      </c>
      <c r="G1442" s="7" t="s">
        <v>50</v>
      </c>
      <c r="H1442" s="7" t="s">
        <v>161</v>
      </c>
      <c r="I1442" s="7"/>
      <c r="J1442" s="8"/>
      <c r="K1442" s="8"/>
      <c r="L1442" s="8"/>
      <c r="M1442" s="8"/>
      <c r="N1442" s="8">
        <v>137.23281301016121</v>
      </c>
      <c r="O1442" s="8">
        <v>362.84537833868251</v>
      </c>
      <c r="P1442" s="8"/>
      <c r="Q1442" t="s">
        <v>137</v>
      </c>
    </row>
    <row r="1443" spans="1:17" hidden="1" x14ac:dyDescent="0.25">
      <c r="A1443" s="7" t="s">
        <v>160</v>
      </c>
      <c r="B1443" s="7" t="s">
        <v>18</v>
      </c>
      <c r="C1443" s="7" t="s">
        <v>19</v>
      </c>
      <c r="D1443" s="7"/>
      <c r="E1443" s="7"/>
      <c r="F1443" s="7" t="s">
        <v>51</v>
      </c>
      <c r="G1443" s="7" t="s">
        <v>52</v>
      </c>
      <c r="H1443" s="7" t="s">
        <v>161</v>
      </c>
      <c r="I1443" s="7"/>
      <c r="J1443" s="8"/>
      <c r="K1443" s="8"/>
      <c r="L1443" s="8"/>
      <c r="M1443" s="8"/>
      <c r="N1443" s="8">
        <v>210.75157737070401</v>
      </c>
      <c r="O1443" s="8">
        <v>690.3675711549281</v>
      </c>
      <c r="P1443" s="8"/>
      <c r="Q1443" t="s">
        <v>137</v>
      </c>
    </row>
    <row r="1444" spans="1:17" hidden="1" x14ac:dyDescent="0.25">
      <c r="A1444" s="7" t="s">
        <v>160</v>
      </c>
      <c r="B1444" s="7" t="s">
        <v>18</v>
      </c>
      <c r="C1444" s="7" t="s">
        <v>19</v>
      </c>
      <c r="D1444" s="7"/>
      <c r="E1444" s="7"/>
      <c r="F1444" s="7" t="s">
        <v>53</v>
      </c>
      <c r="G1444" s="7" t="s">
        <v>54</v>
      </c>
      <c r="H1444" s="7" t="s">
        <v>161</v>
      </c>
      <c r="I1444" s="7"/>
      <c r="J1444" s="8"/>
      <c r="K1444" s="8"/>
      <c r="L1444" s="8"/>
      <c r="M1444" s="8"/>
      <c r="N1444" s="8">
        <v>245.29974732217104</v>
      </c>
      <c r="O1444" s="8">
        <v>715.93763552772839</v>
      </c>
      <c r="P1444" s="8"/>
      <c r="Q1444" t="s">
        <v>137</v>
      </c>
    </row>
    <row r="1445" spans="1:17" hidden="1" x14ac:dyDescent="0.25">
      <c r="A1445" s="7" t="s">
        <v>160</v>
      </c>
      <c r="B1445" s="7" t="s">
        <v>18</v>
      </c>
      <c r="C1445" s="7" t="s">
        <v>19</v>
      </c>
      <c r="D1445" s="7"/>
      <c r="E1445" s="7"/>
      <c r="F1445" s="7" t="s">
        <v>55</v>
      </c>
      <c r="G1445" s="7" t="s">
        <v>56</v>
      </c>
      <c r="H1445" s="7" t="s">
        <v>161</v>
      </c>
      <c r="I1445" s="7"/>
      <c r="J1445" s="8"/>
      <c r="K1445" s="8"/>
      <c r="L1445" s="8"/>
      <c r="M1445" s="8"/>
      <c r="N1445" s="8">
        <v>214.78582349088421</v>
      </c>
      <c r="O1445" s="8">
        <v>909.92768836749133</v>
      </c>
      <c r="P1445" s="8"/>
      <c r="Q1445" t="s">
        <v>137</v>
      </c>
    </row>
    <row r="1446" spans="1:17" hidden="1" x14ac:dyDescent="0.25">
      <c r="A1446" s="7" t="s">
        <v>160</v>
      </c>
      <c r="B1446" s="7" t="s">
        <v>18</v>
      </c>
      <c r="C1446" s="7" t="s">
        <v>19</v>
      </c>
      <c r="D1446" s="7"/>
      <c r="E1446" s="7"/>
      <c r="F1446" s="7" t="s">
        <v>57</v>
      </c>
      <c r="G1446" s="7" t="s">
        <v>58</v>
      </c>
      <c r="H1446" s="7" t="s">
        <v>161</v>
      </c>
      <c r="I1446" s="7"/>
      <c r="J1446" s="8"/>
      <c r="K1446" s="8"/>
      <c r="L1446" s="8"/>
      <c r="M1446" s="8"/>
      <c r="N1446" s="8">
        <v>220.39456724308982</v>
      </c>
      <c r="O1446" s="8">
        <v>739.46783035655119</v>
      </c>
      <c r="P1446" s="8"/>
      <c r="Q1446" t="s">
        <v>137</v>
      </c>
    </row>
    <row r="1447" spans="1:17" hidden="1" x14ac:dyDescent="0.25">
      <c r="A1447" s="7" t="s">
        <v>160</v>
      </c>
      <c r="B1447" s="7" t="s">
        <v>18</v>
      </c>
      <c r="C1447" s="7" t="s">
        <v>19</v>
      </c>
      <c r="D1447" s="7" t="s">
        <v>20</v>
      </c>
      <c r="E1447" s="7" t="s">
        <v>21</v>
      </c>
      <c r="F1447" s="7" t="s">
        <v>59</v>
      </c>
      <c r="G1447" s="7" t="s">
        <v>60</v>
      </c>
      <c r="H1447" s="7" t="s">
        <v>161</v>
      </c>
      <c r="I1447" s="7"/>
      <c r="J1447" s="8"/>
      <c r="K1447" s="8"/>
      <c r="L1447" s="8"/>
      <c r="M1447" s="8"/>
      <c r="N1447" s="8">
        <v>66</v>
      </c>
      <c r="O1447" s="8">
        <v>155</v>
      </c>
      <c r="P1447" s="8"/>
      <c r="Q1447" t="s">
        <v>137</v>
      </c>
    </row>
    <row r="1448" spans="1:17" hidden="1" x14ac:dyDescent="0.25">
      <c r="A1448" s="7" t="s">
        <v>160</v>
      </c>
      <c r="B1448" s="7" t="s">
        <v>18</v>
      </c>
      <c r="C1448" s="7" t="s">
        <v>19</v>
      </c>
      <c r="D1448" s="7" t="s">
        <v>20</v>
      </c>
      <c r="E1448" s="7" t="s">
        <v>21</v>
      </c>
      <c r="F1448" s="7" t="s">
        <v>61</v>
      </c>
      <c r="G1448" s="7" t="s">
        <v>62</v>
      </c>
      <c r="H1448" s="7" t="s">
        <v>161</v>
      </c>
      <c r="I1448" s="7"/>
      <c r="J1448" s="8"/>
      <c r="K1448" s="8"/>
      <c r="L1448" s="8"/>
      <c r="M1448" s="8"/>
      <c r="N1448" s="8">
        <v>55</v>
      </c>
      <c r="O1448" s="8">
        <v>222</v>
      </c>
      <c r="P1448" s="8"/>
      <c r="Q1448" t="s">
        <v>137</v>
      </c>
    </row>
    <row r="1449" spans="1:17" hidden="1" x14ac:dyDescent="0.25">
      <c r="A1449" s="7" t="s">
        <v>160</v>
      </c>
      <c r="B1449" s="7" t="s">
        <v>18</v>
      </c>
      <c r="C1449" s="7" t="s">
        <v>19</v>
      </c>
      <c r="D1449" s="7"/>
      <c r="E1449" s="7"/>
      <c r="F1449" s="7" t="s">
        <v>63</v>
      </c>
      <c r="G1449" s="7" t="s">
        <v>64</v>
      </c>
      <c r="H1449" s="7" t="s">
        <v>161</v>
      </c>
      <c r="I1449" s="7"/>
      <c r="J1449" s="8"/>
      <c r="K1449" s="8"/>
      <c r="L1449" s="8"/>
      <c r="M1449" s="8"/>
      <c r="N1449" s="8">
        <v>192.81617396522029</v>
      </c>
      <c r="O1449" s="8">
        <v>642.96980006085971</v>
      </c>
      <c r="P1449" s="8"/>
      <c r="Q1449" t="s">
        <v>137</v>
      </c>
    </row>
    <row r="1450" spans="1:17" hidden="1" x14ac:dyDescent="0.25">
      <c r="A1450" s="7" t="s">
        <v>160</v>
      </c>
      <c r="B1450" s="7" t="s">
        <v>18</v>
      </c>
      <c r="C1450" s="7" t="s">
        <v>19</v>
      </c>
      <c r="D1450" s="7" t="s">
        <v>20</v>
      </c>
      <c r="E1450" s="7" t="s">
        <v>21</v>
      </c>
      <c r="F1450" s="7" t="s">
        <v>65</v>
      </c>
      <c r="G1450" s="7" t="s">
        <v>66</v>
      </c>
      <c r="H1450" s="7" t="s">
        <v>161</v>
      </c>
      <c r="I1450" s="7"/>
      <c r="J1450" s="8"/>
      <c r="K1450" s="8"/>
      <c r="L1450" s="8"/>
      <c r="M1450" s="8"/>
      <c r="N1450" s="8">
        <v>261</v>
      </c>
      <c r="O1450" s="8">
        <v>812</v>
      </c>
      <c r="P1450" s="8"/>
      <c r="Q1450" t="s">
        <v>137</v>
      </c>
    </row>
    <row r="1451" spans="1:17" hidden="1" x14ac:dyDescent="0.25">
      <c r="A1451" s="7" t="s">
        <v>160</v>
      </c>
      <c r="B1451" s="7" t="s">
        <v>18</v>
      </c>
      <c r="C1451" s="7" t="s">
        <v>19</v>
      </c>
      <c r="D1451" s="7"/>
      <c r="E1451" s="7"/>
      <c r="F1451" s="7" t="s">
        <v>67</v>
      </c>
      <c r="G1451" s="7" t="s">
        <v>68</v>
      </c>
      <c r="H1451" s="7" t="s">
        <v>161</v>
      </c>
      <c r="I1451" s="7"/>
      <c r="J1451" s="8"/>
      <c r="K1451" s="8"/>
      <c r="L1451" s="8"/>
      <c r="M1451" s="8"/>
      <c r="N1451" s="8">
        <v>547.7733646210487</v>
      </c>
      <c r="O1451" s="8">
        <v>2480.0717350223563</v>
      </c>
      <c r="P1451" s="8"/>
      <c r="Q1451" t="s">
        <v>137</v>
      </c>
    </row>
    <row r="1452" spans="1:17" hidden="1" x14ac:dyDescent="0.25">
      <c r="A1452" s="7" t="s">
        <v>160</v>
      </c>
      <c r="B1452" s="7" t="s">
        <v>18</v>
      </c>
      <c r="C1452" s="7" t="s">
        <v>19</v>
      </c>
      <c r="D1452" s="7"/>
      <c r="E1452" s="7"/>
      <c r="F1452" s="7" t="s">
        <v>69</v>
      </c>
      <c r="G1452" s="7" t="s">
        <v>70</v>
      </c>
      <c r="H1452" s="7" t="s">
        <v>161</v>
      </c>
      <c r="I1452" s="7"/>
      <c r="J1452" s="8"/>
      <c r="K1452" s="8"/>
      <c r="L1452" s="8"/>
      <c r="M1452" s="8"/>
      <c r="N1452" s="8">
        <v>158.98202844105796</v>
      </c>
      <c r="O1452" s="8">
        <v>633.54806209339142</v>
      </c>
      <c r="P1452" s="8"/>
      <c r="Q1452" t="s">
        <v>137</v>
      </c>
    </row>
    <row r="1453" spans="1:17" hidden="1" x14ac:dyDescent="0.25">
      <c r="A1453" s="7" t="s">
        <v>160</v>
      </c>
      <c r="B1453" s="7" t="s">
        <v>18</v>
      </c>
      <c r="C1453" s="7" t="s">
        <v>19</v>
      </c>
      <c r="D1453" s="7"/>
      <c r="E1453" s="7"/>
      <c r="F1453" s="7" t="s">
        <v>71</v>
      </c>
      <c r="G1453" s="7" t="s">
        <v>72</v>
      </c>
      <c r="H1453" s="7" t="s">
        <v>161</v>
      </c>
      <c r="I1453" s="7"/>
      <c r="J1453" s="8"/>
      <c r="K1453" s="8"/>
      <c r="L1453" s="8"/>
      <c r="M1453" s="8"/>
      <c r="N1453" s="8">
        <v>82.935623605612463</v>
      </c>
      <c r="O1453" s="8">
        <v>456.1838013370828</v>
      </c>
      <c r="P1453" s="8"/>
      <c r="Q1453" t="s">
        <v>137</v>
      </c>
    </row>
    <row r="1454" spans="1:17" hidden="1" x14ac:dyDescent="0.25">
      <c r="A1454" s="7" t="s">
        <v>160</v>
      </c>
      <c r="B1454" s="7" t="s">
        <v>18</v>
      </c>
      <c r="C1454" s="7" t="s">
        <v>19</v>
      </c>
      <c r="D1454" s="7" t="s">
        <v>20</v>
      </c>
      <c r="E1454" s="7" t="s">
        <v>21</v>
      </c>
      <c r="F1454" s="7" t="s">
        <v>73</v>
      </c>
      <c r="G1454" s="7" t="s">
        <v>74</v>
      </c>
      <c r="H1454" s="7" t="s">
        <v>161</v>
      </c>
      <c r="I1454" s="7"/>
      <c r="J1454" s="8"/>
      <c r="K1454" s="8"/>
      <c r="L1454" s="8"/>
      <c r="M1454" s="8"/>
      <c r="N1454" s="8">
        <v>9</v>
      </c>
      <c r="O1454" s="8">
        <v>55</v>
      </c>
      <c r="P1454" s="8"/>
      <c r="Q1454" t="s">
        <v>137</v>
      </c>
    </row>
    <row r="1455" spans="1:17" hidden="1" x14ac:dyDescent="0.25">
      <c r="A1455" s="7" t="s">
        <v>160</v>
      </c>
      <c r="B1455" s="7" t="s">
        <v>18</v>
      </c>
      <c r="C1455" s="7" t="s">
        <v>19</v>
      </c>
      <c r="D1455" s="7" t="s">
        <v>20</v>
      </c>
      <c r="E1455" s="7" t="s">
        <v>21</v>
      </c>
      <c r="F1455" s="7" t="s">
        <v>75</v>
      </c>
      <c r="G1455" s="7" t="s">
        <v>76</v>
      </c>
      <c r="H1455" s="7" t="s">
        <v>161</v>
      </c>
      <c r="I1455" s="7"/>
      <c r="J1455" s="8"/>
      <c r="K1455" s="8"/>
      <c r="L1455" s="8"/>
      <c r="M1455" s="8"/>
      <c r="N1455" s="8">
        <v>39</v>
      </c>
      <c r="O1455" s="8">
        <v>41</v>
      </c>
      <c r="P1455" s="8"/>
      <c r="Q1455" t="s">
        <v>137</v>
      </c>
    </row>
    <row r="1456" spans="1:17" hidden="1" x14ac:dyDescent="0.25">
      <c r="A1456" s="7" t="s">
        <v>160</v>
      </c>
      <c r="B1456" s="7" t="s">
        <v>18</v>
      </c>
      <c r="C1456" s="7" t="s">
        <v>19</v>
      </c>
      <c r="D1456" s="7"/>
      <c r="E1456" s="7"/>
      <c r="F1456" s="7" t="s">
        <v>77</v>
      </c>
      <c r="G1456" s="7" t="s">
        <v>78</v>
      </c>
      <c r="H1456" s="7" t="s">
        <v>161</v>
      </c>
      <c r="I1456" s="7"/>
      <c r="J1456" s="8"/>
      <c r="K1456" s="8"/>
      <c r="L1456" s="8"/>
      <c r="M1456" s="8"/>
      <c r="N1456" s="8">
        <v>158.92661749365428</v>
      </c>
      <c r="O1456" s="8">
        <v>541.41245728286549</v>
      </c>
      <c r="P1456" s="8"/>
      <c r="Q1456" t="s">
        <v>137</v>
      </c>
    </row>
    <row r="1457" spans="1:17" hidden="1" x14ac:dyDescent="0.25">
      <c r="A1457" s="7" t="s">
        <v>160</v>
      </c>
      <c r="B1457" s="7" t="s">
        <v>18</v>
      </c>
      <c r="C1457" s="7" t="s">
        <v>19</v>
      </c>
      <c r="D1457" s="7"/>
      <c r="E1457" s="7"/>
      <c r="F1457" s="7" t="s">
        <v>79</v>
      </c>
      <c r="G1457" s="7" t="s">
        <v>80</v>
      </c>
      <c r="H1457" s="7" t="s">
        <v>161</v>
      </c>
      <c r="I1457" s="7"/>
      <c r="J1457" s="8"/>
      <c r="K1457" s="8"/>
      <c r="L1457" s="8"/>
      <c r="M1457" s="8"/>
      <c r="N1457" s="8">
        <v>57.667425789190446</v>
      </c>
      <c r="O1457" s="8">
        <v>121.22391900534139</v>
      </c>
      <c r="P1457" s="8"/>
      <c r="Q1457" t="s">
        <v>137</v>
      </c>
    </row>
    <row r="1458" spans="1:17" hidden="1" x14ac:dyDescent="0.25">
      <c r="A1458" s="7" t="s">
        <v>160</v>
      </c>
      <c r="B1458" s="7" t="s">
        <v>18</v>
      </c>
      <c r="C1458" s="7" t="s">
        <v>19</v>
      </c>
      <c r="D1458" s="7"/>
      <c r="E1458" s="7"/>
      <c r="F1458" s="7" t="s">
        <v>81</v>
      </c>
      <c r="G1458" s="7" t="s">
        <v>82</v>
      </c>
      <c r="H1458" s="7" t="s">
        <v>161</v>
      </c>
      <c r="I1458" s="7"/>
      <c r="J1458" s="8"/>
      <c r="K1458" s="8"/>
      <c r="L1458" s="8"/>
      <c r="M1458" s="8"/>
      <c r="N1458" s="8">
        <v>1155.3393977393032</v>
      </c>
      <c r="O1458" s="8">
        <v>5063.7927492010322</v>
      </c>
      <c r="P1458" s="8"/>
      <c r="Q1458" t="s">
        <v>137</v>
      </c>
    </row>
    <row r="1459" spans="1:17" hidden="1" x14ac:dyDescent="0.25">
      <c r="A1459" s="7" t="s">
        <v>160</v>
      </c>
      <c r="B1459" s="7" t="s">
        <v>18</v>
      </c>
      <c r="C1459" s="7" t="s">
        <v>19</v>
      </c>
      <c r="D1459" s="7"/>
      <c r="E1459" s="7"/>
      <c r="F1459" s="7" t="s">
        <v>83</v>
      </c>
      <c r="G1459" s="7" t="s">
        <v>84</v>
      </c>
      <c r="H1459" s="7" t="s">
        <v>161</v>
      </c>
      <c r="I1459" s="7"/>
      <c r="J1459" s="8"/>
      <c r="K1459" s="8"/>
      <c r="L1459" s="8"/>
      <c r="M1459" s="8"/>
      <c r="N1459" s="8">
        <v>65.23009989968601</v>
      </c>
      <c r="O1459" s="8">
        <v>340.79194437747049</v>
      </c>
      <c r="P1459" s="8"/>
      <c r="Q1459" t="s">
        <v>137</v>
      </c>
    </row>
    <row r="1460" spans="1:17" hidden="1" x14ac:dyDescent="0.25">
      <c r="A1460" s="7" t="s">
        <v>160</v>
      </c>
      <c r="B1460" s="7" t="s">
        <v>18</v>
      </c>
      <c r="C1460" s="7" t="s">
        <v>19</v>
      </c>
      <c r="D1460" s="7" t="s">
        <v>20</v>
      </c>
      <c r="E1460" s="7" t="s">
        <v>21</v>
      </c>
      <c r="F1460" s="7" t="s">
        <v>85</v>
      </c>
      <c r="G1460" s="7" t="s">
        <v>86</v>
      </c>
      <c r="H1460" s="7" t="s">
        <v>161</v>
      </c>
      <c r="I1460" s="7"/>
      <c r="J1460" s="8"/>
      <c r="K1460" s="8"/>
      <c r="L1460" s="8"/>
      <c r="M1460" s="8"/>
      <c r="N1460" s="8">
        <v>381</v>
      </c>
      <c r="O1460" s="8">
        <v>1149</v>
      </c>
      <c r="P1460" s="8"/>
      <c r="Q1460" t="s">
        <v>137</v>
      </c>
    </row>
    <row r="1461" spans="1:17" hidden="1" x14ac:dyDescent="0.25">
      <c r="A1461" s="7" t="s">
        <v>160</v>
      </c>
      <c r="B1461" s="7" t="s">
        <v>18</v>
      </c>
      <c r="C1461" s="7" t="s">
        <v>19</v>
      </c>
      <c r="D1461" s="7"/>
      <c r="E1461" s="7"/>
      <c r="F1461" s="7" t="s">
        <v>87</v>
      </c>
      <c r="G1461" s="7" t="s">
        <v>88</v>
      </c>
      <c r="H1461" s="7" t="s">
        <v>161</v>
      </c>
      <c r="I1461" s="7"/>
      <c r="J1461" s="8"/>
      <c r="K1461" s="8"/>
      <c r="L1461" s="8"/>
      <c r="M1461" s="8"/>
      <c r="N1461" s="8">
        <v>81.367722122831907</v>
      </c>
      <c r="O1461" s="8">
        <v>188.74647785332439</v>
      </c>
      <c r="P1461" s="8"/>
      <c r="Q1461" t="s">
        <v>137</v>
      </c>
    </row>
    <row r="1462" spans="1:17" hidden="1" x14ac:dyDescent="0.25">
      <c r="A1462" s="7" t="s">
        <v>160</v>
      </c>
      <c r="B1462" s="7" t="s">
        <v>18</v>
      </c>
      <c r="C1462" s="7" t="s">
        <v>19</v>
      </c>
      <c r="D1462" s="7"/>
      <c r="E1462" s="7"/>
      <c r="F1462" s="7" t="s">
        <v>89</v>
      </c>
      <c r="G1462" s="7" t="s">
        <v>90</v>
      </c>
      <c r="H1462" s="7" t="s">
        <v>161</v>
      </c>
      <c r="I1462" s="7"/>
      <c r="J1462" s="8"/>
      <c r="K1462" s="8"/>
      <c r="L1462" s="8"/>
      <c r="M1462" s="8"/>
      <c r="N1462" s="8">
        <v>299.31307544462692</v>
      </c>
      <c r="O1462" s="8">
        <v>1389.8514286631876</v>
      </c>
      <c r="P1462" s="8"/>
      <c r="Q1462" t="s">
        <v>137</v>
      </c>
    </row>
    <row r="1463" spans="1:17" hidden="1" x14ac:dyDescent="0.25">
      <c r="A1463" s="7" t="s">
        <v>160</v>
      </c>
      <c r="B1463" s="7" t="s">
        <v>18</v>
      </c>
      <c r="C1463" s="7" t="s">
        <v>19</v>
      </c>
      <c r="D1463" s="7"/>
      <c r="E1463" s="7"/>
      <c r="F1463" s="7" t="s">
        <v>91</v>
      </c>
      <c r="G1463" s="7" t="s">
        <v>92</v>
      </c>
      <c r="H1463" s="7" t="s">
        <v>161</v>
      </c>
      <c r="I1463" s="7"/>
      <c r="J1463" s="8"/>
      <c r="K1463" s="8"/>
      <c r="L1463" s="8"/>
      <c r="M1463" s="8"/>
      <c r="N1463" s="8">
        <v>197.97869181606953</v>
      </c>
      <c r="O1463" s="8">
        <v>738.61481909958854</v>
      </c>
      <c r="P1463" s="8"/>
      <c r="Q1463" t="s">
        <v>137</v>
      </c>
    </row>
    <row r="1464" spans="1:17" hidden="1" x14ac:dyDescent="0.25">
      <c r="A1464" s="7" t="s">
        <v>160</v>
      </c>
      <c r="B1464" s="7" t="s">
        <v>18</v>
      </c>
      <c r="C1464" s="7" t="s">
        <v>19</v>
      </c>
      <c r="D1464" s="7"/>
      <c r="E1464" s="7"/>
      <c r="F1464" s="7" t="s">
        <v>93</v>
      </c>
      <c r="G1464" s="7" t="s">
        <v>94</v>
      </c>
      <c r="H1464" s="7" t="s">
        <v>161</v>
      </c>
      <c r="I1464" s="7"/>
      <c r="J1464" s="8"/>
      <c r="K1464" s="8"/>
      <c r="L1464" s="8"/>
      <c r="M1464" s="8"/>
      <c r="N1464" s="8">
        <v>156.38374505160255</v>
      </c>
      <c r="O1464" s="8">
        <v>760.45609918498542</v>
      </c>
      <c r="P1464" s="8"/>
      <c r="Q1464" t="s">
        <v>137</v>
      </c>
    </row>
    <row r="1465" spans="1:17" hidden="1" x14ac:dyDescent="0.25">
      <c r="A1465" s="7" t="s">
        <v>160</v>
      </c>
      <c r="B1465" s="7" t="s">
        <v>18</v>
      </c>
      <c r="C1465" s="7" t="s">
        <v>19</v>
      </c>
      <c r="D1465" s="7"/>
      <c r="E1465" s="7"/>
      <c r="F1465" s="7" t="s">
        <v>95</v>
      </c>
      <c r="G1465" s="7" t="s">
        <v>96</v>
      </c>
      <c r="H1465" s="7" t="s">
        <v>161</v>
      </c>
      <c r="I1465" s="7"/>
      <c r="J1465" s="8"/>
      <c r="K1465" s="8"/>
      <c r="L1465" s="8"/>
      <c r="M1465" s="8"/>
      <c r="N1465" s="8">
        <v>177.71206768118736</v>
      </c>
      <c r="O1465" s="8">
        <v>559.70006341969417</v>
      </c>
      <c r="P1465" s="8"/>
      <c r="Q1465" t="s">
        <v>137</v>
      </c>
    </row>
    <row r="1466" spans="1:17" hidden="1" x14ac:dyDescent="0.25">
      <c r="A1466" s="7" t="s">
        <v>160</v>
      </c>
      <c r="B1466" s="7" t="s">
        <v>18</v>
      </c>
      <c r="C1466" s="7" t="s">
        <v>19</v>
      </c>
      <c r="D1466" s="7"/>
      <c r="E1466" s="7"/>
      <c r="F1466" s="7" t="s">
        <v>97</v>
      </c>
      <c r="G1466" s="7" t="s">
        <v>98</v>
      </c>
      <c r="H1466" s="7" t="s">
        <v>161</v>
      </c>
      <c r="I1466" s="7"/>
      <c r="J1466" s="8"/>
      <c r="K1466" s="8"/>
      <c r="L1466" s="8"/>
      <c r="M1466" s="8"/>
      <c r="N1466" s="8">
        <v>69.878380073862544</v>
      </c>
      <c r="O1466" s="8">
        <v>198.97462989093415</v>
      </c>
      <c r="P1466" s="8"/>
      <c r="Q1466" t="s">
        <v>137</v>
      </c>
    </row>
    <row r="1467" spans="1:17" hidden="1" x14ac:dyDescent="0.25">
      <c r="A1467" s="7" t="s">
        <v>160</v>
      </c>
      <c r="B1467" s="7" t="s">
        <v>18</v>
      </c>
      <c r="C1467" s="7" t="s">
        <v>19</v>
      </c>
      <c r="D1467" s="7"/>
      <c r="E1467" s="7"/>
      <c r="F1467" s="7" t="s">
        <v>99</v>
      </c>
      <c r="G1467" s="7" t="s">
        <v>100</v>
      </c>
      <c r="H1467" s="7" t="s">
        <v>161</v>
      </c>
      <c r="I1467" s="7"/>
      <c r="J1467" s="8"/>
      <c r="K1467" s="8"/>
      <c r="L1467" s="8"/>
      <c r="M1467" s="8"/>
      <c r="N1467" s="8">
        <v>556.83610773072701</v>
      </c>
      <c r="O1467" s="8">
        <v>2444.4603820024413</v>
      </c>
      <c r="P1467" s="8"/>
      <c r="Q1467" t="s">
        <v>137</v>
      </c>
    </row>
    <row r="1468" spans="1:17" hidden="1" x14ac:dyDescent="0.25">
      <c r="A1468" s="7" t="s">
        <v>160</v>
      </c>
      <c r="B1468" s="7" t="s">
        <v>18</v>
      </c>
      <c r="C1468" s="7" t="s">
        <v>19</v>
      </c>
      <c r="D1468" s="7" t="s">
        <v>20</v>
      </c>
      <c r="E1468" s="7" t="s">
        <v>21</v>
      </c>
      <c r="F1468" s="7" t="s">
        <v>101</v>
      </c>
      <c r="G1468" s="7" t="s">
        <v>21</v>
      </c>
      <c r="H1468" s="7" t="s">
        <v>161</v>
      </c>
      <c r="I1468" s="7"/>
      <c r="J1468" s="8"/>
      <c r="K1468" s="8"/>
      <c r="L1468" s="8"/>
      <c r="M1468" s="8"/>
      <c r="N1468" s="8">
        <v>26</v>
      </c>
      <c r="O1468" s="8">
        <v>124</v>
      </c>
      <c r="P1468" s="8"/>
      <c r="Q1468" t="s">
        <v>137</v>
      </c>
    </row>
    <row r="1469" spans="1:17" hidden="1" x14ac:dyDescent="0.25">
      <c r="A1469" s="7" t="s">
        <v>160</v>
      </c>
      <c r="B1469" s="7" t="s">
        <v>18</v>
      </c>
      <c r="C1469" s="7" t="s">
        <v>19</v>
      </c>
      <c r="D1469" s="7"/>
      <c r="E1469" s="7"/>
      <c r="F1469" s="7" t="s">
        <v>102</v>
      </c>
      <c r="G1469" s="7" t="s">
        <v>103</v>
      </c>
      <c r="H1469" s="7" t="s">
        <v>161</v>
      </c>
      <c r="I1469" s="7"/>
      <c r="J1469" s="8"/>
      <c r="K1469" s="8"/>
      <c r="L1469" s="8"/>
      <c r="M1469" s="8"/>
      <c r="N1469" s="8">
        <v>51.659809019522825</v>
      </c>
      <c r="O1469" s="8">
        <v>126.60628626809189</v>
      </c>
      <c r="P1469" s="8"/>
      <c r="Q1469" t="s">
        <v>137</v>
      </c>
    </row>
    <row r="1470" spans="1:17" hidden="1" x14ac:dyDescent="0.25">
      <c r="A1470" s="7" t="s">
        <v>160</v>
      </c>
      <c r="B1470" s="7" t="s">
        <v>18</v>
      </c>
      <c r="C1470" s="7" t="s">
        <v>19</v>
      </c>
      <c r="D1470" s="7" t="s">
        <v>20</v>
      </c>
      <c r="E1470" s="7" t="s">
        <v>21</v>
      </c>
      <c r="F1470" s="7" t="s">
        <v>104</v>
      </c>
      <c r="G1470" s="7" t="s">
        <v>105</v>
      </c>
      <c r="H1470" s="7" t="s">
        <v>161</v>
      </c>
      <c r="I1470" s="7"/>
      <c r="J1470" s="8"/>
      <c r="K1470" s="8"/>
      <c r="L1470" s="8"/>
      <c r="M1470" s="8"/>
      <c r="N1470" s="8">
        <v>937</v>
      </c>
      <c r="O1470" s="8">
        <v>2845</v>
      </c>
      <c r="P1470" s="8"/>
      <c r="Q1470" t="s">
        <v>137</v>
      </c>
    </row>
    <row r="1471" spans="1:17" hidden="1" x14ac:dyDescent="0.25">
      <c r="A1471" s="7" t="s">
        <v>160</v>
      </c>
      <c r="B1471" s="7" t="s">
        <v>18</v>
      </c>
      <c r="C1471" s="7" t="s">
        <v>19</v>
      </c>
      <c r="D1471" s="7"/>
      <c r="E1471" s="7"/>
      <c r="F1471" s="7" t="s">
        <v>106</v>
      </c>
      <c r="G1471" s="7" t="s">
        <v>107</v>
      </c>
      <c r="H1471" s="7" t="s">
        <v>161</v>
      </c>
      <c r="I1471" s="7"/>
      <c r="J1471" s="8"/>
      <c r="K1471" s="8"/>
      <c r="L1471" s="8"/>
      <c r="M1471" s="8"/>
      <c r="N1471" s="8">
        <v>428.57929504454722</v>
      </c>
      <c r="O1471" s="8">
        <v>1894.6748556554503</v>
      </c>
      <c r="P1471" s="8"/>
      <c r="Q1471" t="s">
        <v>137</v>
      </c>
    </row>
    <row r="1472" spans="1:17" hidden="1" x14ac:dyDescent="0.25">
      <c r="A1472" s="7" t="s">
        <v>160</v>
      </c>
      <c r="B1472" s="7" t="s">
        <v>18</v>
      </c>
      <c r="C1472" s="7" t="s">
        <v>19</v>
      </c>
      <c r="D1472" s="7"/>
      <c r="E1472" s="7"/>
      <c r="F1472" s="7" t="s">
        <v>108</v>
      </c>
      <c r="G1472" s="7" t="s">
        <v>109</v>
      </c>
      <c r="H1472" s="7" t="s">
        <v>161</v>
      </c>
      <c r="I1472" s="7"/>
      <c r="J1472" s="8"/>
      <c r="K1472" s="8"/>
      <c r="L1472" s="8"/>
      <c r="M1472" s="8"/>
      <c r="N1472" s="8">
        <v>75.168893978242309</v>
      </c>
      <c r="O1472" s="8">
        <v>273.57179045153015</v>
      </c>
      <c r="P1472" s="8"/>
      <c r="Q1472" t="s">
        <v>137</v>
      </c>
    </row>
    <row r="1473" spans="1:17" hidden="1" x14ac:dyDescent="0.25">
      <c r="A1473" s="7" t="s">
        <v>160</v>
      </c>
      <c r="B1473" s="7" t="s">
        <v>18</v>
      </c>
      <c r="C1473" s="7" t="s">
        <v>19</v>
      </c>
      <c r="D1473" s="7"/>
      <c r="E1473" s="7"/>
      <c r="F1473" s="7" t="s">
        <v>110</v>
      </c>
      <c r="G1473" s="7" t="s">
        <v>111</v>
      </c>
      <c r="H1473" s="7" t="s">
        <v>161</v>
      </c>
      <c r="I1473" s="7"/>
      <c r="J1473" s="8"/>
      <c r="K1473" s="8"/>
      <c r="L1473" s="8"/>
      <c r="M1473" s="8"/>
      <c r="N1473" s="8">
        <v>160.7467945585706</v>
      </c>
      <c r="O1473" s="8">
        <v>560.71967735937494</v>
      </c>
      <c r="P1473" s="8"/>
      <c r="Q1473" t="s">
        <v>137</v>
      </c>
    </row>
    <row r="1474" spans="1:17" hidden="1" x14ac:dyDescent="0.25">
      <c r="A1474" s="7" t="s">
        <v>160</v>
      </c>
      <c r="B1474" s="7" t="s">
        <v>18</v>
      </c>
      <c r="C1474" s="7" t="s">
        <v>19</v>
      </c>
      <c r="D1474" s="7" t="s">
        <v>20</v>
      </c>
      <c r="E1474" s="7" t="s">
        <v>21</v>
      </c>
      <c r="F1474" s="7" t="s">
        <v>112</v>
      </c>
      <c r="G1474" s="7" t="s">
        <v>113</v>
      </c>
      <c r="H1474" s="7" t="s">
        <v>161</v>
      </c>
      <c r="I1474" s="7"/>
      <c r="J1474" s="8"/>
      <c r="K1474" s="8"/>
      <c r="L1474" s="8"/>
      <c r="M1474" s="8"/>
      <c r="N1474" s="8">
        <v>429</v>
      </c>
      <c r="O1474" s="8">
        <v>1260</v>
      </c>
      <c r="P1474" s="8"/>
      <c r="Q1474" t="s">
        <v>137</v>
      </c>
    </row>
    <row r="1475" spans="1:17" hidden="1" x14ac:dyDescent="0.25">
      <c r="A1475" s="7" t="s">
        <v>160</v>
      </c>
      <c r="B1475" s="7" t="s">
        <v>18</v>
      </c>
      <c r="C1475" s="7" t="s">
        <v>19</v>
      </c>
      <c r="D1475" s="7" t="s">
        <v>20</v>
      </c>
      <c r="E1475" s="7" t="s">
        <v>21</v>
      </c>
      <c r="F1475" s="7" t="s">
        <v>114</v>
      </c>
      <c r="G1475" s="7" t="s">
        <v>115</v>
      </c>
      <c r="H1475" s="7" t="s">
        <v>161</v>
      </c>
      <c r="I1475" s="7"/>
      <c r="J1475" s="8"/>
      <c r="K1475" s="8"/>
      <c r="L1475" s="8"/>
      <c r="M1475" s="8"/>
      <c r="N1475" s="8">
        <v>1</v>
      </c>
      <c r="O1475" s="8">
        <v>18</v>
      </c>
      <c r="P1475" s="8"/>
      <c r="Q1475" t="s">
        <v>137</v>
      </c>
    </row>
    <row r="1476" spans="1:17" hidden="1" x14ac:dyDescent="0.25">
      <c r="A1476" s="7" t="s">
        <v>160</v>
      </c>
      <c r="B1476" s="7" t="s">
        <v>18</v>
      </c>
      <c r="C1476" s="7" t="s">
        <v>19</v>
      </c>
      <c r="D1476" s="7" t="s">
        <v>20</v>
      </c>
      <c r="E1476" s="7" t="s">
        <v>21</v>
      </c>
      <c r="F1476" s="7" t="s">
        <v>116</v>
      </c>
      <c r="G1476" s="7" t="s">
        <v>117</v>
      </c>
      <c r="H1476" s="7" t="s">
        <v>161</v>
      </c>
      <c r="I1476" s="7"/>
      <c r="J1476" s="8"/>
      <c r="K1476" s="8"/>
      <c r="L1476" s="8"/>
      <c r="M1476" s="8"/>
      <c r="N1476" s="8">
        <v>28</v>
      </c>
      <c r="O1476" s="8">
        <v>167</v>
      </c>
      <c r="P1476" s="8"/>
      <c r="Q1476" t="s">
        <v>137</v>
      </c>
    </row>
    <row r="1477" spans="1:17" hidden="1" x14ac:dyDescent="0.25">
      <c r="A1477" s="7" t="s">
        <v>160</v>
      </c>
      <c r="B1477" s="7" t="s">
        <v>18</v>
      </c>
      <c r="C1477" s="7" t="s">
        <v>19</v>
      </c>
      <c r="D1477" s="7" t="s">
        <v>20</v>
      </c>
      <c r="E1477" s="7" t="s">
        <v>21</v>
      </c>
      <c r="F1477" s="7" t="s">
        <v>118</v>
      </c>
      <c r="G1477" s="7" t="s">
        <v>119</v>
      </c>
      <c r="H1477" s="7" t="s">
        <v>161</v>
      </c>
      <c r="I1477" s="7"/>
      <c r="J1477" s="8"/>
      <c r="K1477" s="8"/>
      <c r="L1477" s="8"/>
      <c r="M1477" s="8"/>
      <c r="N1477" s="8">
        <v>43</v>
      </c>
      <c r="O1477" s="8">
        <v>99</v>
      </c>
      <c r="P1477" s="8"/>
      <c r="Q1477" t="s">
        <v>137</v>
      </c>
    </row>
    <row r="1478" spans="1:17" hidden="1" x14ac:dyDescent="0.25">
      <c r="A1478" s="7" t="s">
        <v>160</v>
      </c>
      <c r="B1478" s="7" t="s">
        <v>18</v>
      </c>
      <c r="C1478" s="7" t="s">
        <v>19</v>
      </c>
      <c r="D1478" s="7" t="s">
        <v>20</v>
      </c>
      <c r="E1478" s="7" t="s">
        <v>21</v>
      </c>
      <c r="F1478" s="7" t="s">
        <v>120</v>
      </c>
      <c r="G1478" s="7" t="s">
        <v>121</v>
      </c>
      <c r="H1478" s="7" t="s">
        <v>161</v>
      </c>
      <c r="I1478" s="7"/>
      <c r="J1478" s="8"/>
      <c r="K1478" s="8"/>
      <c r="L1478" s="8"/>
      <c r="M1478" s="8"/>
      <c r="N1478" s="8">
        <v>119</v>
      </c>
      <c r="O1478" s="8">
        <v>399</v>
      </c>
      <c r="P1478" s="8"/>
      <c r="Q1478" t="s">
        <v>137</v>
      </c>
    </row>
    <row r="1479" spans="1:17" hidden="1" x14ac:dyDescent="0.25">
      <c r="A1479" s="7" t="s">
        <v>160</v>
      </c>
      <c r="B1479" s="7" t="s">
        <v>18</v>
      </c>
      <c r="C1479" s="7" t="s">
        <v>19</v>
      </c>
      <c r="D1479" s="7"/>
      <c r="E1479" s="7"/>
      <c r="F1479" s="7" t="s">
        <v>122</v>
      </c>
      <c r="G1479" s="7" t="s">
        <v>123</v>
      </c>
      <c r="H1479" s="7" t="s">
        <v>161</v>
      </c>
      <c r="I1479" s="7"/>
      <c r="J1479" s="8"/>
      <c r="K1479" s="8"/>
      <c r="L1479" s="8"/>
      <c r="M1479" s="8"/>
      <c r="N1479" s="8">
        <v>232.06127653171905</v>
      </c>
      <c r="O1479" s="8">
        <v>1021.6808828373237</v>
      </c>
      <c r="P1479" s="8"/>
      <c r="Q1479" t="s">
        <v>137</v>
      </c>
    </row>
    <row r="1480" spans="1:17" hidden="1" x14ac:dyDescent="0.25">
      <c r="A1480" s="7" t="s">
        <v>160</v>
      </c>
      <c r="B1480" s="7" t="s">
        <v>18</v>
      </c>
      <c r="C1480" s="7" t="s">
        <v>19</v>
      </c>
      <c r="D1480" s="7"/>
      <c r="E1480" s="7"/>
      <c r="F1480" s="7" t="s">
        <v>124</v>
      </c>
      <c r="G1480" s="7" t="s">
        <v>125</v>
      </c>
      <c r="H1480" s="7" t="s">
        <v>161</v>
      </c>
      <c r="I1480" s="7"/>
      <c r="J1480" s="8"/>
      <c r="K1480" s="8"/>
      <c r="L1480" s="8"/>
      <c r="M1480" s="8"/>
      <c r="N1480" s="8">
        <v>171.14863606468779</v>
      </c>
      <c r="O1480" s="8">
        <v>619.68415211656054</v>
      </c>
      <c r="P1480" s="8"/>
      <c r="Q1480" t="s">
        <v>137</v>
      </c>
    </row>
    <row r="1481" spans="1:17" x14ac:dyDescent="0.25">
      <c r="A1481" s="7" t="s">
        <v>162</v>
      </c>
      <c r="B1481" s="7" t="s">
        <v>18</v>
      </c>
      <c r="C1481" s="7" t="s">
        <v>19</v>
      </c>
      <c r="D1481" s="7" t="s">
        <v>20</v>
      </c>
      <c r="E1481" s="7" t="s">
        <v>21</v>
      </c>
      <c r="F1481" s="7" t="s">
        <v>22</v>
      </c>
      <c r="G1481" s="7" t="s">
        <v>23</v>
      </c>
      <c r="H1481" s="7" t="s">
        <v>163</v>
      </c>
      <c r="I1481" s="7" t="s">
        <v>164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t="s">
        <v>137</v>
      </c>
    </row>
    <row r="1482" spans="1:17" x14ac:dyDescent="0.25">
      <c r="A1482" s="7" t="s">
        <v>162</v>
      </c>
      <c r="B1482" s="7" t="s">
        <v>18</v>
      </c>
      <c r="C1482" s="7" t="s">
        <v>19</v>
      </c>
      <c r="D1482" s="7" t="s">
        <v>20</v>
      </c>
      <c r="E1482" s="7" t="s">
        <v>21</v>
      </c>
      <c r="F1482" s="7" t="s">
        <v>35</v>
      </c>
      <c r="G1482" s="7" t="s">
        <v>36</v>
      </c>
      <c r="H1482" s="7" t="s">
        <v>163</v>
      </c>
      <c r="I1482" s="7" t="s">
        <v>164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t="s">
        <v>137</v>
      </c>
    </row>
    <row r="1483" spans="1:17" x14ac:dyDescent="0.25">
      <c r="A1483" s="7" t="s">
        <v>162</v>
      </c>
      <c r="B1483" s="7" t="s">
        <v>18</v>
      </c>
      <c r="C1483" s="7" t="s">
        <v>19</v>
      </c>
      <c r="D1483" s="7" t="s">
        <v>20</v>
      </c>
      <c r="E1483" s="7" t="s">
        <v>21</v>
      </c>
      <c r="F1483" s="7" t="s">
        <v>41</v>
      </c>
      <c r="G1483" s="7" t="s">
        <v>42</v>
      </c>
      <c r="H1483" s="7" t="s">
        <v>163</v>
      </c>
      <c r="I1483" s="7" t="s">
        <v>164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t="s">
        <v>137</v>
      </c>
    </row>
    <row r="1484" spans="1:17" x14ac:dyDescent="0.25">
      <c r="A1484" s="7" t="s">
        <v>162</v>
      </c>
      <c r="B1484" s="7" t="s">
        <v>18</v>
      </c>
      <c r="C1484" s="7" t="s">
        <v>19</v>
      </c>
      <c r="D1484" s="7" t="s">
        <v>20</v>
      </c>
      <c r="E1484" s="7" t="s">
        <v>21</v>
      </c>
      <c r="F1484" s="7" t="s">
        <v>43</v>
      </c>
      <c r="G1484" s="7" t="s">
        <v>44</v>
      </c>
      <c r="H1484" s="7" t="s">
        <v>163</v>
      </c>
      <c r="I1484" s="7" t="s">
        <v>164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t="s">
        <v>137</v>
      </c>
    </row>
    <row r="1485" spans="1:17" x14ac:dyDescent="0.25">
      <c r="A1485" s="7" t="s">
        <v>162</v>
      </c>
      <c r="B1485" s="7" t="s">
        <v>18</v>
      </c>
      <c r="C1485" s="7" t="s">
        <v>19</v>
      </c>
      <c r="D1485" s="7" t="s">
        <v>20</v>
      </c>
      <c r="E1485" s="7" t="s">
        <v>21</v>
      </c>
      <c r="F1485" s="7" t="s">
        <v>47</v>
      </c>
      <c r="G1485" s="7" t="s">
        <v>48</v>
      </c>
      <c r="H1485" s="7" t="s">
        <v>163</v>
      </c>
      <c r="I1485" s="7" t="s">
        <v>164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t="s">
        <v>137</v>
      </c>
    </row>
    <row r="1486" spans="1:17" x14ac:dyDescent="0.25">
      <c r="A1486" s="7" t="s">
        <v>162</v>
      </c>
      <c r="B1486" s="7" t="s">
        <v>18</v>
      </c>
      <c r="C1486" s="7" t="s">
        <v>19</v>
      </c>
      <c r="D1486" s="7" t="s">
        <v>20</v>
      </c>
      <c r="E1486" s="7" t="s">
        <v>21</v>
      </c>
      <c r="F1486" s="7" t="s">
        <v>59</v>
      </c>
      <c r="G1486" s="7" t="s">
        <v>60</v>
      </c>
      <c r="H1486" s="7" t="s">
        <v>163</v>
      </c>
      <c r="I1486" s="7" t="s">
        <v>164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t="s">
        <v>137</v>
      </c>
    </row>
    <row r="1487" spans="1:17" x14ac:dyDescent="0.25">
      <c r="A1487" s="7" t="s">
        <v>162</v>
      </c>
      <c r="B1487" s="7" t="s">
        <v>18</v>
      </c>
      <c r="C1487" s="7" t="s">
        <v>19</v>
      </c>
      <c r="D1487" s="7" t="s">
        <v>20</v>
      </c>
      <c r="E1487" s="7" t="s">
        <v>21</v>
      </c>
      <c r="F1487" s="7" t="s">
        <v>61</v>
      </c>
      <c r="G1487" s="7" t="s">
        <v>62</v>
      </c>
      <c r="H1487" s="7" t="s">
        <v>163</v>
      </c>
      <c r="I1487" s="7" t="s">
        <v>164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t="s">
        <v>137</v>
      </c>
    </row>
    <row r="1488" spans="1:17" x14ac:dyDescent="0.25">
      <c r="A1488" s="7" t="s">
        <v>162</v>
      </c>
      <c r="B1488" s="7" t="s">
        <v>18</v>
      </c>
      <c r="C1488" s="7" t="s">
        <v>19</v>
      </c>
      <c r="D1488" s="7" t="s">
        <v>20</v>
      </c>
      <c r="E1488" s="7" t="s">
        <v>21</v>
      </c>
      <c r="F1488" s="7" t="s">
        <v>65</v>
      </c>
      <c r="G1488" s="7" t="s">
        <v>66</v>
      </c>
      <c r="H1488" s="7" t="s">
        <v>163</v>
      </c>
      <c r="I1488" s="7" t="s">
        <v>164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t="s">
        <v>137</v>
      </c>
    </row>
    <row r="1489" spans="1:17" x14ac:dyDescent="0.25">
      <c r="A1489" s="7" t="s">
        <v>162</v>
      </c>
      <c r="B1489" s="7" t="s">
        <v>18</v>
      </c>
      <c r="C1489" s="7" t="s">
        <v>19</v>
      </c>
      <c r="D1489" s="7" t="s">
        <v>20</v>
      </c>
      <c r="E1489" s="7" t="s">
        <v>21</v>
      </c>
      <c r="F1489" s="7" t="s">
        <v>73</v>
      </c>
      <c r="G1489" s="7" t="s">
        <v>74</v>
      </c>
      <c r="H1489" s="7" t="s">
        <v>163</v>
      </c>
      <c r="I1489" s="7" t="s">
        <v>164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t="s">
        <v>137</v>
      </c>
    </row>
    <row r="1490" spans="1:17" x14ac:dyDescent="0.25">
      <c r="A1490" s="7" t="s">
        <v>162</v>
      </c>
      <c r="B1490" s="7" t="s">
        <v>18</v>
      </c>
      <c r="C1490" s="7" t="s">
        <v>19</v>
      </c>
      <c r="D1490" s="7" t="s">
        <v>20</v>
      </c>
      <c r="E1490" s="7" t="s">
        <v>21</v>
      </c>
      <c r="F1490" s="7" t="s">
        <v>75</v>
      </c>
      <c r="G1490" s="7" t="s">
        <v>76</v>
      </c>
      <c r="H1490" s="7" t="s">
        <v>163</v>
      </c>
      <c r="I1490" s="7" t="s">
        <v>164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t="s">
        <v>137</v>
      </c>
    </row>
    <row r="1491" spans="1:17" x14ac:dyDescent="0.25">
      <c r="A1491" s="7" t="s">
        <v>162</v>
      </c>
      <c r="B1491" s="7" t="s">
        <v>18</v>
      </c>
      <c r="C1491" s="7" t="s">
        <v>19</v>
      </c>
      <c r="D1491" s="7" t="s">
        <v>20</v>
      </c>
      <c r="E1491" s="7" t="s">
        <v>21</v>
      </c>
      <c r="F1491" s="7" t="s">
        <v>85</v>
      </c>
      <c r="G1491" s="7" t="s">
        <v>86</v>
      </c>
      <c r="H1491" s="7" t="s">
        <v>163</v>
      </c>
      <c r="I1491" s="7" t="s">
        <v>164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t="s">
        <v>137</v>
      </c>
    </row>
    <row r="1492" spans="1:17" x14ac:dyDescent="0.25">
      <c r="A1492" s="7" t="s">
        <v>162</v>
      </c>
      <c r="B1492" s="7" t="s">
        <v>18</v>
      </c>
      <c r="C1492" s="7" t="s">
        <v>19</v>
      </c>
      <c r="D1492" s="7" t="s">
        <v>20</v>
      </c>
      <c r="E1492" s="7" t="s">
        <v>21</v>
      </c>
      <c r="F1492" s="7" t="s">
        <v>101</v>
      </c>
      <c r="G1492" s="7" t="s">
        <v>21</v>
      </c>
      <c r="H1492" s="7" t="s">
        <v>163</v>
      </c>
      <c r="I1492" s="7" t="s">
        <v>164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t="s">
        <v>137</v>
      </c>
    </row>
    <row r="1493" spans="1:17" x14ac:dyDescent="0.25">
      <c r="A1493" s="7" t="s">
        <v>162</v>
      </c>
      <c r="B1493" s="7" t="s">
        <v>18</v>
      </c>
      <c r="C1493" s="7" t="s">
        <v>19</v>
      </c>
      <c r="D1493" s="7" t="s">
        <v>20</v>
      </c>
      <c r="E1493" s="7" t="s">
        <v>21</v>
      </c>
      <c r="F1493" s="7" t="s">
        <v>104</v>
      </c>
      <c r="G1493" s="7" t="s">
        <v>105</v>
      </c>
      <c r="H1493" s="7" t="s">
        <v>163</v>
      </c>
      <c r="I1493" s="7" t="s">
        <v>164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t="s">
        <v>137</v>
      </c>
    </row>
    <row r="1494" spans="1:17" x14ac:dyDescent="0.25">
      <c r="A1494" s="7" t="s">
        <v>162</v>
      </c>
      <c r="B1494" s="7" t="s">
        <v>18</v>
      </c>
      <c r="C1494" s="7" t="s">
        <v>19</v>
      </c>
      <c r="D1494" s="7" t="s">
        <v>20</v>
      </c>
      <c r="E1494" s="7" t="s">
        <v>21</v>
      </c>
      <c r="F1494" s="7" t="s">
        <v>112</v>
      </c>
      <c r="G1494" s="7" t="s">
        <v>113</v>
      </c>
      <c r="H1494" s="7" t="s">
        <v>163</v>
      </c>
      <c r="I1494" s="7" t="s">
        <v>164</v>
      </c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t="s">
        <v>137</v>
      </c>
    </row>
    <row r="1495" spans="1:17" x14ac:dyDescent="0.25">
      <c r="A1495" s="7" t="s">
        <v>162</v>
      </c>
      <c r="B1495" s="7" t="s">
        <v>18</v>
      </c>
      <c r="C1495" s="7" t="s">
        <v>19</v>
      </c>
      <c r="D1495" s="7" t="s">
        <v>20</v>
      </c>
      <c r="E1495" s="7" t="s">
        <v>21</v>
      </c>
      <c r="F1495" s="7" t="s">
        <v>114</v>
      </c>
      <c r="G1495" s="7" t="s">
        <v>115</v>
      </c>
      <c r="H1495" s="7" t="s">
        <v>163</v>
      </c>
      <c r="I1495" s="7" t="s">
        <v>164</v>
      </c>
      <c r="J1495" s="8">
        <v>0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t="s">
        <v>137</v>
      </c>
    </row>
    <row r="1496" spans="1:17" x14ac:dyDescent="0.25">
      <c r="A1496" s="7" t="s">
        <v>162</v>
      </c>
      <c r="B1496" s="7" t="s">
        <v>18</v>
      </c>
      <c r="C1496" s="7" t="s">
        <v>19</v>
      </c>
      <c r="D1496" s="7" t="s">
        <v>20</v>
      </c>
      <c r="E1496" s="7" t="s">
        <v>21</v>
      </c>
      <c r="F1496" s="7" t="s">
        <v>116</v>
      </c>
      <c r="G1496" s="7" t="s">
        <v>117</v>
      </c>
      <c r="H1496" s="7" t="s">
        <v>163</v>
      </c>
      <c r="I1496" s="7" t="s">
        <v>164</v>
      </c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t="s">
        <v>137</v>
      </c>
    </row>
    <row r="1497" spans="1:17" x14ac:dyDescent="0.25">
      <c r="A1497" s="7" t="s">
        <v>162</v>
      </c>
      <c r="B1497" s="7" t="s">
        <v>18</v>
      </c>
      <c r="C1497" s="7" t="s">
        <v>19</v>
      </c>
      <c r="D1497" s="7" t="s">
        <v>20</v>
      </c>
      <c r="E1497" s="7" t="s">
        <v>21</v>
      </c>
      <c r="F1497" s="7" t="s">
        <v>118</v>
      </c>
      <c r="G1497" s="7" t="s">
        <v>119</v>
      </c>
      <c r="H1497" s="7" t="s">
        <v>163</v>
      </c>
      <c r="I1497" s="7" t="s">
        <v>164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t="s">
        <v>137</v>
      </c>
    </row>
    <row r="1498" spans="1:17" x14ac:dyDescent="0.25">
      <c r="A1498" s="7" t="s">
        <v>162</v>
      </c>
      <c r="B1498" s="7" t="s">
        <v>18</v>
      </c>
      <c r="C1498" s="7" t="s">
        <v>19</v>
      </c>
      <c r="D1498" s="7" t="s">
        <v>20</v>
      </c>
      <c r="E1498" s="7" t="s">
        <v>21</v>
      </c>
      <c r="F1498" s="7" t="s">
        <v>120</v>
      </c>
      <c r="G1498" s="7" t="s">
        <v>121</v>
      </c>
      <c r="H1498" s="7" t="s">
        <v>163</v>
      </c>
      <c r="I1498" s="7" t="s">
        <v>164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t="s">
        <v>137</v>
      </c>
    </row>
    <row r="1499" spans="1:17" x14ac:dyDescent="0.25">
      <c r="A1499" s="7" t="s">
        <v>162</v>
      </c>
      <c r="B1499" s="7" t="s">
        <v>18</v>
      </c>
      <c r="C1499" s="7" t="s">
        <v>19</v>
      </c>
      <c r="D1499" s="7"/>
      <c r="E1499" s="7"/>
      <c r="F1499" s="7" t="s">
        <v>27</v>
      </c>
      <c r="G1499" s="7" t="s">
        <v>28</v>
      </c>
      <c r="H1499" s="7" t="s">
        <v>163</v>
      </c>
      <c r="I1499" s="7" t="s">
        <v>164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t="s">
        <v>137</v>
      </c>
    </row>
    <row r="1500" spans="1:17" x14ac:dyDescent="0.25">
      <c r="A1500" s="7" t="s">
        <v>162</v>
      </c>
      <c r="B1500" s="7" t="s">
        <v>18</v>
      </c>
      <c r="C1500" s="7" t="s">
        <v>19</v>
      </c>
      <c r="D1500" s="7"/>
      <c r="E1500" s="7"/>
      <c r="F1500" s="7" t="s">
        <v>29</v>
      </c>
      <c r="G1500" s="7" t="s">
        <v>30</v>
      </c>
      <c r="H1500" s="7" t="s">
        <v>163</v>
      </c>
      <c r="I1500" s="7" t="s">
        <v>164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t="s">
        <v>137</v>
      </c>
    </row>
    <row r="1501" spans="1:17" x14ac:dyDescent="0.25">
      <c r="A1501" s="7" t="s">
        <v>162</v>
      </c>
      <c r="B1501" s="7" t="s">
        <v>18</v>
      </c>
      <c r="C1501" s="7" t="s">
        <v>19</v>
      </c>
      <c r="D1501" s="7"/>
      <c r="E1501" s="7"/>
      <c r="F1501" s="7" t="s">
        <v>31</v>
      </c>
      <c r="G1501" s="7" t="s">
        <v>32</v>
      </c>
      <c r="H1501" s="7" t="s">
        <v>163</v>
      </c>
      <c r="I1501" s="7" t="s">
        <v>164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t="s">
        <v>137</v>
      </c>
    </row>
    <row r="1502" spans="1:17" x14ac:dyDescent="0.25">
      <c r="A1502" s="7" t="s">
        <v>162</v>
      </c>
      <c r="B1502" s="7" t="s">
        <v>18</v>
      </c>
      <c r="C1502" s="7" t="s">
        <v>19</v>
      </c>
      <c r="D1502" s="7"/>
      <c r="E1502" s="7"/>
      <c r="F1502" s="7" t="s">
        <v>33</v>
      </c>
      <c r="G1502" s="7" t="s">
        <v>34</v>
      </c>
      <c r="H1502" s="7" t="s">
        <v>163</v>
      </c>
      <c r="I1502" s="7" t="s">
        <v>164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t="s">
        <v>137</v>
      </c>
    </row>
    <row r="1503" spans="1:17" x14ac:dyDescent="0.25">
      <c r="A1503" s="7" t="s">
        <v>162</v>
      </c>
      <c r="B1503" s="7" t="s">
        <v>18</v>
      </c>
      <c r="C1503" s="7" t="s">
        <v>19</v>
      </c>
      <c r="D1503" s="7"/>
      <c r="E1503" s="7"/>
      <c r="F1503" s="7" t="s">
        <v>37</v>
      </c>
      <c r="G1503" s="7" t="s">
        <v>38</v>
      </c>
      <c r="H1503" s="7" t="s">
        <v>163</v>
      </c>
      <c r="I1503" s="7" t="s">
        <v>164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t="s">
        <v>137</v>
      </c>
    </row>
    <row r="1504" spans="1:17" x14ac:dyDescent="0.25">
      <c r="A1504" s="7" t="s">
        <v>162</v>
      </c>
      <c r="B1504" s="7" t="s">
        <v>18</v>
      </c>
      <c r="C1504" s="7" t="s">
        <v>19</v>
      </c>
      <c r="D1504" s="7"/>
      <c r="E1504" s="7"/>
      <c r="F1504" s="7" t="s">
        <v>39</v>
      </c>
      <c r="G1504" s="7" t="s">
        <v>40</v>
      </c>
      <c r="H1504" s="7" t="s">
        <v>163</v>
      </c>
      <c r="I1504" s="7" t="s">
        <v>164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t="s">
        <v>137</v>
      </c>
    </row>
    <row r="1505" spans="1:17" x14ac:dyDescent="0.25">
      <c r="A1505" s="7" t="s">
        <v>162</v>
      </c>
      <c r="B1505" s="7" t="s">
        <v>18</v>
      </c>
      <c r="C1505" s="7" t="s">
        <v>19</v>
      </c>
      <c r="D1505" s="7"/>
      <c r="E1505" s="7"/>
      <c r="F1505" s="7" t="s">
        <v>45</v>
      </c>
      <c r="G1505" s="7" t="s">
        <v>46</v>
      </c>
      <c r="H1505" s="7" t="s">
        <v>163</v>
      </c>
      <c r="I1505" s="7" t="s">
        <v>164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t="s">
        <v>137</v>
      </c>
    </row>
    <row r="1506" spans="1:17" x14ac:dyDescent="0.25">
      <c r="A1506" s="7" t="s">
        <v>162</v>
      </c>
      <c r="B1506" s="7" t="s">
        <v>18</v>
      </c>
      <c r="C1506" s="7" t="s">
        <v>19</v>
      </c>
      <c r="D1506" s="7"/>
      <c r="E1506" s="7"/>
      <c r="F1506" s="7" t="s">
        <v>49</v>
      </c>
      <c r="G1506" s="7" t="s">
        <v>50</v>
      </c>
      <c r="H1506" s="7" t="s">
        <v>163</v>
      </c>
      <c r="I1506" s="7" t="s">
        <v>164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t="s">
        <v>137</v>
      </c>
    </row>
    <row r="1507" spans="1:17" x14ac:dyDescent="0.25">
      <c r="A1507" s="7" t="s">
        <v>162</v>
      </c>
      <c r="B1507" s="7" t="s">
        <v>18</v>
      </c>
      <c r="C1507" s="7" t="s">
        <v>19</v>
      </c>
      <c r="D1507" s="7"/>
      <c r="E1507" s="7"/>
      <c r="F1507" s="7" t="s">
        <v>51</v>
      </c>
      <c r="G1507" s="7" t="s">
        <v>52</v>
      </c>
      <c r="H1507" s="7" t="s">
        <v>163</v>
      </c>
      <c r="I1507" s="7" t="s">
        <v>164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t="s">
        <v>137</v>
      </c>
    </row>
    <row r="1508" spans="1:17" x14ac:dyDescent="0.25">
      <c r="A1508" s="7" t="s">
        <v>162</v>
      </c>
      <c r="B1508" s="7" t="s">
        <v>18</v>
      </c>
      <c r="C1508" s="7" t="s">
        <v>19</v>
      </c>
      <c r="D1508" s="7"/>
      <c r="E1508" s="7"/>
      <c r="F1508" s="7" t="s">
        <v>53</v>
      </c>
      <c r="G1508" s="7" t="s">
        <v>54</v>
      </c>
      <c r="H1508" s="7" t="s">
        <v>163</v>
      </c>
      <c r="I1508" s="7" t="s">
        <v>164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t="s">
        <v>137</v>
      </c>
    </row>
    <row r="1509" spans="1:17" x14ac:dyDescent="0.25">
      <c r="A1509" s="7" t="s">
        <v>162</v>
      </c>
      <c r="B1509" s="7" t="s">
        <v>18</v>
      </c>
      <c r="C1509" s="7" t="s">
        <v>19</v>
      </c>
      <c r="D1509" s="7"/>
      <c r="E1509" s="7"/>
      <c r="F1509" s="7" t="s">
        <v>55</v>
      </c>
      <c r="G1509" s="7" t="s">
        <v>56</v>
      </c>
      <c r="H1509" s="7" t="s">
        <v>163</v>
      </c>
      <c r="I1509" s="7" t="s">
        <v>164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t="s">
        <v>137</v>
      </c>
    </row>
    <row r="1510" spans="1:17" x14ac:dyDescent="0.25">
      <c r="A1510" s="7" t="s">
        <v>162</v>
      </c>
      <c r="B1510" s="7" t="s">
        <v>18</v>
      </c>
      <c r="C1510" s="7" t="s">
        <v>19</v>
      </c>
      <c r="D1510" s="7"/>
      <c r="E1510" s="7"/>
      <c r="F1510" s="7" t="s">
        <v>57</v>
      </c>
      <c r="G1510" s="7" t="s">
        <v>58</v>
      </c>
      <c r="H1510" s="7" t="s">
        <v>163</v>
      </c>
      <c r="I1510" s="7" t="s">
        <v>164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t="s">
        <v>137</v>
      </c>
    </row>
    <row r="1511" spans="1:17" x14ac:dyDescent="0.25">
      <c r="A1511" s="7" t="s">
        <v>162</v>
      </c>
      <c r="B1511" s="7" t="s">
        <v>18</v>
      </c>
      <c r="C1511" s="7" t="s">
        <v>19</v>
      </c>
      <c r="D1511" s="7"/>
      <c r="E1511" s="7"/>
      <c r="F1511" s="7" t="s">
        <v>63</v>
      </c>
      <c r="G1511" s="7" t="s">
        <v>64</v>
      </c>
      <c r="H1511" s="7" t="s">
        <v>163</v>
      </c>
      <c r="I1511" s="7" t="s">
        <v>164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t="s">
        <v>137</v>
      </c>
    </row>
    <row r="1512" spans="1:17" x14ac:dyDescent="0.25">
      <c r="A1512" s="7" t="s">
        <v>162</v>
      </c>
      <c r="B1512" s="7" t="s">
        <v>18</v>
      </c>
      <c r="C1512" s="7" t="s">
        <v>19</v>
      </c>
      <c r="D1512" s="7"/>
      <c r="E1512" s="7"/>
      <c r="F1512" s="7" t="s">
        <v>67</v>
      </c>
      <c r="G1512" s="7" t="s">
        <v>68</v>
      </c>
      <c r="H1512" s="7" t="s">
        <v>163</v>
      </c>
      <c r="I1512" s="7" t="s">
        <v>164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t="s">
        <v>137</v>
      </c>
    </row>
    <row r="1513" spans="1:17" x14ac:dyDescent="0.25">
      <c r="A1513" s="7" t="s">
        <v>162</v>
      </c>
      <c r="B1513" s="7" t="s">
        <v>18</v>
      </c>
      <c r="C1513" s="7" t="s">
        <v>19</v>
      </c>
      <c r="D1513" s="7"/>
      <c r="E1513" s="7"/>
      <c r="F1513" s="7" t="s">
        <v>69</v>
      </c>
      <c r="G1513" s="7" t="s">
        <v>70</v>
      </c>
      <c r="H1513" s="7" t="s">
        <v>163</v>
      </c>
      <c r="I1513" s="7" t="s">
        <v>164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t="s">
        <v>137</v>
      </c>
    </row>
    <row r="1514" spans="1:17" x14ac:dyDescent="0.25">
      <c r="A1514" s="7" t="s">
        <v>162</v>
      </c>
      <c r="B1514" s="7" t="s">
        <v>18</v>
      </c>
      <c r="C1514" s="7" t="s">
        <v>19</v>
      </c>
      <c r="D1514" s="7"/>
      <c r="E1514" s="7"/>
      <c r="F1514" s="7" t="s">
        <v>71</v>
      </c>
      <c r="G1514" s="7" t="s">
        <v>72</v>
      </c>
      <c r="H1514" s="7" t="s">
        <v>163</v>
      </c>
      <c r="I1514" s="7" t="s">
        <v>164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t="s">
        <v>137</v>
      </c>
    </row>
    <row r="1515" spans="1:17" x14ac:dyDescent="0.25">
      <c r="A1515" s="7" t="s">
        <v>162</v>
      </c>
      <c r="B1515" s="7" t="s">
        <v>18</v>
      </c>
      <c r="C1515" s="7" t="s">
        <v>19</v>
      </c>
      <c r="D1515" s="7"/>
      <c r="E1515" s="7"/>
      <c r="F1515" s="7" t="s">
        <v>77</v>
      </c>
      <c r="G1515" s="7" t="s">
        <v>78</v>
      </c>
      <c r="H1515" s="7" t="s">
        <v>163</v>
      </c>
      <c r="I1515" s="7" t="s">
        <v>164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t="s">
        <v>137</v>
      </c>
    </row>
    <row r="1516" spans="1:17" x14ac:dyDescent="0.25">
      <c r="A1516" s="7" t="s">
        <v>162</v>
      </c>
      <c r="B1516" s="7" t="s">
        <v>18</v>
      </c>
      <c r="C1516" s="7" t="s">
        <v>19</v>
      </c>
      <c r="D1516" s="7"/>
      <c r="E1516" s="7"/>
      <c r="F1516" s="7" t="s">
        <v>79</v>
      </c>
      <c r="G1516" s="7" t="s">
        <v>80</v>
      </c>
      <c r="H1516" s="7" t="s">
        <v>163</v>
      </c>
      <c r="I1516" s="7" t="s">
        <v>164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t="s">
        <v>137</v>
      </c>
    </row>
    <row r="1517" spans="1:17" x14ac:dyDescent="0.25">
      <c r="A1517" s="7" t="s">
        <v>162</v>
      </c>
      <c r="B1517" s="7" t="s">
        <v>18</v>
      </c>
      <c r="C1517" s="7" t="s">
        <v>19</v>
      </c>
      <c r="D1517" s="7"/>
      <c r="E1517" s="7"/>
      <c r="F1517" s="7" t="s">
        <v>81</v>
      </c>
      <c r="G1517" s="7" t="s">
        <v>82</v>
      </c>
      <c r="H1517" s="7" t="s">
        <v>163</v>
      </c>
      <c r="I1517" s="7" t="s">
        <v>164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t="s">
        <v>137</v>
      </c>
    </row>
    <row r="1518" spans="1:17" x14ac:dyDescent="0.25">
      <c r="A1518" s="7" t="s">
        <v>162</v>
      </c>
      <c r="B1518" s="7" t="s">
        <v>18</v>
      </c>
      <c r="C1518" s="7" t="s">
        <v>19</v>
      </c>
      <c r="D1518" s="7"/>
      <c r="E1518" s="7"/>
      <c r="F1518" s="7" t="s">
        <v>83</v>
      </c>
      <c r="G1518" s="7" t="s">
        <v>84</v>
      </c>
      <c r="H1518" s="7" t="s">
        <v>163</v>
      </c>
      <c r="I1518" s="7" t="s">
        <v>164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t="s">
        <v>137</v>
      </c>
    </row>
    <row r="1519" spans="1:17" x14ac:dyDescent="0.25">
      <c r="A1519" s="7" t="s">
        <v>162</v>
      </c>
      <c r="B1519" s="7" t="s">
        <v>18</v>
      </c>
      <c r="C1519" s="7" t="s">
        <v>19</v>
      </c>
      <c r="D1519" s="7"/>
      <c r="E1519" s="7"/>
      <c r="F1519" s="7" t="s">
        <v>87</v>
      </c>
      <c r="G1519" s="7" t="s">
        <v>88</v>
      </c>
      <c r="H1519" s="7" t="s">
        <v>163</v>
      </c>
      <c r="I1519" s="7" t="s">
        <v>164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t="s">
        <v>137</v>
      </c>
    </row>
    <row r="1520" spans="1:17" x14ac:dyDescent="0.25">
      <c r="A1520" s="7" t="s">
        <v>162</v>
      </c>
      <c r="B1520" s="7" t="s">
        <v>18</v>
      </c>
      <c r="C1520" s="7" t="s">
        <v>19</v>
      </c>
      <c r="D1520" s="7"/>
      <c r="E1520" s="7"/>
      <c r="F1520" s="7" t="s">
        <v>89</v>
      </c>
      <c r="G1520" s="7" t="s">
        <v>90</v>
      </c>
      <c r="H1520" s="7" t="s">
        <v>163</v>
      </c>
      <c r="I1520" s="7" t="s">
        <v>164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t="s">
        <v>137</v>
      </c>
    </row>
    <row r="1521" spans="1:17" x14ac:dyDescent="0.25">
      <c r="A1521" s="7" t="s">
        <v>162</v>
      </c>
      <c r="B1521" s="7" t="s">
        <v>18</v>
      </c>
      <c r="C1521" s="7" t="s">
        <v>19</v>
      </c>
      <c r="D1521" s="7"/>
      <c r="E1521" s="7"/>
      <c r="F1521" s="7" t="s">
        <v>91</v>
      </c>
      <c r="G1521" s="7" t="s">
        <v>92</v>
      </c>
      <c r="H1521" s="7" t="s">
        <v>163</v>
      </c>
      <c r="I1521" s="7" t="s">
        <v>164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t="s">
        <v>137</v>
      </c>
    </row>
    <row r="1522" spans="1:17" x14ac:dyDescent="0.25">
      <c r="A1522" s="7" t="s">
        <v>162</v>
      </c>
      <c r="B1522" s="7" t="s">
        <v>18</v>
      </c>
      <c r="C1522" s="7" t="s">
        <v>19</v>
      </c>
      <c r="D1522" s="7"/>
      <c r="E1522" s="7"/>
      <c r="F1522" s="7" t="s">
        <v>93</v>
      </c>
      <c r="G1522" s="7" t="s">
        <v>94</v>
      </c>
      <c r="H1522" s="7" t="s">
        <v>163</v>
      </c>
      <c r="I1522" s="7" t="s">
        <v>164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t="s">
        <v>137</v>
      </c>
    </row>
    <row r="1523" spans="1:17" x14ac:dyDescent="0.25">
      <c r="A1523" s="7" t="s">
        <v>162</v>
      </c>
      <c r="B1523" s="7" t="s">
        <v>18</v>
      </c>
      <c r="C1523" s="7" t="s">
        <v>19</v>
      </c>
      <c r="D1523" s="7"/>
      <c r="E1523" s="7"/>
      <c r="F1523" s="7" t="s">
        <v>95</v>
      </c>
      <c r="G1523" s="7" t="s">
        <v>96</v>
      </c>
      <c r="H1523" s="7" t="s">
        <v>163</v>
      </c>
      <c r="I1523" s="7" t="s">
        <v>164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t="s">
        <v>137</v>
      </c>
    </row>
    <row r="1524" spans="1:17" x14ac:dyDescent="0.25">
      <c r="A1524" s="7" t="s">
        <v>162</v>
      </c>
      <c r="B1524" s="7" t="s">
        <v>18</v>
      </c>
      <c r="C1524" s="7" t="s">
        <v>19</v>
      </c>
      <c r="D1524" s="7"/>
      <c r="E1524" s="7"/>
      <c r="F1524" s="7" t="s">
        <v>97</v>
      </c>
      <c r="G1524" s="7" t="s">
        <v>98</v>
      </c>
      <c r="H1524" s="7" t="s">
        <v>163</v>
      </c>
      <c r="I1524" s="7" t="s">
        <v>164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t="s">
        <v>137</v>
      </c>
    </row>
    <row r="1525" spans="1:17" x14ac:dyDescent="0.25">
      <c r="A1525" s="7" t="s">
        <v>162</v>
      </c>
      <c r="B1525" s="7" t="s">
        <v>18</v>
      </c>
      <c r="C1525" s="7" t="s">
        <v>19</v>
      </c>
      <c r="D1525" s="7"/>
      <c r="E1525" s="7"/>
      <c r="F1525" s="7" t="s">
        <v>99</v>
      </c>
      <c r="G1525" s="7" t="s">
        <v>100</v>
      </c>
      <c r="H1525" s="7" t="s">
        <v>163</v>
      </c>
      <c r="I1525" s="7" t="s">
        <v>164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t="s">
        <v>137</v>
      </c>
    </row>
    <row r="1526" spans="1:17" x14ac:dyDescent="0.25">
      <c r="A1526" s="7" t="s">
        <v>162</v>
      </c>
      <c r="B1526" s="7" t="s">
        <v>18</v>
      </c>
      <c r="C1526" s="7" t="s">
        <v>19</v>
      </c>
      <c r="D1526" s="7"/>
      <c r="E1526" s="7"/>
      <c r="F1526" s="7" t="s">
        <v>102</v>
      </c>
      <c r="G1526" s="7" t="s">
        <v>103</v>
      </c>
      <c r="H1526" s="7" t="s">
        <v>163</v>
      </c>
      <c r="I1526" s="7" t="s">
        <v>164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t="s">
        <v>137</v>
      </c>
    </row>
    <row r="1527" spans="1:17" x14ac:dyDescent="0.25">
      <c r="A1527" s="7" t="s">
        <v>162</v>
      </c>
      <c r="B1527" s="7" t="s">
        <v>18</v>
      </c>
      <c r="C1527" s="7" t="s">
        <v>19</v>
      </c>
      <c r="D1527" s="7"/>
      <c r="E1527" s="7"/>
      <c r="F1527" s="7" t="s">
        <v>106</v>
      </c>
      <c r="G1527" s="7" t="s">
        <v>107</v>
      </c>
      <c r="H1527" s="7" t="s">
        <v>163</v>
      </c>
      <c r="I1527" s="7" t="s">
        <v>164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t="s">
        <v>137</v>
      </c>
    </row>
    <row r="1528" spans="1:17" x14ac:dyDescent="0.25">
      <c r="A1528" s="7" t="s">
        <v>162</v>
      </c>
      <c r="B1528" s="7" t="s">
        <v>18</v>
      </c>
      <c r="C1528" s="7" t="s">
        <v>19</v>
      </c>
      <c r="D1528" s="7"/>
      <c r="E1528" s="7"/>
      <c r="F1528" s="7" t="s">
        <v>108</v>
      </c>
      <c r="G1528" s="7" t="s">
        <v>109</v>
      </c>
      <c r="H1528" s="7" t="s">
        <v>163</v>
      </c>
      <c r="I1528" s="7" t="s">
        <v>164</v>
      </c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t="s">
        <v>137</v>
      </c>
    </row>
    <row r="1529" spans="1:17" x14ac:dyDescent="0.25">
      <c r="A1529" s="7" t="s">
        <v>162</v>
      </c>
      <c r="B1529" s="7" t="s">
        <v>18</v>
      </c>
      <c r="C1529" s="7" t="s">
        <v>19</v>
      </c>
      <c r="D1529" s="7"/>
      <c r="E1529" s="7"/>
      <c r="F1529" s="7" t="s">
        <v>110</v>
      </c>
      <c r="G1529" s="7" t="s">
        <v>111</v>
      </c>
      <c r="H1529" s="7" t="s">
        <v>163</v>
      </c>
      <c r="I1529" s="7" t="s">
        <v>164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t="s">
        <v>137</v>
      </c>
    </row>
    <row r="1530" spans="1:17" x14ac:dyDescent="0.25">
      <c r="A1530" s="7" t="s">
        <v>162</v>
      </c>
      <c r="B1530" s="7" t="s">
        <v>18</v>
      </c>
      <c r="C1530" s="7" t="s">
        <v>19</v>
      </c>
      <c r="D1530" s="7"/>
      <c r="E1530" s="7"/>
      <c r="F1530" s="7" t="s">
        <v>122</v>
      </c>
      <c r="G1530" s="7" t="s">
        <v>123</v>
      </c>
      <c r="H1530" s="7" t="s">
        <v>163</v>
      </c>
      <c r="I1530" s="7" t="s">
        <v>164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t="s">
        <v>137</v>
      </c>
    </row>
    <row r="1531" spans="1:17" x14ac:dyDescent="0.25">
      <c r="A1531" s="7" t="s">
        <v>162</v>
      </c>
      <c r="B1531" s="7" t="s">
        <v>18</v>
      </c>
      <c r="C1531" s="7" t="s">
        <v>19</v>
      </c>
      <c r="D1531" s="7"/>
      <c r="E1531" s="7"/>
      <c r="F1531" s="7" t="s">
        <v>124</v>
      </c>
      <c r="G1531" s="7" t="s">
        <v>125</v>
      </c>
      <c r="H1531" s="7" t="s">
        <v>163</v>
      </c>
      <c r="I1531" s="7" t="s">
        <v>164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t="s">
        <v>137</v>
      </c>
    </row>
    <row r="1532" spans="1:17" x14ac:dyDescent="0.25">
      <c r="A1532" s="7" t="s">
        <v>162</v>
      </c>
      <c r="B1532" s="7" t="s">
        <v>18</v>
      </c>
      <c r="C1532" s="7" t="s">
        <v>19</v>
      </c>
      <c r="D1532" s="7" t="s">
        <v>20</v>
      </c>
      <c r="E1532" s="7" t="s">
        <v>21</v>
      </c>
      <c r="F1532" s="7" t="s">
        <v>22</v>
      </c>
      <c r="G1532" s="7" t="s">
        <v>23</v>
      </c>
      <c r="H1532" s="7" t="s">
        <v>163</v>
      </c>
      <c r="I1532" s="7" t="s">
        <v>165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t="s">
        <v>137</v>
      </c>
    </row>
    <row r="1533" spans="1:17" x14ac:dyDescent="0.25">
      <c r="A1533" s="7" t="s">
        <v>162</v>
      </c>
      <c r="B1533" s="7" t="s">
        <v>18</v>
      </c>
      <c r="C1533" s="7" t="s">
        <v>19</v>
      </c>
      <c r="D1533" s="7"/>
      <c r="E1533" s="7"/>
      <c r="F1533" s="7" t="s">
        <v>27</v>
      </c>
      <c r="G1533" s="7" t="s">
        <v>28</v>
      </c>
      <c r="H1533" s="7" t="s">
        <v>163</v>
      </c>
      <c r="I1533" s="7" t="s">
        <v>165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t="s">
        <v>137</v>
      </c>
    </row>
    <row r="1534" spans="1:17" x14ac:dyDescent="0.25">
      <c r="A1534" s="7" t="s">
        <v>162</v>
      </c>
      <c r="B1534" s="7" t="s">
        <v>18</v>
      </c>
      <c r="C1534" s="7" t="s">
        <v>19</v>
      </c>
      <c r="D1534" s="7"/>
      <c r="E1534" s="7"/>
      <c r="F1534" s="7" t="s">
        <v>29</v>
      </c>
      <c r="G1534" s="7" t="s">
        <v>30</v>
      </c>
      <c r="H1534" s="7" t="s">
        <v>163</v>
      </c>
      <c r="I1534" s="7" t="s">
        <v>165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t="s">
        <v>137</v>
      </c>
    </row>
    <row r="1535" spans="1:17" x14ac:dyDescent="0.25">
      <c r="A1535" s="7" t="s">
        <v>162</v>
      </c>
      <c r="B1535" s="7" t="s">
        <v>18</v>
      </c>
      <c r="C1535" s="7" t="s">
        <v>19</v>
      </c>
      <c r="D1535" s="7"/>
      <c r="E1535" s="7"/>
      <c r="F1535" s="7" t="s">
        <v>31</v>
      </c>
      <c r="G1535" s="7" t="s">
        <v>32</v>
      </c>
      <c r="H1535" s="7" t="s">
        <v>163</v>
      </c>
      <c r="I1535" s="7" t="s">
        <v>165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t="s">
        <v>137</v>
      </c>
    </row>
    <row r="1536" spans="1:17" x14ac:dyDescent="0.25">
      <c r="A1536" s="7" t="s">
        <v>162</v>
      </c>
      <c r="B1536" s="7" t="s">
        <v>18</v>
      </c>
      <c r="C1536" s="7" t="s">
        <v>19</v>
      </c>
      <c r="D1536" s="7"/>
      <c r="E1536" s="7"/>
      <c r="F1536" s="7" t="s">
        <v>33</v>
      </c>
      <c r="G1536" s="7" t="s">
        <v>34</v>
      </c>
      <c r="H1536" s="7" t="s">
        <v>163</v>
      </c>
      <c r="I1536" s="7" t="s">
        <v>165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t="s">
        <v>137</v>
      </c>
    </row>
    <row r="1537" spans="1:17" x14ac:dyDescent="0.25">
      <c r="A1537" s="7" t="s">
        <v>162</v>
      </c>
      <c r="B1537" s="7" t="s">
        <v>18</v>
      </c>
      <c r="C1537" s="7" t="s">
        <v>19</v>
      </c>
      <c r="D1537" s="7" t="s">
        <v>20</v>
      </c>
      <c r="E1537" s="7" t="s">
        <v>21</v>
      </c>
      <c r="F1537" s="7" t="s">
        <v>35</v>
      </c>
      <c r="G1537" s="7" t="s">
        <v>36</v>
      </c>
      <c r="H1537" s="7" t="s">
        <v>163</v>
      </c>
      <c r="I1537" s="7" t="s">
        <v>165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t="s">
        <v>137</v>
      </c>
    </row>
    <row r="1538" spans="1:17" x14ac:dyDescent="0.25">
      <c r="A1538" s="7" t="s">
        <v>162</v>
      </c>
      <c r="B1538" s="7" t="s">
        <v>18</v>
      </c>
      <c r="C1538" s="7" t="s">
        <v>19</v>
      </c>
      <c r="D1538" s="7"/>
      <c r="E1538" s="7"/>
      <c r="F1538" s="7" t="s">
        <v>37</v>
      </c>
      <c r="G1538" s="7" t="s">
        <v>38</v>
      </c>
      <c r="H1538" s="7" t="s">
        <v>163</v>
      </c>
      <c r="I1538" s="7" t="s">
        <v>165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t="s">
        <v>137</v>
      </c>
    </row>
    <row r="1539" spans="1:17" x14ac:dyDescent="0.25">
      <c r="A1539" s="7" t="s">
        <v>162</v>
      </c>
      <c r="B1539" s="7" t="s">
        <v>18</v>
      </c>
      <c r="C1539" s="7" t="s">
        <v>19</v>
      </c>
      <c r="D1539" s="7"/>
      <c r="E1539" s="7"/>
      <c r="F1539" s="7" t="s">
        <v>39</v>
      </c>
      <c r="G1539" s="7" t="s">
        <v>40</v>
      </c>
      <c r="H1539" s="7" t="s">
        <v>163</v>
      </c>
      <c r="I1539" s="7" t="s">
        <v>165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t="s">
        <v>137</v>
      </c>
    </row>
    <row r="1540" spans="1:17" x14ac:dyDescent="0.25">
      <c r="A1540" s="7" t="s">
        <v>162</v>
      </c>
      <c r="B1540" s="7" t="s">
        <v>18</v>
      </c>
      <c r="C1540" s="7" t="s">
        <v>19</v>
      </c>
      <c r="D1540" s="7" t="s">
        <v>20</v>
      </c>
      <c r="E1540" s="7" t="s">
        <v>21</v>
      </c>
      <c r="F1540" s="7" t="s">
        <v>41</v>
      </c>
      <c r="G1540" s="7" t="s">
        <v>42</v>
      </c>
      <c r="H1540" s="7" t="s">
        <v>163</v>
      </c>
      <c r="I1540" s="7" t="s">
        <v>165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t="s">
        <v>137</v>
      </c>
    </row>
    <row r="1541" spans="1:17" x14ac:dyDescent="0.25">
      <c r="A1541" s="7" t="s">
        <v>162</v>
      </c>
      <c r="B1541" s="7" t="s">
        <v>18</v>
      </c>
      <c r="C1541" s="7" t="s">
        <v>19</v>
      </c>
      <c r="D1541" s="7" t="s">
        <v>20</v>
      </c>
      <c r="E1541" s="7" t="s">
        <v>21</v>
      </c>
      <c r="F1541" s="7" t="s">
        <v>43</v>
      </c>
      <c r="G1541" s="7" t="s">
        <v>44</v>
      </c>
      <c r="H1541" s="7" t="s">
        <v>163</v>
      </c>
      <c r="I1541" s="7" t="s">
        <v>165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t="s">
        <v>137</v>
      </c>
    </row>
    <row r="1542" spans="1:17" x14ac:dyDescent="0.25">
      <c r="A1542" s="7" t="s">
        <v>162</v>
      </c>
      <c r="B1542" s="7" t="s">
        <v>18</v>
      </c>
      <c r="C1542" s="7" t="s">
        <v>19</v>
      </c>
      <c r="D1542" s="7"/>
      <c r="E1542" s="7"/>
      <c r="F1542" s="7" t="s">
        <v>45</v>
      </c>
      <c r="G1542" s="7" t="s">
        <v>46</v>
      </c>
      <c r="H1542" s="7" t="s">
        <v>163</v>
      </c>
      <c r="I1542" s="7" t="s">
        <v>165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t="s">
        <v>137</v>
      </c>
    </row>
    <row r="1543" spans="1:17" x14ac:dyDescent="0.25">
      <c r="A1543" s="7" t="s">
        <v>162</v>
      </c>
      <c r="B1543" s="7" t="s">
        <v>18</v>
      </c>
      <c r="C1543" s="7" t="s">
        <v>19</v>
      </c>
      <c r="D1543" s="7" t="s">
        <v>20</v>
      </c>
      <c r="E1543" s="7" t="s">
        <v>21</v>
      </c>
      <c r="F1543" s="7" t="s">
        <v>47</v>
      </c>
      <c r="G1543" s="7" t="s">
        <v>48</v>
      </c>
      <c r="H1543" s="7" t="s">
        <v>163</v>
      </c>
      <c r="I1543" s="7" t="s">
        <v>165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t="s">
        <v>137</v>
      </c>
    </row>
    <row r="1544" spans="1:17" x14ac:dyDescent="0.25">
      <c r="A1544" s="7" t="s">
        <v>162</v>
      </c>
      <c r="B1544" s="7" t="s">
        <v>18</v>
      </c>
      <c r="C1544" s="7" t="s">
        <v>19</v>
      </c>
      <c r="D1544" s="7"/>
      <c r="E1544" s="7"/>
      <c r="F1544" s="7" t="s">
        <v>49</v>
      </c>
      <c r="G1544" s="7" t="s">
        <v>50</v>
      </c>
      <c r="H1544" s="7" t="s">
        <v>163</v>
      </c>
      <c r="I1544" s="7" t="s">
        <v>165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t="s">
        <v>137</v>
      </c>
    </row>
    <row r="1545" spans="1:17" x14ac:dyDescent="0.25">
      <c r="A1545" s="7" t="s">
        <v>162</v>
      </c>
      <c r="B1545" s="7" t="s">
        <v>18</v>
      </c>
      <c r="C1545" s="7" t="s">
        <v>19</v>
      </c>
      <c r="D1545" s="7"/>
      <c r="E1545" s="7"/>
      <c r="F1545" s="7" t="s">
        <v>51</v>
      </c>
      <c r="G1545" s="7" t="s">
        <v>52</v>
      </c>
      <c r="H1545" s="7" t="s">
        <v>163</v>
      </c>
      <c r="I1545" s="7" t="s">
        <v>165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t="s">
        <v>137</v>
      </c>
    </row>
    <row r="1546" spans="1:17" x14ac:dyDescent="0.25">
      <c r="A1546" s="7" t="s">
        <v>162</v>
      </c>
      <c r="B1546" s="7" t="s">
        <v>18</v>
      </c>
      <c r="C1546" s="7" t="s">
        <v>19</v>
      </c>
      <c r="D1546" s="7"/>
      <c r="E1546" s="7"/>
      <c r="F1546" s="7" t="s">
        <v>53</v>
      </c>
      <c r="G1546" s="7" t="s">
        <v>54</v>
      </c>
      <c r="H1546" s="7" t="s">
        <v>163</v>
      </c>
      <c r="I1546" s="7" t="s">
        <v>165</v>
      </c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t="s">
        <v>137</v>
      </c>
    </row>
    <row r="1547" spans="1:17" x14ac:dyDescent="0.25">
      <c r="A1547" s="7" t="s">
        <v>162</v>
      </c>
      <c r="B1547" s="7" t="s">
        <v>18</v>
      </c>
      <c r="C1547" s="7" t="s">
        <v>19</v>
      </c>
      <c r="D1547" s="7"/>
      <c r="E1547" s="7"/>
      <c r="F1547" s="7" t="s">
        <v>55</v>
      </c>
      <c r="G1547" s="7" t="s">
        <v>56</v>
      </c>
      <c r="H1547" s="7" t="s">
        <v>163</v>
      </c>
      <c r="I1547" s="7" t="s">
        <v>165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t="s">
        <v>137</v>
      </c>
    </row>
    <row r="1548" spans="1:17" x14ac:dyDescent="0.25">
      <c r="A1548" s="7" t="s">
        <v>162</v>
      </c>
      <c r="B1548" s="7" t="s">
        <v>18</v>
      </c>
      <c r="C1548" s="7" t="s">
        <v>19</v>
      </c>
      <c r="D1548" s="7"/>
      <c r="E1548" s="7"/>
      <c r="F1548" s="7" t="s">
        <v>57</v>
      </c>
      <c r="G1548" s="7" t="s">
        <v>58</v>
      </c>
      <c r="H1548" s="7" t="s">
        <v>163</v>
      </c>
      <c r="I1548" s="7" t="s">
        <v>165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t="s">
        <v>137</v>
      </c>
    </row>
    <row r="1549" spans="1:17" x14ac:dyDescent="0.25">
      <c r="A1549" s="7" t="s">
        <v>162</v>
      </c>
      <c r="B1549" s="7" t="s">
        <v>18</v>
      </c>
      <c r="C1549" s="7" t="s">
        <v>19</v>
      </c>
      <c r="D1549" s="7" t="s">
        <v>20</v>
      </c>
      <c r="E1549" s="7" t="s">
        <v>21</v>
      </c>
      <c r="F1549" s="7" t="s">
        <v>59</v>
      </c>
      <c r="G1549" s="7" t="s">
        <v>60</v>
      </c>
      <c r="H1549" s="7" t="s">
        <v>163</v>
      </c>
      <c r="I1549" s="7" t="s">
        <v>165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t="s">
        <v>137</v>
      </c>
    </row>
    <row r="1550" spans="1:17" x14ac:dyDescent="0.25">
      <c r="A1550" s="7" t="s">
        <v>162</v>
      </c>
      <c r="B1550" s="7" t="s">
        <v>18</v>
      </c>
      <c r="C1550" s="7" t="s">
        <v>19</v>
      </c>
      <c r="D1550" s="7" t="s">
        <v>20</v>
      </c>
      <c r="E1550" s="7" t="s">
        <v>21</v>
      </c>
      <c r="F1550" s="7" t="s">
        <v>61</v>
      </c>
      <c r="G1550" s="7" t="s">
        <v>62</v>
      </c>
      <c r="H1550" s="7" t="s">
        <v>163</v>
      </c>
      <c r="I1550" s="7" t="s">
        <v>165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t="s">
        <v>137</v>
      </c>
    </row>
    <row r="1551" spans="1:17" x14ac:dyDescent="0.25">
      <c r="A1551" s="7" t="s">
        <v>162</v>
      </c>
      <c r="B1551" s="7" t="s">
        <v>18</v>
      </c>
      <c r="C1551" s="7" t="s">
        <v>19</v>
      </c>
      <c r="D1551" s="7"/>
      <c r="E1551" s="7"/>
      <c r="F1551" s="7" t="s">
        <v>63</v>
      </c>
      <c r="G1551" s="7" t="s">
        <v>64</v>
      </c>
      <c r="H1551" s="7" t="s">
        <v>163</v>
      </c>
      <c r="I1551" s="7" t="s">
        <v>165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t="s">
        <v>137</v>
      </c>
    </row>
    <row r="1552" spans="1:17" x14ac:dyDescent="0.25">
      <c r="A1552" s="7" t="s">
        <v>162</v>
      </c>
      <c r="B1552" s="7" t="s">
        <v>18</v>
      </c>
      <c r="C1552" s="7" t="s">
        <v>19</v>
      </c>
      <c r="D1552" s="7" t="s">
        <v>20</v>
      </c>
      <c r="E1552" s="7" t="s">
        <v>21</v>
      </c>
      <c r="F1552" s="7" t="s">
        <v>65</v>
      </c>
      <c r="G1552" s="7" t="s">
        <v>66</v>
      </c>
      <c r="H1552" s="7" t="s">
        <v>163</v>
      </c>
      <c r="I1552" s="7" t="s">
        <v>165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t="s">
        <v>137</v>
      </c>
    </row>
    <row r="1553" spans="1:17" x14ac:dyDescent="0.25">
      <c r="A1553" s="7" t="s">
        <v>162</v>
      </c>
      <c r="B1553" s="7" t="s">
        <v>18</v>
      </c>
      <c r="C1553" s="7" t="s">
        <v>19</v>
      </c>
      <c r="D1553" s="7"/>
      <c r="E1553" s="7"/>
      <c r="F1553" s="7" t="s">
        <v>67</v>
      </c>
      <c r="G1553" s="7" t="s">
        <v>68</v>
      </c>
      <c r="H1553" s="7" t="s">
        <v>163</v>
      </c>
      <c r="I1553" s="7" t="s">
        <v>165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t="s">
        <v>137</v>
      </c>
    </row>
    <row r="1554" spans="1:17" x14ac:dyDescent="0.25">
      <c r="A1554" s="7" t="s">
        <v>162</v>
      </c>
      <c r="B1554" s="7" t="s">
        <v>18</v>
      </c>
      <c r="C1554" s="7" t="s">
        <v>19</v>
      </c>
      <c r="D1554" s="7"/>
      <c r="E1554" s="7"/>
      <c r="F1554" s="7" t="s">
        <v>69</v>
      </c>
      <c r="G1554" s="7" t="s">
        <v>70</v>
      </c>
      <c r="H1554" s="7" t="s">
        <v>163</v>
      </c>
      <c r="I1554" s="7" t="s">
        <v>165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t="s">
        <v>137</v>
      </c>
    </row>
    <row r="1555" spans="1:17" x14ac:dyDescent="0.25">
      <c r="A1555" s="7" t="s">
        <v>162</v>
      </c>
      <c r="B1555" s="7" t="s">
        <v>18</v>
      </c>
      <c r="C1555" s="7" t="s">
        <v>19</v>
      </c>
      <c r="D1555" s="7"/>
      <c r="E1555" s="7"/>
      <c r="F1555" s="7" t="s">
        <v>71</v>
      </c>
      <c r="G1555" s="7" t="s">
        <v>72</v>
      </c>
      <c r="H1555" s="7" t="s">
        <v>163</v>
      </c>
      <c r="I1555" s="7" t="s">
        <v>165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t="s">
        <v>137</v>
      </c>
    </row>
    <row r="1556" spans="1:17" x14ac:dyDescent="0.25">
      <c r="A1556" s="7" t="s">
        <v>162</v>
      </c>
      <c r="B1556" s="7" t="s">
        <v>18</v>
      </c>
      <c r="C1556" s="7" t="s">
        <v>19</v>
      </c>
      <c r="D1556" s="7" t="s">
        <v>20</v>
      </c>
      <c r="E1556" s="7" t="s">
        <v>21</v>
      </c>
      <c r="F1556" s="7" t="s">
        <v>73</v>
      </c>
      <c r="G1556" s="7" t="s">
        <v>74</v>
      </c>
      <c r="H1556" s="7" t="s">
        <v>163</v>
      </c>
      <c r="I1556" s="7" t="s">
        <v>165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t="s">
        <v>137</v>
      </c>
    </row>
    <row r="1557" spans="1:17" x14ac:dyDescent="0.25">
      <c r="A1557" s="7" t="s">
        <v>162</v>
      </c>
      <c r="B1557" s="7" t="s">
        <v>18</v>
      </c>
      <c r="C1557" s="7" t="s">
        <v>19</v>
      </c>
      <c r="D1557" s="7" t="s">
        <v>20</v>
      </c>
      <c r="E1557" s="7" t="s">
        <v>21</v>
      </c>
      <c r="F1557" s="7" t="s">
        <v>75</v>
      </c>
      <c r="G1557" s="7" t="s">
        <v>76</v>
      </c>
      <c r="H1557" s="7" t="s">
        <v>163</v>
      </c>
      <c r="I1557" s="7" t="s">
        <v>165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t="s">
        <v>137</v>
      </c>
    </row>
    <row r="1558" spans="1:17" x14ac:dyDescent="0.25">
      <c r="A1558" s="7" t="s">
        <v>162</v>
      </c>
      <c r="B1558" s="7" t="s">
        <v>18</v>
      </c>
      <c r="C1558" s="7" t="s">
        <v>19</v>
      </c>
      <c r="D1558" s="7"/>
      <c r="E1558" s="7"/>
      <c r="F1558" s="7" t="s">
        <v>77</v>
      </c>
      <c r="G1558" s="7" t="s">
        <v>78</v>
      </c>
      <c r="H1558" s="7" t="s">
        <v>163</v>
      </c>
      <c r="I1558" s="7" t="s">
        <v>165</v>
      </c>
      <c r="J1558" s="8">
        <v>0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t="s">
        <v>137</v>
      </c>
    </row>
    <row r="1559" spans="1:17" x14ac:dyDescent="0.25">
      <c r="A1559" s="7" t="s">
        <v>162</v>
      </c>
      <c r="B1559" s="7" t="s">
        <v>18</v>
      </c>
      <c r="C1559" s="7" t="s">
        <v>19</v>
      </c>
      <c r="D1559" s="7"/>
      <c r="E1559" s="7"/>
      <c r="F1559" s="7" t="s">
        <v>79</v>
      </c>
      <c r="G1559" s="7" t="s">
        <v>80</v>
      </c>
      <c r="H1559" s="7" t="s">
        <v>163</v>
      </c>
      <c r="I1559" s="7" t="s">
        <v>165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t="s">
        <v>137</v>
      </c>
    </row>
    <row r="1560" spans="1:17" x14ac:dyDescent="0.25">
      <c r="A1560" s="7" t="s">
        <v>162</v>
      </c>
      <c r="B1560" s="7" t="s">
        <v>18</v>
      </c>
      <c r="C1560" s="7" t="s">
        <v>19</v>
      </c>
      <c r="D1560" s="7"/>
      <c r="E1560" s="7"/>
      <c r="F1560" s="7" t="s">
        <v>81</v>
      </c>
      <c r="G1560" s="7" t="s">
        <v>82</v>
      </c>
      <c r="H1560" s="7" t="s">
        <v>163</v>
      </c>
      <c r="I1560" s="7" t="s">
        <v>165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t="s">
        <v>137</v>
      </c>
    </row>
    <row r="1561" spans="1:17" x14ac:dyDescent="0.25">
      <c r="A1561" s="7" t="s">
        <v>162</v>
      </c>
      <c r="B1561" s="7" t="s">
        <v>18</v>
      </c>
      <c r="C1561" s="7" t="s">
        <v>19</v>
      </c>
      <c r="D1561" s="7"/>
      <c r="E1561" s="7"/>
      <c r="F1561" s="7" t="s">
        <v>83</v>
      </c>
      <c r="G1561" s="7" t="s">
        <v>84</v>
      </c>
      <c r="H1561" s="7" t="s">
        <v>163</v>
      </c>
      <c r="I1561" s="7" t="s">
        <v>165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t="s">
        <v>137</v>
      </c>
    </row>
    <row r="1562" spans="1:17" x14ac:dyDescent="0.25">
      <c r="A1562" s="7" t="s">
        <v>162</v>
      </c>
      <c r="B1562" s="7" t="s">
        <v>18</v>
      </c>
      <c r="C1562" s="7" t="s">
        <v>19</v>
      </c>
      <c r="D1562" s="7" t="s">
        <v>20</v>
      </c>
      <c r="E1562" s="7" t="s">
        <v>21</v>
      </c>
      <c r="F1562" s="7" t="s">
        <v>85</v>
      </c>
      <c r="G1562" s="7" t="s">
        <v>86</v>
      </c>
      <c r="H1562" s="7" t="s">
        <v>163</v>
      </c>
      <c r="I1562" s="7" t="s">
        <v>165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t="s">
        <v>137</v>
      </c>
    </row>
    <row r="1563" spans="1:17" x14ac:dyDescent="0.25">
      <c r="A1563" s="7" t="s">
        <v>162</v>
      </c>
      <c r="B1563" s="7" t="s">
        <v>18</v>
      </c>
      <c r="C1563" s="7" t="s">
        <v>19</v>
      </c>
      <c r="D1563" s="7"/>
      <c r="E1563" s="7"/>
      <c r="F1563" s="7" t="s">
        <v>87</v>
      </c>
      <c r="G1563" s="7" t="s">
        <v>88</v>
      </c>
      <c r="H1563" s="7" t="s">
        <v>163</v>
      </c>
      <c r="I1563" s="7" t="s">
        <v>165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t="s">
        <v>137</v>
      </c>
    </row>
    <row r="1564" spans="1:17" x14ac:dyDescent="0.25">
      <c r="A1564" s="7" t="s">
        <v>162</v>
      </c>
      <c r="B1564" s="7" t="s">
        <v>18</v>
      </c>
      <c r="C1564" s="7" t="s">
        <v>19</v>
      </c>
      <c r="D1564" s="7"/>
      <c r="E1564" s="7"/>
      <c r="F1564" s="7" t="s">
        <v>89</v>
      </c>
      <c r="G1564" s="7" t="s">
        <v>90</v>
      </c>
      <c r="H1564" s="7" t="s">
        <v>163</v>
      </c>
      <c r="I1564" s="7" t="s">
        <v>165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t="s">
        <v>137</v>
      </c>
    </row>
    <row r="1565" spans="1:17" x14ac:dyDescent="0.25">
      <c r="A1565" s="7" t="s">
        <v>162</v>
      </c>
      <c r="B1565" s="7" t="s">
        <v>18</v>
      </c>
      <c r="C1565" s="7" t="s">
        <v>19</v>
      </c>
      <c r="D1565" s="7"/>
      <c r="E1565" s="7"/>
      <c r="F1565" s="7" t="s">
        <v>91</v>
      </c>
      <c r="G1565" s="7" t="s">
        <v>92</v>
      </c>
      <c r="H1565" s="7" t="s">
        <v>163</v>
      </c>
      <c r="I1565" s="7" t="s">
        <v>165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t="s">
        <v>137</v>
      </c>
    </row>
    <row r="1566" spans="1:17" x14ac:dyDescent="0.25">
      <c r="A1566" s="7" t="s">
        <v>162</v>
      </c>
      <c r="B1566" s="7" t="s">
        <v>18</v>
      </c>
      <c r="C1566" s="7" t="s">
        <v>19</v>
      </c>
      <c r="D1566" s="7"/>
      <c r="E1566" s="7"/>
      <c r="F1566" s="7" t="s">
        <v>93</v>
      </c>
      <c r="G1566" s="7" t="s">
        <v>94</v>
      </c>
      <c r="H1566" s="7" t="s">
        <v>163</v>
      </c>
      <c r="I1566" s="7" t="s">
        <v>165</v>
      </c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t="s">
        <v>137</v>
      </c>
    </row>
    <row r="1567" spans="1:17" x14ac:dyDescent="0.25">
      <c r="A1567" s="7" t="s">
        <v>162</v>
      </c>
      <c r="B1567" s="7" t="s">
        <v>18</v>
      </c>
      <c r="C1567" s="7" t="s">
        <v>19</v>
      </c>
      <c r="D1567" s="7"/>
      <c r="E1567" s="7"/>
      <c r="F1567" s="7" t="s">
        <v>95</v>
      </c>
      <c r="G1567" s="7" t="s">
        <v>96</v>
      </c>
      <c r="H1567" s="7" t="s">
        <v>163</v>
      </c>
      <c r="I1567" s="7" t="s">
        <v>165</v>
      </c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t="s">
        <v>137</v>
      </c>
    </row>
    <row r="1568" spans="1:17" x14ac:dyDescent="0.25">
      <c r="A1568" s="7" t="s">
        <v>162</v>
      </c>
      <c r="B1568" s="7" t="s">
        <v>18</v>
      </c>
      <c r="C1568" s="7" t="s">
        <v>19</v>
      </c>
      <c r="D1568" s="7"/>
      <c r="E1568" s="7"/>
      <c r="F1568" s="7" t="s">
        <v>97</v>
      </c>
      <c r="G1568" s="7" t="s">
        <v>98</v>
      </c>
      <c r="H1568" s="7" t="s">
        <v>163</v>
      </c>
      <c r="I1568" s="7" t="s">
        <v>165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t="s">
        <v>137</v>
      </c>
    </row>
    <row r="1569" spans="1:17" x14ac:dyDescent="0.25">
      <c r="A1569" s="7" t="s">
        <v>162</v>
      </c>
      <c r="B1569" s="7" t="s">
        <v>18</v>
      </c>
      <c r="C1569" s="7" t="s">
        <v>19</v>
      </c>
      <c r="D1569" s="7"/>
      <c r="E1569" s="7"/>
      <c r="F1569" s="7" t="s">
        <v>99</v>
      </c>
      <c r="G1569" s="7" t="s">
        <v>100</v>
      </c>
      <c r="H1569" s="7" t="s">
        <v>163</v>
      </c>
      <c r="I1569" s="7" t="s">
        <v>165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t="s">
        <v>137</v>
      </c>
    </row>
    <row r="1570" spans="1:17" x14ac:dyDescent="0.25">
      <c r="A1570" s="7" t="s">
        <v>162</v>
      </c>
      <c r="B1570" s="7" t="s">
        <v>18</v>
      </c>
      <c r="C1570" s="7" t="s">
        <v>19</v>
      </c>
      <c r="D1570" s="7" t="s">
        <v>20</v>
      </c>
      <c r="E1570" s="7" t="s">
        <v>21</v>
      </c>
      <c r="F1570" s="7" t="s">
        <v>101</v>
      </c>
      <c r="G1570" s="7" t="s">
        <v>21</v>
      </c>
      <c r="H1570" s="7" t="s">
        <v>163</v>
      </c>
      <c r="I1570" s="7" t="s">
        <v>165</v>
      </c>
      <c r="J1570" s="8">
        <v>28.670999999999999</v>
      </c>
      <c r="K1570" s="8">
        <v>28.577999999999999</v>
      </c>
      <c r="L1570" s="8">
        <v>126.084</v>
      </c>
      <c r="M1570" s="8">
        <v>2529.4369999999999</v>
      </c>
      <c r="N1570" s="8">
        <v>1019.591</v>
      </c>
      <c r="O1570" s="8">
        <v>1135.8119999999999</v>
      </c>
      <c r="P1570" s="8">
        <v>0</v>
      </c>
      <c r="Q1570" t="s">
        <v>137</v>
      </c>
    </row>
    <row r="1571" spans="1:17" x14ac:dyDescent="0.25">
      <c r="A1571" s="7" t="s">
        <v>162</v>
      </c>
      <c r="B1571" s="7" t="s">
        <v>18</v>
      </c>
      <c r="C1571" s="7" t="s">
        <v>19</v>
      </c>
      <c r="D1571" s="7"/>
      <c r="E1571" s="7"/>
      <c r="F1571" s="7" t="s">
        <v>102</v>
      </c>
      <c r="G1571" s="7" t="s">
        <v>103</v>
      </c>
      <c r="H1571" s="7" t="s">
        <v>163</v>
      </c>
      <c r="I1571" s="7" t="s">
        <v>165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t="s">
        <v>137</v>
      </c>
    </row>
    <row r="1572" spans="1:17" x14ac:dyDescent="0.25">
      <c r="A1572" s="7" t="s">
        <v>162</v>
      </c>
      <c r="B1572" s="7" t="s">
        <v>18</v>
      </c>
      <c r="C1572" s="7" t="s">
        <v>19</v>
      </c>
      <c r="D1572" s="7" t="s">
        <v>20</v>
      </c>
      <c r="E1572" s="7" t="s">
        <v>21</v>
      </c>
      <c r="F1572" s="7" t="s">
        <v>104</v>
      </c>
      <c r="G1572" s="7" t="s">
        <v>105</v>
      </c>
      <c r="H1572" s="7" t="s">
        <v>163</v>
      </c>
      <c r="I1572" s="7" t="s">
        <v>165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t="s">
        <v>137</v>
      </c>
    </row>
    <row r="1573" spans="1:17" x14ac:dyDescent="0.25">
      <c r="A1573" s="7" t="s">
        <v>162</v>
      </c>
      <c r="B1573" s="7" t="s">
        <v>18</v>
      </c>
      <c r="C1573" s="7" t="s">
        <v>19</v>
      </c>
      <c r="D1573" s="7"/>
      <c r="E1573" s="7"/>
      <c r="F1573" s="7" t="s">
        <v>106</v>
      </c>
      <c r="G1573" s="7" t="s">
        <v>107</v>
      </c>
      <c r="H1573" s="7" t="s">
        <v>163</v>
      </c>
      <c r="I1573" s="7" t="s">
        <v>165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t="s">
        <v>137</v>
      </c>
    </row>
    <row r="1574" spans="1:17" x14ac:dyDescent="0.25">
      <c r="A1574" s="7" t="s">
        <v>162</v>
      </c>
      <c r="B1574" s="7" t="s">
        <v>18</v>
      </c>
      <c r="C1574" s="7" t="s">
        <v>19</v>
      </c>
      <c r="D1574" s="7"/>
      <c r="E1574" s="7"/>
      <c r="F1574" s="7" t="s">
        <v>108</v>
      </c>
      <c r="G1574" s="7" t="s">
        <v>109</v>
      </c>
      <c r="H1574" s="7" t="s">
        <v>163</v>
      </c>
      <c r="I1574" s="7" t="s">
        <v>165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t="s">
        <v>137</v>
      </c>
    </row>
    <row r="1575" spans="1:17" x14ac:dyDescent="0.25">
      <c r="A1575" s="7" t="s">
        <v>162</v>
      </c>
      <c r="B1575" s="7" t="s">
        <v>18</v>
      </c>
      <c r="C1575" s="7" t="s">
        <v>19</v>
      </c>
      <c r="D1575" s="7"/>
      <c r="E1575" s="7"/>
      <c r="F1575" s="7" t="s">
        <v>110</v>
      </c>
      <c r="G1575" s="7" t="s">
        <v>111</v>
      </c>
      <c r="H1575" s="7" t="s">
        <v>163</v>
      </c>
      <c r="I1575" s="7" t="s">
        <v>165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t="s">
        <v>137</v>
      </c>
    </row>
    <row r="1576" spans="1:17" x14ac:dyDescent="0.25">
      <c r="A1576" s="7" t="s">
        <v>162</v>
      </c>
      <c r="B1576" s="7" t="s">
        <v>18</v>
      </c>
      <c r="C1576" s="7" t="s">
        <v>19</v>
      </c>
      <c r="D1576" s="7" t="s">
        <v>20</v>
      </c>
      <c r="E1576" s="7" t="s">
        <v>21</v>
      </c>
      <c r="F1576" s="7" t="s">
        <v>112</v>
      </c>
      <c r="G1576" s="7" t="s">
        <v>113</v>
      </c>
      <c r="H1576" s="7" t="s">
        <v>163</v>
      </c>
      <c r="I1576" s="7" t="s">
        <v>165</v>
      </c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t="s">
        <v>137</v>
      </c>
    </row>
    <row r="1577" spans="1:17" x14ac:dyDescent="0.25">
      <c r="A1577" s="7" t="s">
        <v>162</v>
      </c>
      <c r="B1577" s="7" t="s">
        <v>18</v>
      </c>
      <c r="C1577" s="7" t="s">
        <v>19</v>
      </c>
      <c r="D1577" s="7" t="s">
        <v>20</v>
      </c>
      <c r="E1577" s="7" t="s">
        <v>21</v>
      </c>
      <c r="F1577" s="7" t="s">
        <v>114</v>
      </c>
      <c r="G1577" s="7" t="s">
        <v>115</v>
      </c>
      <c r="H1577" s="7" t="s">
        <v>163</v>
      </c>
      <c r="I1577" s="7" t="s">
        <v>165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t="s">
        <v>137</v>
      </c>
    </row>
    <row r="1578" spans="1:17" x14ac:dyDescent="0.25">
      <c r="A1578" s="7" t="s">
        <v>162</v>
      </c>
      <c r="B1578" s="7" t="s">
        <v>18</v>
      </c>
      <c r="C1578" s="7" t="s">
        <v>19</v>
      </c>
      <c r="D1578" s="7" t="s">
        <v>20</v>
      </c>
      <c r="E1578" s="7" t="s">
        <v>21</v>
      </c>
      <c r="F1578" s="7" t="s">
        <v>116</v>
      </c>
      <c r="G1578" s="7" t="s">
        <v>117</v>
      </c>
      <c r="H1578" s="7" t="s">
        <v>163</v>
      </c>
      <c r="I1578" s="7" t="s">
        <v>165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t="s">
        <v>137</v>
      </c>
    </row>
    <row r="1579" spans="1:17" x14ac:dyDescent="0.25">
      <c r="A1579" s="7" t="s">
        <v>162</v>
      </c>
      <c r="B1579" s="7" t="s">
        <v>18</v>
      </c>
      <c r="C1579" s="7" t="s">
        <v>19</v>
      </c>
      <c r="D1579" s="7" t="s">
        <v>20</v>
      </c>
      <c r="E1579" s="7" t="s">
        <v>21</v>
      </c>
      <c r="F1579" s="7" t="s">
        <v>118</v>
      </c>
      <c r="G1579" s="7" t="s">
        <v>119</v>
      </c>
      <c r="H1579" s="7" t="s">
        <v>163</v>
      </c>
      <c r="I1579" s="7" t="s">
        <v>165</v>
      </c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t="s">
        <v>137</v>
      </c>
    </row>
    <row r="1580" spans="1:17" x14ac:dyDescent="0.25">
      <c r="A1580" s="7" t="s">
        <v>162</v>
      </c>
      <c r="B1580" s="7" t="s">
        <v>18</v>
      </c>
      <c r="C1580" s="7" t="s">
        <v>19</v>
      </c>
      <c r="D1580" s="7" t="s">
        <v>20</v>
      </c>
      <c r="E1580" s="7" t="s">
        <v>21</v>
      </c>
      <c r="F1580" s="7" t="s">
        <v>120</v>
      </c>
      <c r="G1580" s="7" t="s">
        <v>121</v>
      </c>
      <c r="H1580" s="7" t="s">
        <v>163</v>
      </c>
      <c r="I1580" s="7" t="s">
        <v>165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t="s">
        <v>137</v>
      </c>
    </row>
    <row r="1581" spans="1:17" x14ac:dyDescent="0.25">
      <c r="A1581" s="7" t="s">
        <v>162</v>
      </c>
      <c r="B1581" s="7" t="s">
        <v>18</v>
      </c>
      <c r="C1581" s="7" t="s">
        <v>19</v>
      </c>
      <c r="D1581" s="7"/>
      <c r="E1581" s="7"/>
      <c r="F1581" s="7" t="s">
        <v>122</v>
      </c>
      <c r="G1581" s="7" t="s">
        <v>123</v>
      </c>
      <c r="H1581" s="7" t="s">
        <v>163</v>
      </c>
      <c r="I1581" s="7" t="s">
        <v>165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t="s">
        <v>137</v>
      </c>
    </row>
    <row r="1582" spans="1:17" x14ac:dyDescent="0.25">
      <c r="A1582" s="7" t="s">
        <v>162</v>
      </c>
      <c r="B1582" s="7" t="s">
        <v>18</v>
      </c>
      <c r="C1582" s="7" t="s">
        <v>19</v>
      </c>
      <c r="D1582" s="7"/>
      <c r="E1582" s="7"/>
      <c r="F1582" s="7" t="s">
        <v>124</v>
      </c>
      <c r="G1582" s="7" t="s">
        <v>125</v>
      </c>
      <c r="H1582" s="7" t="s">
        <v>163</v>
      </c>
      <c r="I1582" s="7" t="s">
        <v>165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t="s">
        <v>137</v>
      </c>
    </row>
    <row r="1583" spans="1:17" x14ac:dyDescent="0.25">
      <c r="A1583" s="7" t="s">
        <v>162</v>
      </c>
      <c r="B1583" s="7" t="s">
        <v>18</v>
      </c>
      <c r="C1583" s="7" t="s">
        <v>19</v>
      </c>
      <c r="D1583" s="7" t="s">
        <v>20</v>
      </c>
      <c r="E1583" s="7" t="s">
        <v>21</v>
      </c>
      <c r="F1583" s="7" t="s">
        <v>22</v>
      </c>
      <c r="G1583" s="7" t="s">
        <v>23</v>
      </c>
      <c r="H1583" s="7" t="s">
        <v>163</v>
      </c>
      <c r="I1583" s="7" t="s">
        <v>166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t="s">
        <v>137</v>
      </c>
    </row>
    <row r="1584" spans="1:17" x14ac:dyDescent="0.25">
      <c r="A1584" s="7" t="s">
        <v>162</v>
      </c>
      <c r="B1584" s="7" t="s">
        <v>18</v>
      </c>
      <c r="C1584" s="7" t="s">
        <v>19</v>
      </c>
      <c r="D1584" s="7"/>
      <c r="E1584" s="7"/>
      <c r="F1584" s="7" t="s">
        <v>27</v>
      </c>
      <c r="G1584" s="7" t="s">
        <v>28</v>
      </c>
      <c r="H1584" s="7" t="s">
        <v>163</v>
      </c>
      <c r="I1584" s="7" t="s">
        <v>166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t="s">
        <v>137</v>
      </c>
    </row>
    <row r="1585" spans="1:17" x14ac:dyDescent="0.25">
      <c r="A1585" s="7" t="s">
        <v>162</v>
      </c>
      <c r="B1585" s="7" t="s">
        <v>18</v>
      </c>
      <c r="C1585" s="7" t="s">
        <v>19</v>
      </c>
      <c r="D1585" s="7"/>
      <c r="E1585" s="7"/>
      <c r="F1585" s="7" t="s">
        <v>29</v>
      </c>
      <c r="G1585" s="7" t="s">
        <v>30</v>
      </c>
      <c r="H1585" s="7" t="s">
        <v>163</v>
      </c>
      <c r="I1585" s="7" t="s">
        <v>166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t="s">
        <v>137</v>
      </c>
    </row>
    <row r="1586" spans="1:17" x14ac:dyDescent="0.25">
      <c r="A1586" s="7" t="s">
        <v>162</v>
      </c>
      <c r="B1586" s="7" t="s">
        <v>18</v>
      </c>
      <c r="C1586" s="7" t="s">
        <v>19</v>
      </c>
      <c r="D1586" s="7"/>
      <c r="E1586" s="7"/>
      <c r="F1586" s="7" t="s">
        <v>31</v>
      </c>
      <c r="G1586" s="7" t="s">
        <v>32</v>
      </c>
      <c r="H1586" s="7" t="s">
        <v>163</v>
      </c>
      <c r="I1586" s="7" t="s">
        <v>166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t="s">
        <v>137</v>
      </c>
    </row>
    <row r="1587" spans="1:17" x14ac:dyDescent="0.25">
      <c r="A1587" s="7" t="s">
        <v>162</v>
      </c>
      <c r="B1587" s="7" t="s">
        <v>18</v>
      </c>
      <c r="C1587" s="7" t="s">
        <v>19</v>
      </c>
      <c r="D1587" s="7"/>
      <c r="E1587" s="7"/>
      <c r="F1587" s="7" t="s">
        <v>33</v>
      </c>
      <c r="G1587" s="7" t="s">
        <v>34</v>
      </c>
      <c r="H1587" s="7" t="s">
        <v>163</v>
      </c>
      <c r="I1587" s="7" t="s">
        <v>166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t="s">
        <v>137</v>
      </c>
    </row>
    <row r="1588" spans="1:17" x14ac:dyDescent="0.25">
      <c r="A1588" s="7" t="s">
        <v>162</v>
      </c>
      <c r="B1588" s="7" t="s">
        <v>18</v>
      </c>
      <c r="C1588" s="7" t="s">
        <v>19</v>
      </c>
      <c r="D1588" s="7" t="s">
        <v>20</v>
      </c>
      <c r="E1588" s="7" t="s">
        <v>21</v>
      </c>
      <c r="F1588" s="7" t="s">
        <v>35</v>
      </c>
      <c r="G1588" s="7" t="s">
        <v>36</v>
      </c>
      <c r="H1588" s="7" t="s">
        <v>163</v>
      </c>
      <c r="I1588" s="7" t="s">
        <v>166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t="s">
        <v>137</v>
      </c>
    </row>
    <row r="1589" spans="1:17" x14ac:dyDescent="0.25">
      <c r="A1589" s="7" t="s">
        <v>162</v>
      </c>
      <c r="B1589" s="7" t="s">
        <v>18</v>
      </c>
      <c r="C1589" s="7" t="s">
        <v>19</v>
      </c>
      <c r="D1589" s="7"/>
      <c r="E1589" s="7"/>
      <c r="F1589" s="7" t="s">
        <v>37</v>
      </c>
      <c r="G1589" s="7" t="s">
        <v>38</v>
      </c>
      <c r="H1589" s="7" t="s">
        <v>163</v>
      </c>
      <c r="I1589" s="7" t="s">
        <v>166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t="s">
        <v>137</v>
      </c>
    </row>
    <row r="1590" spans="1:17" x14ac:dyDescent="0.25">
      <c r="A1590" s="7" t="s">
        <v>162</v>
      </c>
      <c r="B1590" s="7" t="s">
        <v>18</v>
      </c>
      <c r="C1590" s="7" t="s">
        <v>19</v>
      </c>
      <c r="D1590" s="7"/>
      <c r="E1590" s="7"/>
      <c r="F1590" s="7" t="s">
        <v>39</v>
      </c>
      <c r="G1590" s="7" t="s">
        <v>40</v>
      </c>
      <c r="H1590" s="7" t="s">
        <v>163</v>
      </c>
      <c r="I1590" s="7" t="s">
        <v>166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t="s">
        <v>137</v>
      </c>
    </row>
    <row r="1591" spans="1:17" x14ac:dyDescent="0.25">
      <c r="A1591" s="7" t="s">
        <v>162</v>
      </c>
      <c r="B1591" s="7" t="s">
        <v>18</v>
      </c>
      <c r="C1591" s="7" t="s">
        <v>19</v>
      </c>
      <c r="D1591" s="7" t="s">
        <v>20</v>
      </c>
      <c r="E1591" s="7" t="s">
        <v>21</v>
      </c>
      <c r="F1591" s="7" t="s">
        <v>41</v>
      </c>
      <c r="G1591" s="7" t="s">
        <v>42</v>
      </c>
      <c r="H1591" s="7" t="s">
        <v>163</v>
      </c>
      <c r="I1591" s="7" t="s">
        <v>166</v>
      </c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t="s">
        <v>137</v>
      </c>
    </row>
    <row r="1592" spans="1:17" x14ac:dyDescent="0.25">
      <c r="A1592" s="7" t="s">
        <v>162</v>
      </c>
      <c r="B1592" s="7" t="s">
        <v>18</v>
      </c>
      <c r="C1592" s="7" t="s">
        <v>19</v>
      </c>
      <c r="D1592" s="7" t="s">
        <v>20</v>
      </c>
      <c r="E1592" s="7" t="s">
        <v>21</v>
      </c>
      <c r="F1592" s="7" t="s">
        <v>43</v>
      </c>
      <c r="G1592" s="7" t="s">
        <v>44</v>
      </c>
      <c r="H1592" s="7" t="s">
        <v>163</v>
      </c>
      <c r="I1592" s="7" t="s">
        <v>166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t="s">
        <v>137</v>
      </c>
    </row>
    <row r="1593" spans="1:17" x14ac:dyDescent="0.25">
      <c r="A1593" s="7" t="s">
        <v>162</v>
      </c>
      <c r="B1593" s="7" t="s">
        <v>18</v>
      </c>
      <c r="C1593" s="7" t="s">
        <v>19</v>
      </c>
      <c r="D1593" s="7"/>
      <c r="E1593" s="7"/>
      <c r="F1593" s="7" t="s">
        <v>45</v>
      </c>
      <c r="G1593" s="7" t="s">
        <v>46</v>
      </c>
      <c r="H1593" s="7" t="s">
        <v>163</v>
      </c>
      <c r="I1593" s="7" t="s">
        <v>166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t="s">
        <v>137</v>
      </c>
    </row>
    <row r="1594" spans="1:17" x14ac:dyDescent="0.25">
      <c r="A1594" s="7" t="s">
        <v>162</v>
      </c>
      <c r="B1594" s="7" t="s">
        <v>18</v>
      </c>
      <c r="C1594" s="7" t="s">
        <v>19</v>
      </c>
      <c r="D1594" s="7" t="s">
        <v>20</v>
      </c>
      <c r="E1594" s="7" t="s">
        <v>21</v>
      </c>
      <c r="F1594" s="7" t="s">
        <v>47</v>
      </c>
      <c r="G1594" s="7" t="s">
        <v>48</v>
      </c>
      <c r="H1594" s="7" t="s">
        <v>163</v>
      </c>
      <c r="I1594" s="7" t="s">
        <v>166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t="s">
        <v>137</v>
      </c>
    </row>
    <row r="1595" spans="1:17" x14ac:dyDescent="0.25">
      <c r="A1595" s="7" t="s">
        <v>162</v>
      </c>
      <c r="B1595" s="7" t="s">
        <v>18</v>
      </c>
      <c r="C1595" s="7" t="s">
        <v>19</v>
      </c>
      <c r="D1595" s="7"/>
      <c r="E1595" s="7"/>
      <c r="F1595" s="7" t="s">
        <v>49</v>
      </c>
      <c r="G1595" s="7" t="s">
        <v>50</v>
      </c>
      <c r="H1595" s="7" t="s">
        <v>163</v>
      </c>
      <c r="I1595" s="7" t="s">
        <v>166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t="s">
        <v>137</v>
      </c>
    </row>
    <row r="1596" spans="1:17" x14ac:dyDescent="0.25">
      <c r="A1596" s="7" t="s">
        <v>162</v>
      </c>
      <c r="B1596" s="7" t="s">
        <v>18</v>
      </c>
      <c r="C1596" s="7" t="s">
        <v>19</v>
      </c>
      <c r="D1596" s="7"/>
      <c r="E1596" s="7"/>
      <c r="F1596" s="7" t="s">
        <v>51</v>
      </c>
      <c r="G1596" s="7" t="s">
        <v>52</v>
      </c>
      <c r="H1596" s="7" t="s">
        <v>163</v>
      </c>
      <c r="I1596" s="7" t="s">
        <v>166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t="s">
        <v>137</v>
      </c>
    </row>
    <row r="1597" spans="1:17" x14ac:dyDescent="0.25">
      <c r="A1597" s="7" t="s">
        <v>162</v>
      </c>
      <c r="B1597" s="7" t="s">
        <v>18</v>
      </c>
      <c r="C1597" s="7" t="s">
        <v>19</v>
      </c>
      <c r="D1597" s="7"/>
      <c r="E1597" s="7"/>
      <c r="F1597" s="7" t="s">
        <v>53</v>
      </c>
      <c r="G1597" s="7" t="s">
        <v>54</v>
      </c>
      <c r="H1597" s="7" t="s">
        <v>163</v>
      </c>
      <c r="I1597" s="7" t="s">
        <v>166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t="s">
        <v>137</v>
      </c>
    </row>
    <row r="1598" spans="1:17" x14ac:dyDescent="0.25">
      <c r="A1598" s="7" t="s">
        <v>162</v>
      </c>
      <c r="B1598" s="7" t="s">
        <v>18</v>
      </c>
      <c r="C1598" s="7" t="s">
        <v>19</v>
      </c>
      <c r="D1598" s="7"/>
      <c r="E1598" s="7"/>
      <c r="F1598" s="7" t="s">
        <v>55</v>
      </c>
      <c r="G1598" s="7" t="s">
        <v>56</v>
      </c>
      <c r="H1598" s="7" t="s">
        <v>163</v>
      </c>
      <c r="I1598" s="7" t="s">
        <v>166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t="s">
        <v>137</v>
      </c>
    </row>
    <row r="1599" spans="1:17" x14ac:dyDescent="0.25">
      <c r="A1599" s="7" t="s">
        <v>162</v>
      </c>
      <c r="B1599" s="7" t="s">
        <v>18</v>
      </c>
      <c r="C1599" s="7" t="s">
        <v>19</v>
      </c>
      <c r="D1599" s="7"/>
      <c r="E1599" s="7"/>
      <c r="F1599" s="7" t="s">
        <v>57</v>
      </c>
      <c r="G1599" s="7" t="s">
        <v>58</v>
      </c>
      <c r="H1599" s="7" t="s">
        <v>163</v>
      </c>
      <c r="I1599" s="7" t="s">
        <v>166</v>
      </c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t="s">
        <v>137</v>
      </c>
    </row>
    <row r="1600" spans="1:17" x14ac:dyDescent="0.25">
      <c r="A1600" s="7" t="s">
        <v>162</v>
      </c>
      <c r="B1600" s="7" t="s">
        <v>18</v>
      </c>
      <c r="C1600" s="7" t="s">
        <v>19</v>
      </c>
      <c r="D1600" s="7" t="s">
        <v>20</v>
      </c>
      <c r="E1600" s="7" t="s">
        <v>21</v>
      </c>
      <c r="F1600" s="7" t="s">
        <v>59</v>
      </c>
      <c r="G1600" s="7" t="s">
        <v>60</v>
      </c>
      <c r="H1600" s="7" t="s">
        <v>163</v>
      </c>
      <c r="I1600" s="7" t="s">
        <v>166</v>
      </c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t="s">
        <v>137</v>
      </c>
    </row>
    <row r="1601" spans="1:17" x14ac:dyDescent="0.25">
      <c r="A1601" s="7" t="s">
        <v>162</v>
      </c>
      <c r="B1601" s="7" t="s">
        <v>18</v>
      </c>
      <c r="C1601" s="7" t="s">
        <v>19</v>
      </c>
      <c r="D1601" s="7" t="s">
        <v>20</v>
      </c>
      <c r="E1601" s="7" t="s">
        <v>21</v>
      </c>
      <c r="F1601" s="7" t="s">
        <v>61</v>
      </c>
      <c r="G1601" s="7" t="s">
        <v>62</v>
      </c>
      <c r="H1601" s="7" t="s">
        <v>163</v>
      </c>
      <c r="I1601" s="7" t="s">
        <v>166</v>
      </c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t="s">
        <v>137</v>
      </c>
    </row>
    <row r="1602" spans="1:17" x14ac:dyDescent="0.25">
      <c r="A1602" s="7" t="s">
        <v>162</v>
      </c>
      <c r="B1602" s="7" t="s">
        <v>18</v>
      </c>
      <c r="C1602" s="7" t="s">
        <v>19</v>
      </c>
      <c r="D1602" s="7"/>
      <c r="E1602" s="7"/>
      <c r="F1602" s="7" t="s">
        <v>63</v>
      </c>
      <c r="G1602" s="7" t="s">
        <v>64</v>
      </c>
      <c r="H1602" s="7" t="s">
        <v>163</v>
      </c>
      <c r="I1602" s="7" t="s">
        <v>166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t="s">
        <v>137</v>
      </c>
    </row>
    <row r="1603" spans="1:17" x14ac:dyDescent="0.25">
      <c r="A1603" s="7" t="s">
        <v>162</v>
      </c>
      <c r="B1603" s="7" t="s">
        <v>18</v>
      </c>
      <c r="C1603" s="7" t="s">
        <v>19</v>
      </c>
      <c r="D1603" s="7" t="s">
        <v>20</v>
      </c>
      <c r="E1603" s="7" t="s">
        <v>21</v>
      </c>
      <c r="F1603" s="7" t="s">
        <v>65</v>
      </c>
      <c r="G1603" s="7" t="s">
        <v>66</v>
      </c>
      <c r="H1603" s="7" t="s">
        <v>163</v>
      </c>
      <c r="I1603" s="7" t="s">
        <v>166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t="s">
        <v>137</v>
      </c>
    </row>
    <row r="1604" spans="1:17" x14ac:dyDescent="0.25">
      <c r="A1604" s="7" t="s">
        <v>162</v>
      </c>
      <c r="B1604" s="7" t="s">
        <v>18</v>
      </c>
      <c r="C1604" s="7" t="s">
        <v>19</v>
      </c>
      <c r="D1604" s="7"/>
      <c r="E1604" s="7"/>
      <c r="F1604" s="7" t="s">
        <v>67</v>
      </c>
      <c r="G1604" s="7" t="s">
        <v>68</v>
      </c>
      <c r="H1604" s="7" t="s">
        <v>163</v>
      </c>
      <c r="I1604" s="7" t="s">
        <v>166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t="s">
        <v>137</v>
      </c>
    </row>
    <row r="1605" spans="1:17" x14ac:dyDescent="0.25">
      <c r="A1605" s="7" t="s">
        <v>162</v>
      </c>
      <c r="B1605" s="7" t="s">
        <v>18</v>
      </c>
      <c r="C1605" s="7" t="s">
        <v>19</v>
      </c>
      <c r="D1605" s="7"/>
      <c r="E1605" s="7"/>
      <c r="F1605" s="7" t="s">
        <v>69</v>
      </c>
      <c r="G1605" s="7" t="s">
        <v>70</v>
      </c>
      <c r="H1605" s="7" t="s">
        <v>163</v>
      </c>
      <c r="I1605" s="7" t="s">
        <v>166</v>
      </c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t="s">
        <v>137</v>
      </c>
    </row>
    <row r="1606" spans="1:17" x14ac:dyDescent="0.25">
      <c r="A1606" s="7" t="s">
        <v>162</v>
      </c>
      <c r="B1606" s="7" t="s">
        <v>18</v>
      </c>
      <c r="C1606" s="7" t="s">
        <v>19</v>
      </c>
      <c r="D1606" s="7"/>
      <c r="E1606" s="7"/>
      <c r="F1606" s="7" t="s">
        <v>71</v>
      </c>
      <c r="G1606" s="7" t="s">
        <v>72</v>
      </c>
      <c r="H1606" s="7" t="s">
        <v>163</v>
      </c>
      <c r="I1606" s="7" t="s">
        <v>166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t="s">
        <v>137</v>
      </c>
    </row>
    <row r="1607" spans="1:17" x14ac:dyDescent="0.25">
      <c r="A1607" s="7" t="s">
        <v>162</v>
      </c>
      <c r="B1607" s="7" t="s">
        <v>18</v>
      </c>
      <c r="C1607" s="7" t="s">
        <v>19</v>
      </c>
      <c r="D1607" s="7" t="s">
        <v>20</v>
      </c>
      <c r="E1607" s="7" t="s">
        <v>21</v>
      </c>
      <c r="F1607" s="7" t="s">
        <v>73</v>
      </c>
      <c r="G1607" s="7" t="s">
        <v>74</v>
      </c>
      <c r="H1607" s="7" t="s">
        <v>163</v>
      </c>
      <c r="I1607" s="7" t="s">
        <v>166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t="s">
        <v>137</v>
      </c>
    </row>
    <row r="1608" spans="1:17" x14ac:dyDescent="0.25">
      <c r="A1608" s="7" t="s">
        <v>162</v>
      </c>
      <c r="B1608" s="7" t="s">
        <v>18</v>
      </c>
      <c r="C1608" s="7" t="s">
        <v>19</v>
      </c>
      <c r="D1608" s="7" t="s">
        <v>20</v>
      </c>
      <c r="E1608" s="7" t="s">
        <v>21</v>
      </c>
      <c r="F1608" s="7" t="s">
        <v>75</v>
      </c>
      <c r="G1608" s="7" t="s">
        <v>76</v>
      </c>
      <c r="H1608" s="7" t="s">
        <v>163</v>
      </c>
      <c r="I1608" s="7" t="s">
        <v>166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t="s">
        <v>137</v>
      </c>
    </row>
    <row r="1609" spans="1:17" x14ac:dyDescent="0.25">
      <c r="A1609" s="7" t="s">
        <v>162</v>
      </c>
      <c r="B1609" s="7" t="s">
        <v>18</v>
      </c>
      <c r="C1609" s="7" t="s">
        <v>19</v>
      </c>
      <c r="D1609" s="7"/>
      <c r="E1609" s="7"/>
      <c r="F1609" s="7" t="s">
        <v>77</v>
      </c>
      <c r="G1609" s="7" t="s">
        <v>78</v>
      </c>
      <c r="H1609" s="7" t="s">
        <v>163</v>
      </c>
      <c r="I1609" s="7" t="s">
        <v>166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t="s">
        <v>137</v>
      </c>
    </row>
    <row r="1610" spans="1:17" x14ac:dyDescent="0.25">
      <c r="A1610" s="7" t="s">
        <v>162</v>
      </c>
      <c r="B1610" s="7" t="s">
        <v>18</v>
      </c>
      <c r="C1610" s="7" t="s">
        <v>19</v>
      </c>
      <c r="D1610" s="7"/>
      <c r="E1610" s="7"/>
      <c r="F1610" s="7" t="s">
        <v>79</v>
      </c>
      <c r="G1610" s="7" t="s">
        <v>80</v>
      </c>
      <c r="H1610" s="7" t="s">
        <v>163</v>
      </c>
      <c r="I1610" s="7" t="s">
        <v>166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t="s">
        <v>137</v>
      </c>
    </row>
    <row r="1611" spans="1:17" x14ac:dyDescent="0.25">
      <c r="A1611" s="7" t="s">
        <v>162</v>
      </c>
      <c r="B1611" s="7" t="s">
        <v>18</v>
      </c>
      <c r="C1611" s="7" t="s">
        <v>19</v>
      </c>
      <c r="D1611" s="7"/>
      <c r="E1611" s="7"/>
      <c r="F1611" s="7" t="s">
        <v>81</v>
      </c>
      <c r="G1611" s="7" t="s">
        <v>82</v>
      </c>
      <c r="H1611" s="7" t="s">
        <v>163</v>
      </c>
      <c r="I1611" s="7" t="s">
        <v>166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t="s">
        <v>137</v>
      </c>
    </row>
    <row r="1612" spans="1:17" x14ac:dyDescent="0.25">
      <c r="A1612" s="7" t="s">
        <v>162</v>
      </c>
      <c r="B1612" s="7" t="s">
        <v>18</v>
      </c>
      <c r="C1612" s="7" t="s">
        <v>19</v>
      </c>
      <c r="D1612" s="7"/>
      <c r="E1612" s="7"/>
      <c r="F1612" s="7" t="s">
        <v>83</v>
      </c>
      <c r="G1612" s="7" t="s">
        <v>84</v>
      </c>
      <c r="H1612" s="7" t="s">
        <v>163</v>
      </c>
      <c r="I1612" s="7" t="s">
        <v>166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t="s">
        <v>137</v>
      </c>
    </row>
    <row r="1613" spans="1:17" x14ac:dyDescent="0.25">
      <c r="A1613" s="7" t="s">
        <v>162</v>
      </c>
      <c r="B1613" s="7" t="s">
        <v>18</v>
      </c>
      <c r="C1613" s="7" t="s">
        <v>19</v>
      </c>
      <c r="D1613" s="7" t="s">
        <v>20</v>
      </c>
      <c r="E1613" s="7" t="s">
        <v>21</v>
      </c>
      <c r="F1613" s="7" t="s">
        <v>85</v>
      </c>
      <c r="G1613" s="7" t="s">
        <v>86</v>
      </c>
      <c r="H1613" s="7" t="s">
        <v>163</v>
      </c>
      <c r="I1613" s="7" t="s">
        <v>166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t="s">
        <v>137</v>
      </c>
    </row>
    <row r="1614" spans="1:17" x14ac:dyDescent="0.25">
      <c r="A1614" s="7" t="s">
        <v>162</v>
      </c>
      <c r="B1614" s="7" t="s">
        <v>18</v>
      </c>
      <c r="C1614" s="7" t="s">
        <v>19</v>
      </c>
      <c r="D1614" s="7"/>
      <c r="E1614" s="7"/>
      <c r="F1614" s="7" t="s">
        <v>87</v>
      </c>
      <c r="G1614" s="7" t="s">
        <v>88</v>
      </c>
      <c r="H1614" s="7" t="s">
        <v>163</v>
      </c>
      <c r="I1614" s="7" t="s">
        <v>166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t="s">
        <v>137</v>
      </c>
    </row>
    <row r="1615" spans="1:17" x14ac:dyDescent="0.25">
      <c r="A1615" s="7" t="s">
        <v>162</v>
      </c>
      <c r="B1615" s="7" t="s">
        <v>18</v>
      </c>
      <c r="C1615" s="7" t="s">
        <v>19</v>
      </c>
      <c r="D1615" s="7"/>
      <c r="E1615" s="7"/>
      <c r="F1615" s="7" t="s">
        <v>89</v>
      </c>
      <c r="G1615" s="7" t="s">
        <v>90</v>
      </c>
      <c r="H1615" s="7" t="s">
        <v>163</v>
      </c>
      <c r="I1615" s="7" t="s">
        <v>166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t="s">
        <v>137</v>
      </c>
    </row>
    <row r="1616" spans="1:17" x14ac:dyDescent="0.25">
      <c r="A1616" s="7" t="s">
        <v>162</v>
      </c>
      <c r="B1616" s="7" t="s">
        <v>18</v>
      </c>
      <c r="C1616" s="7" t="s">
        <v>19</v>
      </c>
      <c r="D1616" s="7"/>
      <c r="E1616" s="7"/>
      <c r="F1616" s="7" t="s">
        <v>91</v>
      </c>
      <c r="G1616" s="7" t="s">
        <v>92</v>
      </c>
      <c r="H1616" s="7" t="s">
        <v>163</v>
      </c>
      <c r="I1616" s="7" t="s">
        <v>166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t="s">
        <v>137</v>
      </c>
    </row>
    <row r="1617" spans="1:17" x14ac:dyDescent="0.25">
      <c r="A1617" s="7" t="s">
        <v>162</v>
      </c>
      <c r="B1617" s="7" t="s">
        <v>18</v>
      </c>
      <c r="C1617" s="7" t="s">
        <v>19</v>
      </c>
      <c r="D1617" s="7"/>
      <c r="E1617" s="7"/>
      <c r="F1617" s="7" t="s">
        <v>93</v>
      </c>
      <c r="G1617" s="7" t="s">
        <v>94</v>
      </c>
      <c r="H1617" s="7" t="s">
        <v>163</v>
      </c>
      <c r="I1617" s="7" t="s">
        <v>166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t="s">
        <v>137</v>
      </c>
    </row>
    <row r="1618" spans="1:17" x14ac:dyDescent="0.25">
      <c r="A1618" s="7" t="s">
        <v>162</v>
      </c>
      <c r="B1618" s="7" t="s">
        <v>18</v>
      </c>
      <c r="C1618" s="7" t="s">
        <v>19</v>
      </c>
      <c r="D1618" s="7"/>
      <c r="E1618" s="7"/>
      <c r="F1618" s="7" t="s">
        <v>95</v>
      </c>
      <c r="G1618" s="7" t="s">
        <v>96</v>
      </c>
      <c r="H1618" s="7" t="s">
        <v>163</v>
      </c>
      <c r="I1618" s="7" t="s">
        <v>166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t="s">
        <v>137</v>
      </c>
    </row>
    <row r="1619" spans="1:17" x14ac:dyDescent="0.25">
      <c r="A1619" s="7" t="s">
        <v>162</v>
      </c>
      <c r="B1619" s="7" t="s">
        <v>18</v>
      </c>
      <c r="C1619" s="7" t="s">
        <v>19</v>
      </c>
      <c r="D1619" s="7"/>
      <c r="E1619" s="7"/>
      <c r="F1619" s="7" t="s">
        <v>97</v>
      </c>
      <c r="G1619" s="7" t="s">
        <v>98</v>
      </c>
      <c r="H1619" s="7" t="s">
        <v>163</v>
      </c>
      <c r="I1619" s="7" t="s">
        <v>166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t="s">
        <v>137</v>
      </c>
    </row>
    <row r="1620" spans="1:17" x14ac:dyDescent="0.25">
      <c r="A1620" s="7" t="s">
        <v>162</v>
      </c>
      <c r="B1620" s="7" t="s">
        <v>18</v>
      </c>
      <c r="C1620" s="7" t="s">
        <v>19</v>
      </c>
      <c r="D1620" s="7"/>
      <c r="E1620" s="7"/>
      <c r="F1620" s="7" t="s">
        <v>99</v>
      </c>
      <c r="G1620" s="7" t="s">
        <v>100</v>
      </c>
      <c r="H1620" s="7" t="s">
        <v>163</v>
      </c>
      <c r="I1620" s="7" t="s">
        <v>166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t="s">
        <v>137</v>
      </c>
    </row>
    <row r="1621" spans="1:17" x14ac:dyDescent="0.25">
      <c r="A1621" s="7" t="s">
        <v>162</v>
      </c>
      <c r="B1621" s="7" t="s">
        <v>18</v>
      </c>
      <c r="C1621" s="7" t="s">
        <v>19</v>
      </c>
      <c r="D1621" s="7" t="s">
        <v>20</v>
      </c>
      <c r="E1621" s="7" t="s">
        <v>21</v>
      </c>
      <c r="F1621" s="7" t="s">
        <v>101</v>
      </c>
      <c r="G1621" s="7" t="s">
        <v>21</v>
      </c>
      <c r="H1621" s="7" t="s">
        <v>163</v>
      </c>
      <c r="I1621" s="7" t="s">
        <v>166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t="s">
        <v>137</v>
      </c>
    </row>
    <row r="1622" spans="1:17" x14ac:dyDescent="0.25">
      <c r="A1622" s="7" t="s">
        <v>162</v>
      </c>
      <c r="B1622" s="7" t="s">
        <v>18</v>
      </c>
      <c r="C1622" s="7" t="s">
        <v>19</v>
      </c>
      <c r="D1622" s="7"/>
      <c r="E1622" s="7"/>
      <c r="F1622" s="7" t="s">
        <v>102</v>
      </c>
      <c r="G1622" s="7" t="s">
        <v>103</v>
      </c>
      <c r="H1622" s="7" t="s">
        <v>163</v>
      </c>
      <c r="I1622" s="7" t="s">
        <v>166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t="s">
        <v>137</v>
      </c>
    </row>
    <row r="1623" spans="1:17" x14ac:dyDescent="0.25">
      <c r="A1623" s="7" t="s">
        <v>162</v>
      </c>
      <c r="B1623" s="7" t="s">
        <v>18</v>
      </c>
      <c r="C1623" s="7" t="s">
        <v>19</v>
      </c>
      <c r="D1623" s="7" t="s">
        <v>20</v>
      </c>
      <c r="E1623" s="7" t="s">
        <v>21</v>
      </c>
      <c r="F1623" s="7" t="s">
        <v>104</v>
      </c>
      <c r="G1623" s="7" t="s">
        <v>105</v>
      </c>
      <c r="H1623" s="7" t="s">
        <v>163</v>
      </c>
      <c r="I1623" s="7" t="s">
        <v>166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t="s">
        <v>137</v>
      </c>
    </row>
    <row r="1624" spans="1:17" x14ac:dyDescent="0.25">
      <c r="A1624" s="7" t="s">
        <v>162</v>
      </c>
      <c r="B1624" s="7" t="s">
        <v>18</v>
      </c>
      <c r="C1624" s="7" t="s">
        <v>19</v>
      </c>
      <c r="D1624" s="7"/>
      <c r="E1624" s="7"/>
      <c r="F1624" s="7" t="s">
        <v>106</v>
      </c>
      <c r="G1624" s="7" t="s">
        <v>107</v>
      </c>
      <c r="H1624" s="7" t="s">
        <v>163</v>
      </c>
      <c r="I1624" s="7" t="s">
        <v>166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t="s">
        <v>137</v>
      </c>
    </row>
    <row r="1625" spans="1:17" x14ac:dyDescent="0.25">
      <c r="A1625" s="7" t="s">
        <v>162</v>
      </c>
      <c r="B1625" s="7" t="s">
        <v>18</v>
      </c>
      <c r="C1625" s="7" t="s">
        <v>19</v>
      </c>
      <c r="D1625" s="7"/>
      <c r="E1625" s="7"/>
      <c r="F1625" s="7" t="s">
        <v>108</v>
      </c>
      <c r="G1625" s="7" t="s">
        <v>109</v>
      </c>
      <c r="H1625" s="7" t="s">
        <v>163</v>
      </c>
      <c r="I1625" s="7" t="s">
        <v>166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t="s">
        <v>137</v>
      </c>
    </row>
    <row r="1626" spans="1:17" x14ac:dyDescent="0.25">
      <c r="A1626" s="7" t="s">
        <v>162</v>
      </c>
      <c r="B1626" s="7" t="s">
        <v>18</v>
      </c>
      <c r="C1626" s="7" t="s">
        <v>19</v>
      </c>
      <c r="D1626" s="7"/>
      <c r="E1626" s="7"/>
      <c r="F1626" s="7" t="s">
        <v>110</v>
      </c>
      <c r="G1626" s="7" t="s">
        <v>111</v>
      </c>
      <c r="H1626" s="7" t="s">
        <v>163</v>
      </c>
      <c r="I1626" s="7" t="s">
        <v>166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t="s">
        <v>137</v>
      </c>
    </row>
    <row r="1627" spans="1:17" x14ac:dyDescent="0.25">
      <c r="A1627" s="7" t="s">
        <v>162</v>
      </c>
      <c r="B1627" s="7" t="s">
        <v>18</v>
      </c>
      <c r="C1627" s="7" t="s">
        <v>19</v>
      </c>
      <c r="D1627" s="7" t="s">
        <v>20</v>
      </c>
      <c r="E1627" s="7" t="s">
        <v>21</v>
      </c>
      <c r="F1627" s="7" t="s">
        <v>112</v>
      </c>
      <c r="G1627" s="7" t="s">
        <v>113</v>
      </c>
      <c r="H1627" s="7" t="s">
        <v>163</v>
      </c>
      <c r="I1627" s="7" t="s">
        <v>166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t="s">
        <v>137</v>
      </c>
    </row>
    <row r="1628" spans="1:17" x14ac:dyDescent="0.25">
      <c r="A1628" s="7" t="s">
        <v>162</v>
      </c>
      <c r="B1628" s="7" t="s">
        <v>18</v>
      </c>
      <c r="C1628" s="7" t="s">
        <v>19</v>
      </c>
      <c r="D1628" s="7" t="s">
        <v>20</v>
      </c>
      <c r="E1628" s="7" t="s">
        <v>21</v>
      </c>
      <c r="F1628" s="7" t="s">
        <v>114</v>
      </c>
      <c r="G1628" s="7" t="s">
        <v>115</v>
      </c>
      <c r="H1628" s="7" t="s">
        <v>163</v>
      </c>
      <c r="I1628" s="7" t="s">
        <v>166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t="s">
        <v>137</v>
      </c>
    </row>
    <row r="1629" spans="1:17" x14ac:dyDescent="0.25">
      <c r="A1629" s="7" t="s">
        <v>162</v>
      </c>
      <c r="B1629" s="7" t="s">
        <v>18</v>
      </c>
      <c r="C1629" s="7" t="s">
        <v>19</v>
      </c>
      <c r="D1629" s="7" t="s">
        <v>20</v>
      </c>
      <c r="E1629" s="7" t="s">
        <v>21</v>
      </c>
      <c r="F1629" s="7" t="s">
        <v>116</v>
      </c>
      <c r="G1629" s="7" t="s">
        <v>117</v>
      </c>
      <c r="H1629" s="7" t="s">
        <v>163</v>
      </c>
      <c r="I1629" s="7" t="s">
        <v>166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t="s">
        <v>137</v>
      </c>
    </row>
    <row r="1630" spans="1:17" x14ac:dyDescent="0.25">
      <c r="A1630" s="7" t="s">
        <v>162</v>
      </c>
      <c r="B1630" s="7" t="s">
        <v>18</v>
      </c>
      <c r="C1630" s="7" t="s">
        <v>19</v>
      </c>
      <c r="D1630" s="7" t="s">
        <v>20</v>
      </c>
      <c r="E1630" s="7" t="s">
        <v>21</v>
      </c>
      <c r="F1630" s="7" t="s">
        <v>118</v>
      </c>
      <c r="G1630" s="7" t="s">
        <v>119</v>
      </c>
      <c r="H1630" s="7" t="s">
        <v>163</v>
      </c>
      <c r="I1630" s="7" t="s">
        <v>166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t="s">
        <v>137</v>
      </c>
    </row>
    <row r="1631" spans="1:17" x14ac:dyDescent="0.25">
      <c r="A1631" s="7" t="s">
        <v>162</v>
      </c>
      <c r="B1631" s="7" t="s">
        <v>18</v>
      </c>
      <c r="C1631" s="7" t="s">
        <v>19</v>
      </c>
      <c r="D1631" s="7" t="s">
        <v>20</v>
      </c>
      <c r="E1631" s="7" t="s">
        <v>21</v>
      </c>
      <c r="F1631" s="7" t="s">
        <v>120</v>
      </c>
      <c r="G1631" s="7" t="s">
        <v>121</v>
      </c>
      <c r="H1631" s="7" t="s">
        <v>163</v>
      </c>
      <c r="I1631" s="7" t="s">
        <v>166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t="s">
        <v>137</v>
      </c>
    </row>
    <row r="1632" spans="1:17" x14ac:dyDescent="0.25">
      <c r="A1632" s="7" t="s">
        <v>162</v>
      </c>
      <c r="B1632" s="7" t="s">
        <v>18</v>
      </c>
      <c r="C1632" s="7" t="s">
        <v>19</v>
      </c>
      <c r="D1632" s="7"/>
      <c r="E1632" s="7"/>
      <c r="F1632" s="7" t="s">
        <v>122</v>
      </c>
      <c r="G1632" s="7" t="s">
        <v>123</v>
      </c>
      <c r="H1632" s="7" t="s">
        <v>163</v>
      </c>
      <c r="I1632" s="7" t="s">
        <v>166</v>
      </c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t="s">
        <v>137</v>
      </c>
    </row>
    <row r="1633" spans="1:17" x14ac:dyDescent="0.25">
      <c r="A1633" s="7" t="s">
        <v>162</v>
      </c>
      <c r="B1633" s="7" t="s">
        <v>18</v>
      </c>
      <c r="C1633" s="7" t="s">
        <v>19</v>
      </c>
      <c r="D1633" s="7"/>
      <c r="E1633" s="7"/>
      <c r="F1633" s="7" t="s">
        <v>124</v>
      </c>
      <c r="G1633" s="7" t="s">
        <v>125</v>
      </c>
      <c r="H1633" s="7" t="s">
        <v>163</v>
      </c>
      <c r="I1633" s="7" t="s">
        <v>166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t="s">
        <v>137</v>
      </c>
    </row>
    <row r="1634" spans="1:17" x14ac:dyDescent="0.25">
      <c r="A1634" s="7" t="s">
        <v>162</v>
      </c>
      <c r="B1634" s="7" t="s">
        <v>18</v>
      </c>
      <c r="C1634" s="7" t="s">
        <v>19</v>
      </c>
      <c r="D1634" s="7" t="s">
        <v>20</v>
      </c>
      <c r="E1634" s="7" t="s">
        <v>21</v>
      </c>
      <c r="F1634" s="7" t="s">
        <v>22</v>
      </c>
      <c r="G1634" s="7" t="s">
        <v>23</v>
      </c>
      <c r="H1634" s="7" t="s">
        <v>163</v>
      </c>
      <c r="I1634" s="7" t="s">
        <v>167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t="s">
        <v>137</v>
      </c>
    </row>
    <row r="1635" spans="1:17" x14ac:dyDescent="0.25">
      <c r="A1635" s="7" t="s">
        <v>162</v>
      </c>
      <c r="B1635" s="7" t="s">
        <v>18</v>
      </c>
      <c r="C1635" s="7" t="s">
        <v>19</v>
      </c>
      <c r="D1635" s="7"/>
      <c r="E1635" s="7"/>
      <c r="F1635" s="7" t="s">
        <v>27</v>
      </c>
      <c r="G1635" s="7" t="s">
        <v>28</v>
      </c>
      <c r="H1635" s="7" t="s">
        <v>163</v>
      </c>
      <c r="I1635" s="7" t="s">
        <v>167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t="s">
        <v>137</v>
      </c>
    </row>
    <row r="1636" spans="1:17" x14ac:dyDescent="0.25">
      <c r="A1636" s="7" t="s">
        <v>162</v>
      </c>
      <c r="B1636" s="7" t="s">
        <v>18</v>
      </c>
      <c r="C1636" s="7" t="s">
        <v>19</v>
      </c>
      <c r="D1636" s="7"/>
      <c r="E1636" s="7"/>
      <c r="F1636" s="7" t="s">
        <v>29</v>
      </c>
      <c r="G1636" s="7" t="s">
        <v>30</v>
      </c>
      <c r="H1636" s="7" t="s">
        <v>163</v>
      </c>
      <c r="I1636" s="7" t="s">
        <v>167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t="s">
        <v>137</v>
      </c>
    </row>
    <row r="1637" spans="1:17" x14ac:dyDescent="0.25">
      <c r="A1637" s="7" t="s">
        <v>162</v>
      </c>
      <c r="B1637" s="7" t="s">
        <v>18</v>
      </c>
      <c r="C1637" s="7" t="s">
        <v>19</v>
      </c>
      <c r="D1637" s="7"/>
      <c r="E1637" s="7"/>
      <c r="F1637" s="7" t="s">
        <v>31</v>
      </c>
      <c r="G1637" s="7" t="s">
        <v>32</v>
      </c>
      <c r="H1637" s="7" t="s">
        <v>163</v>
      </c>
      <c r="I1637" s="7" t="s">
        <v>167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t="s">
        <v>137</v>
      </c>
    </row>
    <row r="1638" spans="1:17" x14ac:dyDescent="0.25">
      <c r="A1638" s="7" t="s">
        <v>162</v>
      </c>
      <c r="B1638" s="7" t="s">
        <v>18</v>
      </c>
      <c r="C1638" s="7" t="s">
        <v>19</v>
      </c>
      <c r="D1638" s="7"/>
      <c r="E1638" s="7"/>
      <c r="F1638" s="7" t="s">
        <v>33</v>
      </c>
      <c r="G1638" s="7" t="s">
        <v>34</v>
      </c>
      <c r="H1638" s="7" t="s">
        <v>163</v>
      </c>
      <c r="I1638" s="7" t="s">
        <v>167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t="s">
        <v>137</v>
      </c>
    </row>
    <row r="1639" spans="1:17" x14ac:dyDescent="0.25">
      <c r="A1639" s="7" t="s">
        <v>162</v>
      </c>
      <c r="B1639" s="7" t="s">
        <v>18</v>
      </c>
      <c r="C1639" s="7" t="s">
        <v>19</v>
      </c>
      <c r="D1639" s="7" t="s">
        <v>20</v>
      </c>
      <c r="E1639" s="7" t="s">
        <v>21</v>
      </c>
      <c r="F1639" s="7" t="s">
        <v>35</v>
      </c>
      <c r="G1639" s="7" t="s">
        <v>36</v>
      </c>
      <c r="H1639" s="7" t="s">
        <v>163</v>
      </c>
      <c r="I1639" s="7" t="s">
        <v>167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t="s">
        <v>137</v>
      </c>
    </row>
    <row r="1640" spans="1:17" x14ac:dyDescent="0.25">
      <c r="A1640" s="7" t="s">
        <v>162</v>
      </c>
      <c r="B1640" s="7" t="s">
        <v>18</v>
      </c>
      <c r="C1640" s="7" t="s">
        <v>19</v>
      </c>
      <c r="D1640" s="7"/>
      <c r="E1640" s="7"/>
      <c r="F1640" s="7" t="s">
        <v>37</v>
      </c>
      <c r="G1640" s="7" t="s">
        <v>38</v>
      </c>
      <c r="H1640" s="7" t="s">
        <v>163</v>
      </c>
      <c r="I1640" s="7" t="s">
        <v>167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t="s">
        <v>137</v>
      </c>
    </row>
    <row r="1641" spans="1:17" x14ac:dyDescent="0.25">
      <c r="A1641" s="7" t="s">
        <v>162</v>
      </c>
      <c r="B1641" s="7" t="s">
        <v>18</v>
      </c>
      <c r="C1641" s="7" t="s">
        <v>19</v>
      </c>
      <c r="D1641" s="7"/>
      <c r="E1641" s="7"/>
      <c r="F1641" s="7" t="s">
        <v>39</v>
      </c>
      <c r="G1641" s="7" t="s">
        <v>40</v>
      </c>
      <c r="H1641" s="7" t="s">
        <v>163</v>
      </c>
      <c r="I1641" s="7" t="s">
        <v>167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t="s">
        <v>137</v>
      </c>
    </row>
    <row r="1642" spans="1:17" x14ac:dyDescent="0.25">
      <c r="A1642" s="7" t="s">
        <v>162</v>
      </c>
      <c r="B1642" s="7" t="s">
        <v>18</v>
      </c>
      <c r="C1642" s="7" t="s">
        <v>19</v>
      </c>
      <c r="D1642" s="7" t="s">
        <v>20</v>
      </c>
      <c r="E1642" s="7" t="s">
        <v>21</v>
      </c>
      <c r="F1642" s="7" t="s">
        <v>41</v>
      </c>
      <c r="G1642" s="7" t="s">
        <v>42</v>
      </c>
      <c r="H1642" s="7" t="s">
        <v>163</v>
      </c>
      <c r="I1642" s="7" t="s">
        <v>167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t="s">
        <v>137</v>
      </c>
    </row>
    <row r="1643" spans="1:17" x14ac:dyDescent="0.25">
      <c r="A1643" s="7" t="s">
        <v>162</v>
      </c>
      <c r="B1643" s="7" t="s">
        <v>18</v>
      </c>
      <c r="C1643" s="7" t="s">
        <v>19</v>
      </c>
      <c r="D1643" s="7" t="s">
        <v>20</v>
      </c>
      <c r="E1643" s="7" t="s">
        <v>21</v>
      </c>
      <c r="F1643" s="7" t="s">
        <v>43</v>
      </c>
      <c r="G1643" s="7" t="s">
        <v>44</v>
      </c>
      <c r="H1643" s="7" t="s">
        <v>163</v>
      </c>
      <c r="I1643" s="7" t="s">
        <v>167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t="s">
        <v>137</v>
      </c>
    </row>
    <row r="1644" spans="1:17" x14ac:dyDescent="0.25">
      <c r="A1644" s="7" t="s">
        <v>162</v>
      </c>
      <c r="B1644" s="7" t="s">
        <v>18</v>
      </c>
      <c r="C1644" s="7" t="s">
        <v>19</v>
      </c>
      <c r="D1644" s="7"/>
      <c r="E1644" s="7"/>
      <c r="F1644" s="7" t="s">
        <v>45</v>
      </c>
      <c r="G1644" s="7" t="s">
        <v>46</v>
      </c>
      <c r="H1644" s="7" t="s">
        <v>163</v>
      </c>
      <c r="I1644" s="7" t="s">
        <v>167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t="s">
        <v>137</v>
      </c>
    </row>
    <row r="1645" spans="1:17" x14ac:dyDescent="0.25">
      <c r="A1645" s="7" t="s">
        <v>162</v>
      </c>
      <c r="B1645" s="7" t="s">
        <v>18</v>
      </c>
      <c r="C1645" s="7" t="s">
        <v>19</v>
      </c>
      <c r="D1645" s="7" t="s">
        <v>20</v>
      </c>
      <c r="E1645" s="7" t="s">
        <v>21</v>
      </c>
      <c r="F1645" s="7" t="s">
        <v>47</v>
      </c>
      <c r="G1645" s="7" t="s">
        <v>48</v>
      </c>
      <c r="H1645" s="7" t="s">
        <v>163</v>
      </c>
      <c r="I1645" s="7" t="s">
        <v>167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t="s">
        <v>137</v>
      </c>
    </row>
    <row r="1646" spans="1:17" x14ac:dyDescent="0.25">
      <c r="A1646" s="7" t="s">
        <v>162</v>
      </c>
      <c r="B1646" s="7" t="s">
        <v>18</v>
      </c>
      <c r="C1646" s="7" t="s">
        <v>19</v>
      </c>
      <c r="D1646" s="7"/>
      <c r="E1646" s="7"/>
      <c r="F1646" s="7" t="s">
        <v>49</v>
      </c>
      <c r="G1646" s="7" t="s">
        <v>50</v>
      </c>
      <c r="H1646" s="7" t="s">
        <v>163</v>
      </c>
      <c r="I1646" s="7" t="s">
        <v>167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t="s">
        <v>137</v>
      </c>
    </row>
    <row r="1647" spans="1:17" x14ac:dyDescent="0.25">
      <c r="A1647" s="7" t="s">
        <v>162</v>
      </c>
      <c r="B1647" s="7" t="s">
        <v>18</v>
      </c>
      <c r="C1647" s="7" t="s">
        <v>19</v>
      </c>
      <c r="D1647" s="7"/>
      <c r="E1647" s="7"/>
      <c r="F1647" s="7" t="s">
        <v>51</v>
      </c>
      <c r="G1647" s="7" t="s">
        <v>52</v>
      </c>
      <c r="H1647" s="7" t="s">
        <v>163</v>
      </c>
      <c r="I1647" s="7" t="s">
        <v>167</v>
      </c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t="s">
        <v>137</v>
      </c>
    </row>
    <row r="1648" spans="1:17" x14ac:dyDescent="0.25">
      <c r="A1648" s="7" t="s">
        <v>162</v>
      </c>
      <c r="B1648" s="7" t="s">
        <v>18</v>
      </c>
      <c r="C1648" s="7" t="s">
        <v>19</v>
      </c>
      <c r="D1648" s="7"/>
      <c r="E1648" s="7"/>
      <c r="F1648" s="7" t="s">
        <v>53</v>
      </c>
      <c r="G1648" s="7" t="s">
        <v>54</v>
      </c>
      <c r="H1648" s="7" t="s">
        <v>163</v>
      </c>
      <c r="I1648" s="7" t="s">
        <v>167</v>
      </c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t="s">
        <v>137</v>
      </c>
    </row>
    <row r="1649" spans="1:17" x14ac:dyDescent="0.25">
      <c r="A1649" s="7" t="s">
        <v>162</v>
      </c>
      <c r="B1649" s="7" t="s">
        <v>18</v>
      </c>
      <c r="C1649" s="7" t="s">
        <v>19</v>
      </c>
      <c r="D1649" s="7"/>
      <c r="E1649" s="7"/>
      <c r="F1649" s="7" t="s">
        <v>55</v>
      </c>
      <c r="G1649" s="7" t="s">
        <v>56</v>
      </c>
      <c r="H1649" s="7" t="s">
        <v>163</v>
      </c>
      <c r="I1649" s="7" t="s">
        <v>167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t="s">
        <v>137</v>
      </c>
    </row>
    <row r="1650" spans="1:17" x14ac:dyDescent="0.25">
      <c r="A1650" s="7" t="s">
        <v>162</v>
      </c>
      <c r="B1650" s="7" t="s">
        <v>18</v>
      </c>
      <c r="C1650" s="7" t="s">
        <v>19</v>
      </c>
      <c r="D1650" s="7"/>
      <c r="E1650" s="7"/>
      <c r="F1650" s="7" t="s">
        <v>57</v>
      </c>
      <c r="G1650" s="7" t="s">
        <v>58</v>
      </c>
      <c r="H1650" s="7" t="s">
        <v>163</v>
      </c>
      <c r="I1650" s="7" t="s">
        <v>167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t="s">
        <v>137</v>
      </c>
    </row>
    <row r="1651" spans="1:17" x14ac:dyDescent="0.25">
      <c r="A1651" s="7" t="s">
        <v>162</v>
      </c>
      <c r="B1651" s="7" t="s">
        <v>18</v>
      </c>
      <c r="C1651" s="7" t="s">
        <v>19</v>
      </c>
      <c r="D1651" s="7" t="s">
        <v>20</v>
      </c>
      <c r="E1651" s="7" t="s">
        <v>21</v>
      </c>
      <c r="F1651" s="7" t="s">
        <v>59</v>
      </c>
      <c r="G1651" s="7" t="s">
        <v>60</v>
      </c>
      <c r="H1651" s="7" t="s">
        <v>163</v>
      </c>
      <c r="I1651" s="7" t="s">
        <v>167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t="s">
        <v>137</v>
      </c>
    </row>
    <row r="1652" spans="1:17" x14ac:dyDescent="0.25">
      <c r="A1652" s="7" t="s">
        <v>162</v>
      </c>
      <c r="B1652" s="7" t="s">
        <v>18</v>
      </c>
      <c r="C1652" s="7" t="s">
        <v>19</v>
      </c>
      <c r="D1652" s="7" t="s">
        <v>20</v>
      </c>
      <c r="E1652" s="7" t="s">
        <v>21</v>
      </c>
      <c r="F1652" s="7" t="s">
        <v>61</v>
      </c>
      <c r="G1652" s="7" t="s">
        <v>62</v>
      </c>
      <c r="H1652" s="7" t="s">
        <v>163</v>
      </c>
      <c r="I1652" s="7" t="s">
        <v>167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t="s">
        <v>137</v>
      </c>
    </row>
    <row r="1653" spans="1:17" x14ac:dyDescent="0.25">
      <c r="A1653" s="7" t="s">
        <v>162</v>
      </c>
      <c r="B1653" s="7" t="s">
        <v>18</v>
      </c>
      <c r="C1653" s="7" t="s">
        <v>19</v>
      </c>
      <c r="D1653" s="7"/>
      <c r="E1653" s="7"/>
      <c r="F1653" s="7" t="s">
        <v>63</v>
      </c>
      <c r="G1653" s="7" t="s">
        <v>64</v>
      </c>
      <c r="H1653" s="7" t="s">
        <v>163</v>
      </c>
      <c r="I1653" s="7" t="s">
        <v>167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t="s">
        <v>137</v>
      </c>
    </row>
    <row r="1654" spans="1:17" x14ac:dyDescent="0.25">
      <c r="A1654" s="7" t="s">
        <v>162</v>
      </c>
      <c r="B1654" s="7" t="s">
        <v>18</v>
      </c>
      <c r="C1654" s="7" t="s">
        <v>19</v>
      </c>
      <c r="D1654" s="7" t="s">
        <v>20</v>
      </c>
      <c r="E1654" s="7" t="s">
        <v>21</v>
      </c>
      <c r="F1654" s="7" t="s">
        <v>65</v>
      </c>
      <c r="G1654" s="7" t="s">
        <v>66</v>
      </c>
      <c r="H1654" s="7" t="s">
        <v>163</v>
      </c>
      <c r="I1654" s="7" t="s">
        <v>167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t="s">
        <v>137</v>
      </c>
    </row>
    <row r="1655" spans="1:17" x14ac:dyDescent="0.25">
      <c r="A1655" s="7" t="s">
        <v>162</v>
      </c>
      <c r="B1655" s="7" t="s">
        <v>18</v>
      </c>
      <c r="C1655" s="7" t="s">
        <v>19</v>
      </c>
      <c r="D1655" s="7"/>
      <c r="E1655" s="7"/>
      <c r="F1655" s="7" t="s">
        <v>67</v>
      </c>
      <c r="G1655" s="7" t="s">
        <v>68</v>
      </c>
      <c r="H1655" s="7" t="s">
        <v>163</v>
      </c>
      <c r="I1655" s="7" t="s">
        <v>167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t="s">
        <v>137</v>
      </c>
    </row>
    <row r="1656" spans="1:17" x14ac:dyDescent="0.25">
      <c r="A1656" s="7" t="s">
        <v>162</v>
      </c>
      <c r="B1656" s="7" t="s">
        <v>18</v>
      </c>
      <c r="C1656" s="7" t="s">
        <v>19</v>
      </c>
      <c r="D1656" s="7"/>
      <c r="E1656" s="7"/>
      <c r="F1656" s="7" t="s">
        <v>69</v>
      </c>
      <c r="G1656" s="7" t="s">
        <v>70</v>
      </c>
      <c r="H1656" s="7" t="s">
        <v>163</v>
      </c>
      <c r="I1656" s="7" t="s">
        <v>167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t="s">
        <v>137</v>
      </c>
    </row>
    <row r="1657" spans="1:17" x14ac:dyDescent="0.25">
      <c r="A1657" s="7" t="s">
        <v>162</v>
      </c>
      <c r="B1657" s="7" t="s">
        <v>18</v>
      </c>
      <c r="C1657" s="7" t="s">
        <v>19</v>
      </c>
      <c r="D1657" s="7"/>
      <c r="E1657" s="7"/>
      <c r="F1657" s="7" t="s">
        <v>71</v>
      </c>
      <c r="G1657" s="7" t="s">
        <v>72</v>
      </c>
      <c r="H1657" s="7" t="s">
        <v>163</v>
      </c>
      <c r="I1657" s="7" t="s">
        <v>167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t="s">
        <v>137</v>
      </c>
    </row>
    <row r="1658" spans="1:17" x14ac:dyDescent="0.25">
      <c r="A1658" s="7" t="s">
        <v>162</v>
      </c>
      <c r="B1658" s="7" t="s">
        <v>18</v>
      </c>
      <c r="C1658" s="7" t="s">
        <v>19</v>
      </c>
      <c r="D1658" s="7" t="s">
        <v>20</v>
      </c>
      <c r="E1658" s="7" t="s">
        <v>21</v>
      </c>
      <c r="F1658" s="7" t="s">
        <v>73</v>
      </c>
      <c r="G1658" s="7" t="s">
        <v>74</v>
      </c>
      <c r="H1658" s="7" t="s">
        <v>163</v>
      </c>
      <c r="I1658" s="7" t="s">
        <v>167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t="s">
        <v>137</v>
      </c>
    </row>
    <row r="1659" spans="1:17" x14ac:dyDescent="0.25">
      <c r="A1659" s="7" t="s">
        <v>162</v>
      </c>
      <c r="B1659" s="7" t="s">
        <v>18</v>
      </c>
      <c r="C1659" s="7" t="s">
        <v>19</v>
      </c>
      <c r="D1659" s="7" t="s">
        <v>20</v>
      </c>
      <c r="E1659" s="7" t="s">
        <v>21</v>
      </c>
      <c r="F1659" s="7" t="s">
        <v>75</v>
      </c>
      <c r="G1659" s="7" t="s">
        <v>76</v>
      </c>
      <c r="H1659" s="7" t="s">
        <v>163</v>
      </c>
      <c r="I1659" s="7" t="s">
        <v>167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t="s">
        <v>137</v>
      </c>
    </row>
    <row r="1660" spans="1:17" x14ac:dyDescent="0.25">
      <c r="A1660" s="7" t="s">
        <v>162</v>
      </c>
      <c r="B1660" s="7" t="s">
        <v>18</v>
      </c>
      <c r="C1660" s="7" t="s">
        <v>19</v>
      </c>
      <c r="D1660" s="7"/>
      <c r="E1660" s="7"/>
      <c r="F1660" s="7" t="s">
        <v>77</v>
      </c>
      <c r="G1660" s="7" t="s">
        <v>78</v>
      </c>
      <c r="H1660" s="7" t="s">
        <v>163</v>
      </c>
      <c r="I1660" s="7" t="s">
        <v>167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t="s">
        <v>137</v>
      </c>
    </row>
    <row r="1661" spans="1:17" x14ac:dyDescent="0.25">
      <c r="A1661" s="7" t="s">
        <v>162</v>
      </c>
      <c r="B1661" s="7" t="s">
        <v>18</v>
      </c>
      <c r="C1661" s="7" t="s">
        <v>19</v>
      </c>
      <c r="D1661" s="7"/>
      <c r="E1661" s="7"/>
      <c r="F1661" s="7" t="s">
        <v>79</v>
      </c>
      <c r="G1661" s="7" t="s">
        <v>80</v>
      </c>
      <c r="H1661" s="7" t="s">
        <v>163</v>
      </c>
      <c r="I1661" s="7" t="s">
        <v>167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t="s">
        <v>137</v>
      </c>
    </row>
    <row r="1662" spans="1:17" x14ac:dyDescent="0.25">
      <c r="A1662" s="7" t="s">
        <v>162</v>
      </c>
      <c r="B1662" s="7" t="s">
        <v>18</v>
      </c>
      <c r="C1662" s="7" t="s">
        <v>19</v>
      </c>
      <c r="D1662" s="7"/>
      <c r="E1662" s="7"/>
      <c r="F1662" s="7" t="s">
        <v>81</v>
      </c>
      <c r="G1662" s="7" t="s">
        <v>82</v>
      </c>
      <c r="H1662" s="7" t="s">
        <v>163</v>
      </c>
      <c r="I1662" s="7" t="s">
        <v>167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t="s">
        <v>137</v>
      </c>
    </row>
    <row r="1663" spans="1:17" x14ac:dyDescent="0.25">
      <c r="A1663" s="7" t="s">
        <v>162</v>
      </c>
      <c r="B1663" s="7" t="s">
        <v>18</v>
      </c>
      <c r="C1663" s="7" t="s">
        <v>19</v>
      </c>
      <c r="D1663" s="7"/>
      <c r="E1663" s="7"/>
      <c r="F1663" s="7" t="s">
        <v>83</v>
      </c>
      <c r="G1663" s="7" t="s">
        <v>84</v>
      </c>
      <c r="H1663" s="7" t="s">
        <v>163</v>
      </c>
      <c r="I1663" s="7" t="s">
        <v>167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t="s">
        <v>137</v>
      </c>
    </row>
    <row r="1664" spans="1:17" x14ac:dyDescent="0.25">
      <c r="A1664" s="7" t="s">
        <v>162</v>
      </c>
      <c r="B1664" s="7" t="s">
        <v>18</v>
      </c>
      <c r="C1664" s="7" t="s">
        <v>19</v>
      </c>
      <c r="D1664" s="7" t="s">
        <v>20</v>
      </c>
      <c r="E1664" s="7" t="s">
        <v>21</v>
      </c>
      <c r="F1664" s="7" t="s">
        <v>85</v>
      </c>
      <c r="G1664" s="7" t="s">
        <v>86</v>
      </c>
      <c r="H1664" s="7" t="s">
        <v>163</v>
      </c>
      <c r="I1664" s="7" t="s">
        <v>167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t="s">
        <v>137</v>
      </c>
    </row>
    <row r="1665" spans="1:17" x14ac:dyDescent="0.25">
      <c r="A1665" s="7" t="s">
        <v>162</v>
      </c>
      <c r="B1665" s="7" t="s">
        <v>18</v>
      </c>
      <c r="C1665" s="7" t="s">
        <v>19</v>
      </c>
      <c r="D1665" s="7"/>
      <c r="E1665" s="7"/>
      <c r="F1665" s="7" t="s">
        <v>87</v>
      </c>
      <c r="G1665" s="7" t="s">
        <v>88</v>
      </c>
      <c r="H1665" s="7" t="s">
        <v>163</v>
      </c>
      <c r="I1665" s="7" t="s">
        <v>167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t="s">
        <v>137</v>
      </c>
    </row>
    <row r="1666" spans="1:17" x14ac:dyDescent="0.25">
      <c r="A1666" s="7" t="s">
        <v>162</v>
      </c>
      <c r="B1666" s="7" t="s">
        <v>18</v>
      </c>
      <c r="C1666" s="7" t="s">
        <v>19</v>
      </c>
      <c r="D1666" s="7"/>
      <c r="E1666" s="7"/>
      <c r="F1666" s="7" t="s">
        <v>89</v>
      </c>
      <c r="G1666" s="7" t="s">
        <v>90</v>
      </c>
      <c r="H1666" s="7" t="s">
        <v>163</v>
      </c>
      <c r="I1666" s="7" t="s">
        <v>167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t="s">
        <v>137</v>
      </c>
    </row>
    <row r="1667" spans="1:17" x14ac:dyDescent="0.25">
      <c r="A1667" s="7" t="s">
        <v>162</v>
      </c>
      <c r="B1667" s="7" t="s">
        <v>18</v>
      </c>
      <c r="C1667" s="7" t="s">
        <v>19</v>
      </c>
      <c r="D1667" s="7"/>
      <c r="E1667" s="7"/>
      <c r="F1667" s="7" t="s">
        <v>91</v>
      </c>
      <c r="G1667" s="7" t="s">
        <v>92</v>
      </c>
      <c r="H1667" s="7" t="s">
        <v>163</v>
      </c>
      <c r="I1667" s="7" t="s">
        <v>167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t="s">
        <v>137</v>
      </c>
    </row>
    <row r="1668" spans="1:17" x14ac:dyDescent="0.25">
      <c r="A1668" s="7" t="s">
        <v>162</v>
      </c>
      <c r="B1668" s="7" t="s">
        <v>18</v>
      </c>
      <c r="C1668" s="7" t="s">
        <v>19</v>
      </c>
      <c r="D1668" s="7"/>
      <c r="E1668" s="7"/>
      <c r="F1668" s="7" t="s">
        <v>93</v>
      </c>
      <c r="G1668" s="7" t="s">
        <v>94</v>
      </c>
      <c r="H1668" s="7" t="s">
        <v>163</v>
      </c>
      <c r="I1668" s="7" t="s">
        <v>167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t="s">
        <v>137</v>
      </c>
    </row>
    <row r="1669" spans="1:17" x14ac:dyDescent="0.25">
      <c r="A1669" s="7" t="s">
        <v>162</v>
      </c>
      <c r="B1669" s="7" t="s">
        <v>18</v>
      </c>
      <c r="C1669" s="7" t="s">
        <v>19</v>
      </c>
      <c r="D1669" s="7"/>
      <c r="E1669" s="7"/>
      <c r="F1669" s="7" t="s">
        <v>95</v>
      </c>
      <c r="G1669" s="7" t="s">
        <v>96</v>
      </c>
      <c r="H1669" s="7" t="s">
        <v>163</v>
      </c>
      <c r="I1669" s="7" t="s">
        <v>167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t="s">
        <v>137</v>
      </c>
    </row>
    <row r="1670" spans="1:17" x14ac:dyDescent="0.25">
      <c r="A1670" s="7" t="s">
        <v>162</v>
      </c>
      <c r="B1670" s="7" t="s">
        <v>18</v>
      </c>
      <c r="C1670" s="7" t="s">
        <v>19</v>
      </c>
      <c r="D1670" s="7"/>
      <c r="E1670" s="7"/>
      <c r="F1670" s="7" t="s">
        <v>97</v>
      </c>
      <c r="G1670" s="7" t="s">
        <v>98</v>
      </c>
      <c r="H1670" s="7" t="s">
        <v>163</v>
      </c>
      <c r="I1670" s="7" t="s">
        <v>167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t="s">
        <v>137</v>
      </c>
    </row>
    <row r="1671" spans="1:17" x14ac:dyDescent="0.25">
      <c r="A1671" s="7" t="s">
        <v>162</v>
      </c>
      <c r="B1671" s="7" t="s">
        <v>18</v>
      </c>
      <c r="C1671" s="7" t="s">
        <v>19</v>
      </c>
      <c r="D1671" s="7"/>
      <c r="E1671" s="7"/>
      <c r="F1671" s="7" t="s">
        <v>99</v>
      </c>
      <c r="G1671" s="7" t="s">
        <v>100</v>
      </c>
      <c r="H1671" s="7" t="s">
        <v>163</v>
      </c>
      <c r="I1671" s="7" t="s">
        <v>167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t="s">
        <v>137</v>
      </c>
    </row>
    <row r="1672" spans="1:17" x14ac:dyDescent="0.25">
      <c r="A1672" s="7" t="s">
        <v>162</v>
      </c>
      <c r="B1672" s="7" t="s">
        <v>18</v>
      </c>
      <c r="C1672" s="7" t="s">
        <v>19</v>
      </c>
      <c r="D1672" s="7" t="s">
        <v>20</v>
      </c>
      <c r="E1672" s="7" t="s">
        <v>21</v>
      </c>
      <c r="F1672" s="7" t="s">
        <v>101</v>
      </c>
      <c r="G1672" s="7" t="s">
        <v>21</v>
      </c>
      <c r="H1672" s="7" t="s">
        <v>163</v>
      </c>
      <c r="I1672" s="7" t="s">
        <v>167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t="s">
        <v>137</v>
      </c>
    </row>
    <row r="1673" spans="1:17" x14ac:dyDescent="0.25">
      <c r="A1673" s="7" t="s">
        <v>162</v>
      </c>
      <c r="B1673" s="7" t="s">
        <v>18</v>
      </c>
      <c r="C1673" s="7" t="s">
        <v>19</v>
      </c>
      <c r="D1673" s="7"/>
      <c r="E1673" s="7"/>
      <c r="F1673" s="7" t="s">
        <v>102</v>
      </c>
      <c r="G1673" s="7" t="s">
        <v>103</v>
      </c>
      <c r="H1673" s="7" t="s">
        <v>163</v>
      </c>
      <c r="I1673" s="7" t="s">
        <v>167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t="s">
        <v>137</v>
      </c>
    </row>
    <row r="1674" spans="1:17" x14ac:dyDescent="0.25">
      <c r="A1674" s="7" t="s">
        <v>162</v>
      </c>
      <c r="B1674" s="7" t="s">
        <v>18</v>
      </c>
      <c r="C1674" s="7" t="s">
        <v>19</v>
      </c>
      <c r="D1674" s="7" t="s">
        <v>20</v>
      </c>
      <c r="E1674" s="7" t="s">
        <v>21</v>
      </c>
      <c r="F1674" s="7" t="s">
        <v>104</v>
      </c>
      <c r="G1674" s="7" t="s">
        <v>105</v>
      </c>
      <c r="H1674" s="7" t="s">
        <v>163</v>
      </c>
      <c r="I1674" s="7" t="s">
        <v>167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t="s">
        <v>137</v>
      </c>
    </row>
    <row r="1675" spans="1:17" x14ac:dyDescent="0.25">
      <c r="A1675" s="7" t="s">
        <v>162</v>
      </c>
      <c r="B1675" s="7" t="s">
        <v>18</v>
      </c>
      <c r="C1675" s="7" t="s">
        <v>19</v>
      </c>
      <c r="D1675" s="7"/>
      <c r="E1675" s="7"/>
      <c r="F1675" s="7" t="s">
        <v>106</v>
      </c>
      <c r="G1675" s="7" t="s">
        <v>107</v>
      </c>
      <c r="H1675" s="7" t="s">
        <v>163</v>
      </c>
      <c r="I1675" s="7" t="s">
        <v>167</v>
      </c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t="s">
        <v>137</v>
      </c>
    </row>
    <row r="1676" spans="1:17" x14ac:dyDescent="0.25">
      <c r="A1676" s="7" t="s">
        <v>162</v>
      </c>
      <c r="B1676" s="7" t="s">
        <v>18</v>
      </c>
      <c r="C1676" s="7" t="s">
        <v>19</v>
      </c>
      <c r="D1676" s="7"/>
      <c r="E1676" s="7"/>
      <c r="F1676" s="7" t="s">
        <v>108</v>
      </c>
      <c r="G1676" s="7" t="s">
        <v>109</v>
      </c>
      <c r="H1676" s="7" t="s">
        <v>163</v>
      </c>
      <c r="I1676" s="7" t="s">
        <v>167</v>
      </c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t="s">
        <v>137</v>
      </c>
    </row>
    <row r="1677" spans="1:17" x14ac:dyDescent="0.25">
      <c r="A1677" s="7" t="s">
        <v>162</v>
      </c>
      <c r="B1677" s="7" t="s">
        <v>18</v>
      </c>
      <c r="C1677" s="7" t="s">
        <v>19</v>
      </c>
      <c r="D1677" s="7"/>
      <c r="E1677" s="7"/>
      <c r="F1677" s="7" t="s">
        <v>110</v>
      </c>
      <c r="G1677" s="7" t="s">
        <v>111</v>
      </c>
      <c r="H1677" s="7" t="s">
        <v>163</v>
      </c>
      <c r="I1677" s="7" t="s">
        <v>167</v>
      </c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t="s">
        <v>137</v>
      </c>
    </row>
    <row r="1678" spans="1:17" x14ac:dyDescent="0.25">
      <c r="A1678" s="7" t="s">
        <v>162</v>
      </c>
      <c r="B1678" s="7" t="s">
        <v>18</v>
      </c>
      <c r="C1678" s="7" t="s">
        <v>19</v>
      </c>
      <c r="D1678" s="7" t="s">
        <v>20</v>
      </c>
      <c r="E1678" s="7" t="s">
        <v>21</v>
      </c>
      <c r="F1678" s="7" t="s">
        <v>112</v>
      </c>
      <c r="G1678" s="7" t="s">
        <v>113</v>
      </c>
      <c r="H1678" s="7" t="s">
        <v>163</v>
      </c>
      <c r="I1678" s="7" t="s">
        <v>167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t="s">
        <v>137</v>
      </c>
    </row>
    <row r="1679" spans="1:17" x14ac:dyDescent="0.25">
      <c r="A1679" s="7" t="s">
        <v>162</v>
      </c>
      <c r="B1679" s="7" t="s">
        <v>18</v>
      </c>
      <c r="C1679" s="7" t="s">
        <v>19</v>
      </c>
      <c r="D1679" s="7" t="s">
        <v>20</v>
      </c>
      <c r="E1679" s="7" t="s">
        <v>21</v>
      </c>
      <c r="F1679" s="7" t="s">
        <v>114</v>
      </c>
      <c r="G1679" s="7" t="s">
        <v>115</v>
      </c>
      <c r="H1679" s="7" t="s">
        <v>163</v>
      </c>
      <c r="I1679" s="7" t="s">
        <v>167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t="s">
        <v>137</v>
      </c>
    </row>
    <row r="1680" spans="1:17" x14ac:dyDescent="0.25">
      <c r="A1680" s="7" t="s">
        <v>162</v>
      </c>
      <c r="B1680" s="7" t="s">
        <v>18</v>
      </c>
      <c r="C1680" s="7" t="s">
        <v>19</v>
      </c>
      <c r="D1680" s="7" t="s">
        <v>20</v>
      </c>
      <c r="E1680" s="7" t="s">
        <v>21</v>
      </c>
      <c r="F1680" s="7" t="s">
        <v>116</v>
      </c>
      <c r="G1680" s="7" t="s">
        <v>117</v>
      </c>
      <c r="H1680" s="7" t="s">
        <v>163</v>
      </c>
      <c r="I1680" s="7" t="s">
        <v>167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t="s">
        <v>137</v>
      </c>
    </row>
    <row r="1681" spans="1:17" x14ac:dyDescent="0.25">
      <c r="A1681" s="7" t="s">
        <v>162</v>
      </c>
      <c r="B1681" s="7" t="s">
        <v>18</v>
      </c>
      <c r="C1681" s="7" t="s">
        <v>19</v>
      </c>
      <c r="D1681" s="7" t="s">
        <v>20</v>
      </c>
      <c r="E1681" s="7" t="s">
        <v>21</v>
      </c>
      <c r="F1681" s="7" t="s">
        <v>118</v>
      </c>
      <c r="G1681" s="7" t="s">
        <v>119</v>
      </c>
      <c r="H1681" s="7" t="s">
        <v>163</v>
      </c>
      <c r="I1681" s="7" t="s">
        <v>167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t="s">
        <v>137</v>
      </c>
    </row>
    <row r="1682" spans="1:17" x14ac:dyDescent="0.25">
      <c r="A1682" s="7" t="s">
        <v>162</v>
      </c>
      <c r="B1682" s="7" t="s">
        <v>18</v>
      </c>
      <c r="C1682" s="7" t="s">
        <v>19</v>
      </c>
      <c r="D1682" s="7" t="s">
        <v>20</v>
      </c>
      <c r="E1682" s="7" t="s">
        <v>21</v>
      </c>
      <c r="F1682" s="7" t="s">
        <v>120</v>
      </c>
      <c r="G1682" s="7" t="s">
        <v>121</v>
      </c>
      <c r="H1682" s="7" t="s">
        <v>163</v>
      </c>
      <c r="I1682" s="7" t="s">
        <v>167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t="s">
        <v>137</v>
      </c>
    </row>
    <row r="1683" spans="1:17" x14ac:dyDescent="0.25">
      <c r="A1683" s="7" t="s">
        <v>162</v>
      </c>
      <c r="B1683" s="7" t="s">
        <v>18</v>
      </c>
      <c r="C1683" s="7" t="s">
        <v>19</v>
      </c>
      <c r="D1683" s="7"/>
      <c r="E1683" s="7"/>
      <c r="F1683" s="7" t="s">
        <v>122</v>
      </c>
      <c r="G1683" s="7" t="s">
        <v>123</v>
      </c>
      <c r="H1683" s="7" t="s">
        <v>163</v>
      </c>
      <c r="I1683" s="7" t="s">
        <v>167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t="s">
        <v>137</v>
      </c>
    </row>
    <row r="1684" spans="1:17" x14ac:dyDescent="0.25">
      <c r="A1684" s="7" t="s">
        <v>162</v>
      </c>
      <c r="B1684" s="7" t="s">
        <v>18</v>
      </c>
      <c r="C1684" s="7" t="s">
        <v>19</v>
      </c>
      <c r="D1684" s="7"/>
      <c r="E1684" s="7"/>
      <c r="F1684" s="7" t="s">
        <v>124</v>
      </c>
      <c r="G1684" s="7" t="s">
        <v>125</v>
      </c>
      <c r="H1684" s="7" t="s">
        <v>163</v>
      </c>
      <c r="I1684" s="7" t="s">
        <v>167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t="s">
        <v>137</v>
      </c>
    </row>
    <row r="1685" spans="1:17" x14ac:dyDescent="0.25">
      <c r="A1685" s="7" t="s">
        <v>162</v>
      </c>
      <c r="B1685" s="7" t="s">
        <v>18</v>
      </c>
      <c r="C1685" s="7" t="s">
        <v>19</v>
      </c>
      <c r="D1685" s="7" t="s">
        <v>20</v>
      </c>
      <c r="E1685" s="7" t="s">
        <v>21</v>
      </c>
      <c r="F1685" s="7" t="s">
        <v>22</v>
      </c>
      <c r="G1685" s="7" t="s">
        <v>23</v>
      </c>
      <c r="H1685" s="7" t="s">
        <v>163</v>
      </c>
      <c r="I1685" s="7" t="s">
        <v>168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t="s">
        <v>137</v>
      </c>
    </row>
    <row r="1686" spans="1:17" x14ac:dyDescent="0.25">
      <c r="A1686" s="7" t="s">
        <v>162</v>
      </c>
      <c r="B1686" s="7" t="s">
        <v>18</v>
      </c>
      <c r="C1686" s="7" t="s">
        <v>19</v>
      </c>
      <c r="D1686" s="7"/>
      <c r="E1686" s="7"/>
      <c r="F1686" s="7" t="s">
        <v>27</v>
      </c>
      <c r="G1686" s="7" t="s">
        <v>28</v>
      </c>
      <c r="H1686" s="7" t="s">
        <v>163</v>
      </c>
      <c r="I1686" s="7" t="s">
        <v>168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t="s">
        <v>137</v>
      </c>
    </row>
    <row r="1687" spans="1:17" x14ac:dyDescent="0.25">
      <c r="A1687" s="7" t="s">
        <v>162</v>
      </c>
      <c r="B1687" s="7" t="s">
        <v>18</v>
      </c>
      <c r="C1687" s="7" t="s">
        <v>19</v>
      </c>
      <c r="D1687" s="7"/>
      <c r="E1687" s="7"/>
      <c r="F1687" s="7" t="s">
        <v>29</v>
      </c>
      <c r="G1687" s="7" t="s">
        <v>30</v>
      </c>
      <c r="H1687" s="7" t="s">
        <v>163</v>
      </c>
      <c r="I1687" s="7" t="s">
        <v>168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t="s">
        <v>137</v>
      </c>
    </row>
    <row r="1688" spans="1:17" x14ac:dyDescent="0.25">
      <c r="A1688" s="7" t="s">
        <v>162</v>
      </c>
      <c r="B1688" s="7" t="s">
        <v>18</v>
      </c>
      <c r="C1688" s="7" t="s">
        <v>19</v>
      </c>
      <c r="D1688" s="7"/>
      <c r="E1688" s="7"/>
      <c r="F1688" s="7" t="s">
        <v>31</v>
      </c>
      <c r="G1688" s="7" t="s">
        <v>32</v>
      </c>
      <c r="H1688" s="7" t="s">
        <v>163</v>
      </c>
      <c r="I1688" s="7" t="s">
        <v>168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t="s">
        <v>137</v>
      </c>
    </row>
    <row r="1689" spans="1:17" x14ac:dyDescent="0.25">
      <c r="A1689" s="7" t="s">
        <v>162</v>
      </c>
      <c r="B1689" s="7" t="s">
        <v>18</v>
      </c>
      <c r="C1689" s="7" t="s">
        <v>19</v>
      </c>
      <c r="D1689" s="7"/>
      <c r="E1689" s="7"/>
      <c r="F1689" s="7" t="s">
        <v>33</v>
      </c>
      <c r="G1689" s="7" t="s">
        <v>34</v>
      </c>
      <c r="H1689" s="7" t="s">
        <v>163</v>
      </c>
      <c r="I1689" s="7" t="s">
        <v>168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t="s">
        <v>137</v>
      </c>
    </row>
    <row r="1690" spans="1:17" x14ac:dyDescent="0.25">
      <c r="A1690" s="7" t="s">
        <v>162</v>
      </c>
      <c r="B1690" s="7" t="s">
        <v>18</v>
      </c>
      <c r="C1690" s="7" t="s">
        <v>19</v>
      </c>
      <c r="D1690" s="7" t="s">
        <v>20</v>
      </c>
      <c r="E1690" s="7" t="s">
        <v>21</v>
      </c>
      <c r="F1690" s="7" t="s">
        <v>35</v>
      </c>
      <c r="G1690" s="7" t="s">
        <v>36</v>
      </c>
      <c r="H1690" s="7" t="s">
        <v>163</v>
      </c>
      <c r="I1690" s="7" t="s">
        <v>168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t="s">
        <v>137</v>
      </c>
    </row>
    <row r="1691" spans="1:17" x14ac:dyDescent="0.25">
      <c r="A1691" s="7" t="s">
        <v>162</v>
      </c>
      <c r="B1691" s="7" t="s">
        <v>18</v>
      </c>
      <c r="C1691" s="7" t="s">
        <v>19</v>
      </c>
      <c r="D1691" s="7"/>
      <c r="E1691" s="7"/>
      <c r="F1691" s="7" t="s">
        <v>37</v>
      </c>
      <c r="G1691" s="7" t="s">
        <v>38</v>
      </c>
      <c r="H1691" s="7" t="s">
        <v>163</v>
      </c>
      <c r="I1691" s="7" t="s">
        <v>168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t="s">
        <v>137</v>
      </c>
    </row>
    <row r="1692" spans="1:17" x14ac:dyDescent="0.25">
      <c r="A1692" s="7" t="s">
        <v>162</v>
      </c>
      <c r="B1692" s="7" t="s">
        <v>18</v>
      </c>
      <c r="C1692" s="7" t="s">
        <v>19</v>
      </c>
      <c r="D1692" s="7"/>
      <c r="E1692" s="7"/>
      <c r="F1692" s="7" t="s">
        <v>39</v>
      </c>
      <c r="G1692" s="7" t="s">
        <v>40</v>
      </c>
      <c r="H1692" s="7" t="s">
        <v>163</v>
      </c>
      <c r="I1692" s="7" t="s">
        <v>168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t="s">
        <v>137</v>
      </c>
    </row>
    <row r="1693" spans="1:17" x14ac:dyDescent="0.25">
      <c r="A1693" s="7" t="s">
        <v>162</v>
      </c>
      <c r="B1693" s="7" t="s">
        <v>18</v>
      </c>
      <c r="C1693" s="7" t="s">
        <v>19</v>
      </c>
      <c r="D1693" s="7" t="s">
        <v>20</v>
      </c>
      <c r="E1693" s="7" t="s">
        <v>21</v>
      </c>
      <c r="F1693" s="7" t="s">
        <v>41</v>
      </c>
      <c r="G1693" s="7" t="s">
        <v>42</v>
      </c>
      <c r="H1693" s="7" t="s">
        <v>163</v>
      </c>
      <c r="I1693" s="7" t="s">
        <v>168</v>
      </c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t="s">
        <v>137</v>
      </c>
    </row>
    <row r="1694" spans="1:17" x14ac:dyDescent="0.25">
      <c r="A1694" s="7" t="s">
        <v>162</v>
      </c>
      <c r="B1694" s="7" t="s">
        <v>18</v>
      </c>
      <c r="C1694" s="7" t="s">
        <v>19</v>
      </c>
      <c r="D1694" s="7" t="s">
        <v>20</v>
      </c>
      <c r="E1694" s="7" t="s">
        <v>21</v>
      </c>
      <c r="F1694" s="7" t="s">
        <v>43</v>
      </c>
      <c r="G1694" s="7" t="s">
        <v>44</v>
      </c>
      <c r="H1694" s="7" t="s">
        <v>163</v>
      </c>
      <c r="I1694" s="7" t="s">
        <v>168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t="s">
        <v>137</v>
      </c>
    </row>
    <row r="1695" spans="1:17" x14ac:dyDescent="0.25">
      <c r="A1695" s="7" t="s">
        <v>162</v>
      </c>
      <c r="B1695" s="7" t="s">
        <v>18</v>
      </c>
      <c r="C1695" s="7" t="s">
        <v>19</v>
      </c>
      <c r="D1695" s="7"/>
      <c r="E1695" s="7"/>
      <c r="F1695" s="7" t="s">
        <v>45</v>
      </c>
      <c r="G1695" s="7" t="s">
        <v>46</v>
      </c>
      <c r="H1695" s="7" t="s">
        <v>163</v>
      </c>
      <c r="I1695" s="7" t="s">
        <v>168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t="s">
        <v>137</v>
      </c>
    </row>
    <row r="1696" spans="1:17" x14ac:dyDescent="0.25">
      <c r="A1696" s="7" t="s">
        <v>162</v>
      </c>
      <c r="B1696" s="7" t="s">
        <v>18</v>
      </c>
      <c r="C1696" s="7" t="s">
        <v>19</v>
      </c>
      <c r="D1696" s="7" t="s">
        <v>20</v>
      </c>
      <c r="E1696" s="7" t="s">
        <v>21</v>
      </c>
      <c r="F1696" s="7" t="s">
        <v>47</v>
      </c>
      <c r="G1696" s="7" t="s">
        <v>48</v>
      </c>
      <c r="H1696" s="7" t="s">
        <v>163</v>
      </c>
      <c r="I1696" s="7" t="s">
        <v>168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t="s">
        <v>137</v>
      </c>
    </row>
    <row r="1697" spans="1:17" x14ac:dyDescent="0.25">
      <c r="A1697" s="7" t="s">
        <v>162</v>
      </c>
      <c r="B1697" s="7" t="s">
        <v>18</v>
      </c>
      <c r="C1697" s="7" t="s">
        <v>19</v>
      </c>
      <c r="D1697" s="7"/>
      <c r="E1697" s="7"/>
      <c r="F1697" s="7" t="s">
        <v>49</v>
      </c>
      <c r="G1697" s="7" t="s">
        <v>50</v>
      </c>
      <c r="H1697" s="7" t="s">
        <v>163</v>
      </c>
      <c r="I1697" s="7" t="s">
        <v>168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t="s">
        <v>137</v>
      </c>
    </row>
    <row r="1698" spans="1:17" x14ac:dyDescent="0.25">
      <c r="A1698" s="7" t="s">
        <v>162</v>
      </c>
      <c r="B1698" s="7" t="s">
        <v>18</v>
      </c>
      <c r="C1698" s="7" t="s">
        <v>19</v>
      </c>
      <c r="D1698" s="7"/>
      <c r="E1698" s="7"/>
      <c r="F1698" s="7" t="s">
        <v>51</v>
      </c>
      <c r="G1698" s="7" t="s">
        <v>52</v>
      </c>
      <c r="H1698" s="7" t="s">
        <v>163</v>
      </c>
      <c r="I1698" s="7" t="s">
        <v>168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t="s">
        <v>137</v>
      </c>
    </row>
    <row r="1699" spans="1:17" x14ac:dyDescent="0.25">
      <c r="A1699" s="7" t="s">
        <v>162</v>
      </c>
      <c r="B1699" s="7" t="s">
        <v>18</v>
      </c>
      <c r="C1699" s="7" t="s">
        <v>19</v>
      </c>
      <c r="D1699" s="7"/>
      <c r="E1699" s="7"/>
      <c r="F1699" s="7" t="s">
        <v>53</v>
      </c>
      <c r="G1699" s="7" t="s">
        <v>54</v>
      </c>
      <c r="H1699" s="7" t="s">
        <v>163</v>
      </c>
      <c r="I1699" s="7" t="s">
        <v>168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t="s">
        <v>137</v>
      </c>
    </row>
    <row r="1700" spans="1:17" x14ac:dyDescent="0.25">
      <c r="A1700" s="7" t="s">
        <v>162</v>
      </c>
      <c r="B1700" s="7" t="s">
        <v>18</v>
      </c>
      <c r="C1700" s="7" t="s">
        <v>19</v>
      </c>
      <c r="D1700" s="7"/>
      <c r="E1700" s="7"/>
      <c r="F1700" s="7" t="s">
        <v>55</v>
      </c>
      <c r="G1700" s="7" t="s">
        <v>56</v>
      </c>
      <c r="H1700" s="7" t="s">
        <v>163</v>
      </c>
      <c r="I1700" s="7" t="s">
        <v>168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t="s">
        <v>137</v>
      </c>
    </row>
    <row r="1701" spans="1:17" x14ac:dyDescent="0.25">
      <c r="A1701" s="7" t="s">
        <v>162</v>
      </c>
      <c r="B1701" s="7" t="s">
        <v>18</v>
      </c>
      <c r="C1701" s="7" t="s">
        <v>19</v>
      </c>
      <c r="D1701" s="7"/>
      <c r="E1701" s="7"/>
      <c r="F1701" s="7" t="s">
        <v>57</v>
      </c>
      <c r="G1701" s="7" t="s">
        <v>58</v>
      </c>
      <c r="H1701" s="7" t="s">
        <v>163</v>
      </c>
      <c r="I1701" s="7" t="s">
        <v>168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t="s">
        <v>137</v>
      </c>
    </row>
    <row r="1702" spans="1:17" x14ac:dyDescent="0.25">
      <c r="A1702" s="7" t="s">
        <v>162</v>
      </c>
      <c r="B1702" s="7" t="s">
        <v>18</v>
      </c>
      <c r="C1702" s="7" t="s">
        <v>19</v>
      </c>
      <c r="D1702" s="7" t="s">
        <v>20</v>
      </c>
      <c r="E1702" s="7" t="s">
        <v>21</v>
      </c>
      <c r="F1702" s="7" t="s">
        <v>59</v>
      </c>
      <c r="G1702" s="7" t="s">
        <v>60</v>
      </c>
      <c r="H1702" s="7" t="s">
        <v>163</v>
      </c>
      <c r="I1702" s="7" t="s">
        <v>168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t="s">
        <v>137</v>
      </c>
    </row>
    <row r="1703" spans="1:17" x14ac:dyDescent="0.25">
      <c r="A1703" s="7" t="s">
        <v>162</v>
      </c>
      <c r="B1703" s="7" t="s">
        <v>18</v>
      </c>
      <c r="C1703" s="7" t="s">
        <v>19</v>
      </c>
      <c r="D1703" s="7" t="s">
        <v>20</v>
      </c>
      <c r="E1703" s="7" t="s">
        <v>21</v>
      </c>
      <c r="F1703" s="7" t="s">
        <v>61</v>
      </c>
      <c r="G1703" s="7" t="s">
        <v>62</v>
      </c>
      <c r="H1703" s="7" t="s">
        <v>163</v>
      </c>
      <c r="I1703" s="7" t="s">
        <v>168</v>
      </c>
      <c r="J1703" s="8">
        <v>2.9213869534745647</v>
      </c>
      <c r="K1703" s="8">
        <v>2.6328549086869533</v>
      </c>
      <c r="L1703" s="8">
        <v>0.7694187861002969</v>
      </c>
      <c r="M1703" s="8">
        <v>12.106323712546859</v>
      </c>
      <c r="N1703" s="8">
        <v>114.9800198478631</v>
      </c>
      <c r="O1703" s="8">
        <v>6.6723035357135112</v>
      </c>
      <c r="P1703" s="8">
        <v>0</v>
      </c>
      <c r="Q1703" t="s">
        <v>137</v>
      </c>
    </row>
    <row r="1704" spans="1:17" x14ac:dyDescent="0.25">
      <c r="A1704" s="7" t="s">
        <v>162</v>
      </c>
      <c r="B1704" s="7" t="s">
        <v>18</v>
      </c>
      <c r="C1704" s="7" t="s">
        <v>19</v>
      </c>
      <c r="D1704" s="7"/>
      <c r="E1704" s="7"/>
      <c r="F1704" s="7" t="s">
        <v>63</v>
      </c>
      <c r="G1704" s="7" t="s">
        <v>64</v>
      </c>
      <c r="H1704" s="7" t="s">
        <v>163</v>
      </c>
      <c r="I1704" s="7" t="s">
        <v>168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t="s">
        <v>137</v>
      </c>
    </row>
    <row r="1705" spans="1:17" x14ac:dyDescent="0.25">
      <c r="A1705" s="7" t="s">
        <v>162</v>
      </c>
      <c r="B1705" s="7" t="s">
        <v>18</v>
      </c>
      <c r="C1705" s="7" t="s">
        <v>19</v>
      </c>
      <c r="D1705" s="7" t="s">
        <v>20</v>
      </c>
      <c r="E1705" s="7" t="s">
        <v>21</v>
      </c>
      <c r="F1705" s="7" t="s">
        <v>65</v>
      </c>
      <c r="G1705" s="7" t="s">
        <v>66</v>
      </c>
      <c r="H1705" s="7" t="s">
        <v>163</v>
      </c>
      <c r="I1705" s="7" t="s">
        <v>168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t="s">
        <v>137</v>
      </c>
    </row>
    <row r="1706" spans="1:17" x14ac:dyDescent="0.25">
      <c r="A1706" s="7" t="s">
        <v>162</v>
      </c>
      <c r="B1706" s="7" t="s">
        <v>18</v>
      </c>
      <c r="C1706" s="7" t="s">
        <v>19</v>
      </c>
      <c r="D1706" s="7"/>
      <c r="E1706" s="7"/>
      <c r="F1706" s="7" t="s">
        <v>67</v>
      </c>
      <c r="G1706" s="7" t="s">
        <v>68</v>
      </c>
      <c r="H1706" s="7" t="s">
        <v>163</v>
      </c>
      <c r="I1706" s="7" t="s">
        <v>168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t="s">
        <v>137</v>
      </c>
    </row>
    <row r="1707" spans="1:17" x14ac:dyDescent="0.25">
      <c r="A1707" s="7" t="s">
        <v>162</v>
      </c>
      <c r="B1707" s="7" t="s">
        <v>18</v>
      </c>
      <c r="C1707" s="7" t="s">
        <v>19</v>
      </c>
      <c r="D1707" s="7"/>
      <c r="E1707" s="7"/>
      <c r="F1707" s="7" t="s">
        <v>69</v>
      </c>
      <c r="G1707" s="7" t="s">
        <v>70</v>
      </c>
      <c r="H1707" s="7" t="s">
        <v>163</v>
      </c>
      <c r="I1707" s="7" t="s">
        <v>168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t="s">
        <v>137</v>
      </c>
    </row>
    <row r="1708" spans="1:17" x14ac:dyDescent="0.25">
      <c r="A1708" s="7" t="s">
        <v>162</v>
      </c>
      <c r="B1708" s="7" t="s">
        <v>18</v>
      </c>
      <c r="C1708" s="7" t="s">
        <v>19</v>
      </c>
      <c r="D1708" s="7"/>
      <c r="E1708" s="7"/>
      <c r="F1708" s="7" t="s">
        <v>71</v>
      </c>
      <c r="G1708" s="7" t="s">
        <v>72</v>
      </c>
      <c r="H1708" s="7" t="s">
        <v>163</v>
      </c>
      <c r="I1708" s="7" t="s">
        <v>168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t="s">
        <v>137</v>
      </c>
    </row>
    <row r="1709" spans="1:17" x14ac:dyDescent="0.25">
      <c r="A1709" s="7" t="s">
        <v>162</v>
      </c>
      <c r="B1709" s="7" t="s">
        <v>18</v>
      </c>
      <c r="C1709" s="7" t="s">
        <v>19</v>
      </c>
      <c r="D1709" s="7" t="s">
        <v>20</v>
      </c>
      <c r="E1709" s="7" t="s">
        <v>21</v>
      </c>
      <c r="F1709" s="7" t="s">
        <v>73</v>
      </c>
      <c r="G1709" s="7" t="s">
        <v>74</v>
      </c>
      <c r="H1709" s="7" t="s">
        <v>163</v>
      </c>
      <c r="I1709" s="7" t="s">
        <v>168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t="s">
        <v>137</v>
      </c>
    </row>
    <row r="1710" spans="1:17" x14ac:dyDescent="0.25">
      <c r="A1710" s="7" t="s">
        <v>162</v>
      </c>
      <c r="B1710" s="7" t="s">
        <v>18</v>
      </c>
      <c r="C1710" s="7" t="s">
        <v>19</v>
      </c>
      <c r="D1710" s="7" t="s">
        <v>20</v>
      </c>
      <c r="E1710" s="7" t="s">
        <v>21</v>
      </c>
      <c r="F1710" s="7" t="s">
        <v>75</v>
      </c>
      <c r="G1710" s="7" t="s">
        <v>76</v>
      </c>
      <c r="H1710" s="7" t="s">
        <v>163</v>
      </c>
      <c r="I1710" s="7" t="s">
        <v>168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t="s">
        <v>137</v>
      </c>
    </row>
    <row r="1711" spans="1:17" x14ac:dyDescent="0.25">
      <c r="A1711" s="7" t="s">
        <v>162</v>
      </c>
      <c r="B1711" s="7" t="s">
        <v>18</v>
      </c>
      <c r="C1711" s="7" t="s">
        <v>19</v>
      </c>
      <c r="D1711" s="7"/>
      <c r="E1711" s="7"/>
      <c r="F1711" s="7" t="s">
        <v>77</v>
      </c>
      <c r="G1711" s="7" t="s">
        <v>78</v>
      </c>
      <c r="H1711" s="7" t="s">
        <v>163</v>
      </c>
      <c r="I1711" s="7" t="s">
        <v>168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t="s">
        <v>137</v>
      </c>
    </row>
    <row r="1712" spans="1:17" x14ac:dyDescent="0.25">
      <c r="A1712" s="7" t="s">
        <v>162</v>
      </c>
      <c r="B1712" s="7" t="s">
        <v>18</v>
      </c>
      <c r="C1712" s="7" t="s">
        <v>19</v>
      </c>
      <c r="D1712" s="7"/>
      <c r="E1712" s="7"/>
      <c r="F1712" s="7" t="s">
        <v>79</v>
      </c>
      <c r="G1712" s="7" t="s">
        <v>80</v>
      </c>
      <c r="H1712" s="7" t="s">
        <v>163</v>
      </c>
      <c r="I1712" s="7" t="s">
        <v>168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t="s">
        <v>137</v>
      </c>
    </row>
    <row r="1713" spans="1:17" x14ac:dyDescent="0.25">
      <c r="A1713" s="7" t="s">
        <v>162</v>
      </c>
      <c r="B1713" s="7" t="s">
        <v>18</v>
      </c>
      <c r="C1713" s="7" t="s">
        <v>19</v>
      </c>
      <c r="D1713" s="7"/>
      <c r="E1713" s="7"/>
      <c r="F1713" s="7" t="s">
        <v>81</v>
      </c>
      <c r="G1713" s="7" t="s">
        <v>82</v>
      </c>
      <c r="H1713" s="7" t="s">
        <v>163</v>
      </c>
      <c r="I1713" s="7" t="s">
        <v>168</v>
      </c>
      <c r="J1713" s="8">
        <v>0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t="s">
        <v>137</v>
      </c>
    </row>
    <row r="1714" spans="1:17" x14ac:dyDescent="0.25">
      <c r="A1714" s="7" t="s">
        <v>162</v>
      </c>
      <c r="B1714" s="7" t="s">
        <v>18</v>
      </c>
      <c r="C1714" s="7" t="s">
        <v>19</v>
      </c>
      <c r="D1714" s="7"/>
      <c r="E1714" s="7"/>
      <c r="F1714" s="7" t="s">
        <v>83</v>
      </c>
      <c r="G1714" s="7" t="s">
        <v>84</v>
      </c>
      <c r="H1714" s="7" t="s">
        <v>163</v>
      </c>
      <c r="I1714" s="7" t="s">
        <v>168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t="s">
        <v>137</v>
      </c>
    </row>
    <row r="1715" spans="1:17" x14ac:dyDescent="0.25">
      <c r="A1715" s="7" t="s">
        <v>162</v>
      </c>
      <c r="B1715" s="7" t="s">
        <v>18</v>
      </c>
      <c r="C1715" s="7" t="s">
        <v>19</v>
      </c>
      <c r="D1715" s="7" t="s">
        <v>20</v>
      </c>
      <c r="E1715" s="7" t="s">
        <v>21</v>
      </c>
      <c r="F1715" s="7" t="s">
        <v>85</v>
      </c>
      <c r="G1715" s="7" t="s">
        <v>86</v>
      </c>
      <c r="H1715" s="7" t="s">
        <v>163</v>
      </c>
      <c r="I1715" s="7" t="s">
        <v>168</v>
      </c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t="s">
        <v>137</v>
      </c>
    </row>
    <row r="1716" spans="1:17" x14ac:dyDescent="0.25">
      <c r="A1716" s="7" t="s">
        <v>162</v>
      </c>
      <c r="B1716" s="7" t="s">
        <v>18</v>
      </c>
      <c r="C1716" s="7" t="s">
        <v>19</v>
      </c>
      <c r="D1716" s="7"/>
      <c r="E1716" s="7"/>
      <c r="F1716" s="7" t="s">
        <v>87</v>
      </c>
      <c r="G1716" s="7" t="s">
        <v>88</v>
      </c>
      <c r="H1716" s="7" t="s">
        <v>163</v>
      </c>
      <c r="I1716" s="7" t="s">
        <v>168</v>
      </c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t="s">
        <v>137</v>
      </c>
    </row>
    <row r="1717" spans="1:17" x14ac:dyDescent="0.25">
      <c r="A1717" s="7" t="s">
        <v>162</v>
      </c>
      <c r="B1717" s="7" t="s">
        <v>18</v>
      </c>
      <c r="C1717" s="7" t="s">
        <v>19</v>
      </c>
      <c r="D1717" s="7"/>
      <c r="E1717" s="7"/>
      <c r="F1717" s="7" t="s">
        <v>89</v>
      </c>
      <c r="G1717" s="7" t="s">
        <v>90</v>
      </c>
      <c r="H1717" s="7" t="s">
        <v>163</v>
      </c>
      <c r="I1717" s="7" t="s">
        <v>168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t="s">
        <v>137</v>
      </c>
    </row>
    <row r="1718" spans="1:17" x14ac:dyDescent="0.25">
      <c r="A1718" s="7" t="s">
        <v>162</v>
      </c>
      <c r="B1718" s="7" t="s">
        <v>18</v>
      </c>
      <c r="C1718" s="7" t="s">
        <v>19</v>
      </c>
      <c r="D1718" s="7"/>
      <c r="E1718" s="7"/>
      <c r="F1718" s="7" t="s">
        <v>91</v>
      </c>
      <c r="G1718" s="7" t="s">
        <v>92</v>
      </c>
      <c r="H1718" s="7" t="s">
        <v>163</v>
      </c>
      <c r="I1718" s="7" t="s">
        <v>168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t="s">
        <v>137</v>
      </c>
    </row>
    <row r="1719" spans="1:17" x14ac:dyDescent="0.25">
      <c r="A1719" s="7" t="s">
        <v>162</v>
      </c>
      <c r="B1719" s="7" t="s">
        <v>18</v>
      </c>
      <c r="C1719" s="7" t="s">
        <v>19</v>
      </c>
      <c r="D1719" s="7"/>
      <c r="E1719" s="7"/>
      <c r="F1719" s="7" t="s">
        <v>93</v>
      </c>
      <c r="G1719" s="7" t="s">
        <v>94</v>
      </c>
      <c r="H1719" s="7" t="s">
        <v>163</v>
      </c>
      <c r="I1719" s="7" t="s">
        <v>168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t="s">
        <v>137</v>
      </c>
    </row>
    <row r="1720" spans="1:17" x14ac:dyDescent="0.25">
      <c r="A1720" s="7" t="s">
        <v>162</v>
      </c>
      <c r="B1720" s="7" t="s">
        <v>18</v>
      </c>
      <c r="C1720" s="7" t="s">
        <v>19</v>
      </c>
      <c r="D1720" s="7"/>
      <c r="E1720" s="7"/>
      <c r="F1720" s="7" t="s">
        <v>95</v>
      </c>
      <c r="G1720" s="7" t="s">
        <v>96</v>
      </c>
      <c r="H1720" s="7" t="s">
        <v>163</v>
      </c>
      <c r="I1720" s="7" t="s">
        <v>168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t="s">
        <v>137</v>
      </c>
    </row>
    <row r="1721" spans="1:17" x14ac:dyDescent="0.25">
      <c r="A1721" s="7" t="s">
        <v>162</v>
      </c>
      <c r="B1721" s="7" t="s">
        <v>18</v>
      </c>
      <c r="C1721" s="7" t="s">
        <v>19</v>
      </c>
      <c r="D1721" s="7"/>
      <c r="E1721" s="7"/>
      <c r="F1721" s="7" t="s">
        <v>97</v>
      </c>
      <c r="G1721" s="7" t="s">
        <v>98</v>
      </c>
      <c r="H1721" s="7" t="s">
        <v>163</v>
      </c>
      <c r="I1721" s="7" t="s">
        <v>168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t="s">
        <v>137</v>
      </c>
    </row>
    <row r="1722" spans="1:17" x14ac:dyDescent="0.25">
      <c r="A1722" s="7" t="s">
        <v>162</v>
      </c>
      <c r="B1722" s="7" t="s">
        <v>18</v>
      </c>
      <c r="C1722" s="7" t="s">
        <v>19</v>
      </c>
      <c r="D1722" s="7"/>
      <c r="E1722" s="7"/>
      <c r="F1722" s="7" t="s">
        <v>99</v>
      </c>
      <c r="G1722" s="7" t="s">
        <v>100</v>
      </c>
      <c r="H1722" s="7" t="s">
        <v>163</v>
      </c>
      <c r="I1722" s="7" t="s">
        <v>168</v>
      </c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t="s">
        <v>137</v>
      </c>
    </row>
    <row r="1723" spans="1:17" x14ac:dyDescent="0.25">
      <c r="A1723" s="7" t="s">
        <v>162</v>
      </c>
      <c r="B1723" s="7" t="s">
        <v>18</v>
      </c>
      <c r="C1723" s="7" t="s">
        <v>19</v>
      </c>
      <c r="D1723" s="7" t="s">
        <v>20</v>
      </c>
      <c r="E1723" s="7" t="s">
        <v>21</v>
      </c>
      <c r="F1723" s="7" t="s">
        <v>101</v>
      </c>
      <c r="G1723" s="7" t="s">
        <v>21</v>
      </c>
      <c r="H1723" s="7" t="s">
        <v>163</v>
      </c>
      <c r="I1723" s="7" t="s">
        <v>168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t="s">
        <v>137</v>
      </c>
    </row>
    <row r="1724" spans="1:17" x14ac:dyDescent="0.25">
      <c r="A1724" s="7" t="s">
        <v>162</v>
      </c>
      <c r="B1724" s="7" t="s">
        <v>18</v>
      </c>
      <c r="C1724" s="7" t="s">
        <v>19</v>
      </c>
      <c r="D1724" s="7"/>
      <c r="E1724" s="7"/>
      <c r="F1724" s="7" t="s">
        <v>102</v>
      </c>
      <c r="G1724" s="7" t="s">
        <v>103</v>
      </c>
      <c r="H1724" s="7" t="s">
        <v>163</v>
      </c>
      <c r="I1724" s="7" t="s">
        <v>168</v>
      </c>
      <c r="J1724" s="8">
        <v>11.268206820544748</v>
      </c>
      <c r="K1724" s="8">
        <v>10.155297504935389</v>
      </c>
      <c r="L1724" s="8">
        <v>2.9677581749582878</v>
      </c>
      <c r="M1724" s="8">
        <v>46.69582003410931</v>
      </c>
      <c r="N1724" s="8">
        <v>443.49436227032908</v>
      </c>
      <c r="O1724" s="8">
        <v>25.736027923466398</v>
      </c>
      <c r="P1724" s="8">
        <v>0</v>
      </c>
      <c r="Q1724" t="s">
        <v>137</v>
      </c>
    </row>
    <row r="1725" spans="1:17" x14ac:dyDescent="0.25">
      <c r="A1725" s="7" t="s">
        <v>162</v>
      </c>
      <c r="B1725" s="7" t="s">
        <v>18</v>
      </c>
      <c r="C1725" s="7" t="s">
        <v>19</v>
      </c>
      <c r="D1725" s="7" t="s">
        <v>20</v>
      </c>
      <c r="E1725" s="7" t="s">
        <v>21</v>
      </c>
      <c r="F1725" s="7" t="s">
        <v>104</v>
      </c>
      <c r="G1725" s="7" t="s">
        <v>105</v>
      </c>
      <c r="H1725" s="7" t="s">
        <v>163</v>
      </c>
      <c r="I1725" s="7" t="s">
        <v>168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t="s">
        <v>137</v>
      </c>
    </row>
    <row r="1726" spans="1:17" x14ac:dyDescent="0.25">
      <c r="A1726" s="7" t="s">
        <v>162</v>
      </c>
      <c r="B1726" s="7" t="s">
        <v>18</v>
      </c>
      <c r="C1726" s="7" t="s">
        <v>19</v>
      </c>
      <c r="D1726" s="7"/>
      <c r="E1726" s="7"/>
      <c r="F1726" s="7" t="s">
        <v>106</v>
      </c>
      <c r="G1726" s="7" t="s">
        <v>107</v>
      </c>
      <c r="H1726" s="7" t="s">
        <v>163</v>
      </c>
      <c r="I1726" s="7" t="s">
        <v>168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t="s">
        <v>137</v>
      </c>
    </row>
    <row r="1727" spans="1:17" x14ac:dyDescent="0.25">
      <c r="A1727" s="7" t="s">
        <v>162</v>
      </c>
      <c r="B1727" s="7" t="s">
        <v>18</v>
      </c>
      <c r="C1727" s="7" t="s">
        <v>19</v>
      </c>
      <c r="D1727" s="7"/>
      <c r="E1727" s="7"/>
      <c r="F1727" s="7" t="s">
        <v>108</v>
      </c>
      <c r="G1727" s="7" t="s">
        <v>109</v>
      </c>
      <c r="H1727" s="7" t="s">
        <v>163</v>
      </c>
      <c r="I1727" s="7" t="s">
        <v>168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t="s">
        <v>137</v>
      </c>
    </row>
    <row r="1728" spans="1:17" x14ac:dyDescent="0.25">
      <c r="A1728" s="7" t="s">
        <v>162</v>
      </c>
      <c r="B1728" s="7" t="s">
        <v>18</v>
      </c>
      <c r="C1728" s="7" t="s">
        <v>19</v>
      </c>
      <c r="D1728" s="7"/>
      <c r="E1728" s="7"/>
      <c r="F1728" s="7" t="s">
        <v>110</v>
      </c>
      <c r="G1728" s="7" t="s">
        <v>111</v>
      </c>
      <c r="H1728" s="7" t="s">
        <v>163</v>
      </c>
      <c r="I1728" s="7" t="s">
        <v>168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t="s">
        <v>137</v>
      </c>
    </row>
    <row r="1729" spans="1:17" x14ac:dyDescent="0.25">
      <c r="A1729" s="7" t="s">
        <v>162</v>
      </c>
      <c r="B1729" s="7" t="s">
        <v>18</v>
      </c>
      <c r="C1729" s="7" t="s">
        <v>19</v>
      </c>
      <c r="D1729" s="7" t="s">
        <v>20</v>
      </c>
      <c r="E1729" s="7" t="s">
        <v>21</v>
      </c>
      <c r="F1729" s="7" t="s">
        <v>112</v>
      </c>
      <c r="G1729" s="7" t="s">
        <v>113</v>
      </c>
      <c r="H1729" s="7" t="s">
        <v>163</v>
      </c>
      <c r="I1729" s="7" t="s">
        <v>168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t="s">
        <v>137</v>
      </c>
    </row>
    <row r="1730" spans="1:17" x14ac:dyDescent="0.25">
      <c r="A1730" s="7" t="s">
        <v>162</v>
      </c>
      <c r="B1730" s="7" t="s">
        <v>18</v>
      </c>
      <c r="C1730" s="7" t="s">
        <v>19</v>
      </c>
      <c r="D1730" s="7" t="s">
        <v>20</v>
      </c>
      <c r="E1730" s="7" t="s">
        <v>21</v>
      </c>
      <c r="F1730" s="7" t="s">
        <v>114</v>
      </c>
      <c r="G1730" s="7" t="s">
        <v>115</v>
      </c>
      <c r="H1730" s="7" t="s">
        <v>163</v>
      </c>
      <c r="I1730" s="7" t="s">
        <v>168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t="s">
        <v>137</v>
      </c>
    </row>
    <row r="1731" spans="1:17" x14ac:dyDescent="0.25">
      <c r="A1731" s="7" t="s">
        <v>162</v>
      </c>
      <c r="B1731" s="7" t="s">
        <v>18</v>
      </c>
      <c r="C1731" s="7" t="s">
        <v>19</v>
      </c>
      <c r="D1731" s="7" t="s">
        <v>20</v>
      </c>
      <c r="E1731" s="7" t="s">
        <v>21</v>
      </c>
      <c r="F1731" s="7" t="s">
        <v>116</v>
      </c>
      <c r="G1731" s="7" t="s">
        <v>117</v>
      </c>
      <c r="H1731" s="7" t="s">
        <v>163</v>
      </c>
      <c r="I1731" s="7" t="s">
        <v>168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t="s">
        <v>137</v>
      </c>
    </row>
    <row r="1732" spans="1:17" x14ac:dyDescent="0.25">
      <c r="A1732" s="7" t="s">
        <v>162</v>
      </c>
      <c r="B1732" s="7" t="s">
        <v>18</v>
      </c>
      <c r="C1732" s="7" t="s">
        <v>19</v>
      </c>
      <c r="D1732" s="7" t="s">
        <v>20</v>
      </c>
      <c r="E1732" s="7" t="s">
        <v>21</v>
      </c>
      <c r="F1732" s="7" t="s">
        <v>118</v>
      </c>
      <c r="G1732" s="7" t="s">
        <v>119</v>
      </c>
      <c r="H1732" s="7" t="s">
        <v>163</v>
      </c>
      <c r="I1732" s="7" t="s">
        <v>168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t="s">
        <v>137</v>
      </c>
    </row>
    <row r="1733" spans="1:17" x14ac:dyDescent="0.25">
      <c r="A1733" s="7" t="s">
        <v>162</v>
      </c>
      <c r="B1733" s="7" t="s">
        <v>18</v>
      </c>
      <c r="C1733" s="7" t="s">
        <v>19</v>
      </c>
      <c r="D1733" s="7" t="s">
        <v>20</v>
      </c>
      <c r="E1733" s="7" t="s">
        <v>21</v>
      </c>
      <c r="F1733" s="7" t="s">
        <v>120</v>
      </c>
      <c r="G1733" s="7" t="s">
        <v>121</v>
      </c>
      <c r="H1733" s="7" t="s">
        <v>163</v>
      </c>
      <c r="I1733" s="7" t="s">
        <v>168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t="s">
        <v>137</v>
      </c>
    </row>
    <row r="1734" spans="1:17" x14ac:dyDescent="0.25">
      <c r="A1734" s="7" t="s">
        <v>162</v>
      </c>
      <c r="B1734" s="7" t="s">
        <v>18</v>
      </c>
      <c r="C1734" s="7" t="s">
        <v>19</v>
      </c>
      <c r="D1734" s="7"/>
      <c r="E1734" s="7"/>
      <c r="F1734" s="7" t="s">
        <v>122</v>
      </c>
      <c r="G1734" s="7" t="s">
        <v>123</v>
      </c>
      <c r="H1734" s="7" t="s">
        <v>163</v>
      </c>
      <c r="I1734" s="7" t="s">
        <v>168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t="s">
        <v>137</v>
      </c>
    </row>
    <row r="1735" spans="1:17" x14ac:dyDescent="0.25">
      <c r="A1735" s="7" t="s">
        <v>162</v>
      </c>
      <c r="B1735" s="7" t="s">
        <v>18</v>
      </c>
      <c r="C1735" s="7" t="s">
        <v>19</v>
      </c>
      <c r="D1735" s="7"/>
      <c r="E1735" s="7"/>
      <c r="F1735" s="7" t="s">
        <v>124</v>
      </c>
      <c r="G1735" s="7" t="s">
        <v>125</v>
      </c>
      <c r="H1735" s="7" t="s">
        <v>163</v>
      </c>
      <c r="I1735" s="7" t="s">
        <v>168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t="s">
        <v>137</v>
      </c>
    </row>
    <row r="1736" spans="1:17" x14ac:dyDescent="0.25">
      <c r="A1736" s="7" t="s">
        <v>162</v>
      </c>
      <c r="B1736" s="7" t="s">
        <v>18</v>
      </c>
      <c r="C1736" s="7" t="s">
        <v>19</v>
      </c>
      <c r="D1736" s="7" t="s">
        <v>20</v>
      </c>
      <c r="E1736" s="7" t="s">
        <v>21</v>
      </c>
      <c r="F1736" s="7" t="s">
        <v>22</v>
      </c>
      <c r="G1736" s="7" t="s">
        <v>23</v>
      </c>
      <c r="H1736" s="7" t="s">
        <v>163</v>
      </c>
      <c r="I1736" s="7" t="s">
        <v>169</v>
      </c>
      <c r="J1736" s="8">
        <v>0.37508116033758632</v>
      </c>
      <c r="K1736" s="8">
        <v>0.33693731352359452</v>
      </c>
      <c r="L1736" s="8">
        <v>0.13562256644974874</v>
      </c>
      <c r="M1736" s="8">
        <v>1.4897291283464589</v>
      </c>
      <c r="N1736" s="8">
        <v>15.11555885134465</v>
      </c>
      <c r="O1736" s="8">
        <v>0.55944308660521347</v>
      </c>
      <c r="P1736" s="8">
        <v>0</v>
      </c>
      <c r="Q1736" t="s">
        <v>137</v>
      </c>
    </row>
    <row r="1737" spans="1:17" x14ac:dyDescent="0.25">
      <c r="A1737" s="7" t="s">
        <v>162</v>
      </c>
      <c r="B1737" s="7" t="s">
        <v>18</v>
      </c>
      <c r="C1737" s="7" t="s">
        <v>19</v>
      </c>
      <c r="D1737" s="7"/>
      <c r="E1737" s="7"/>
      <c r="F1737" s="7" t="s">
        <v>27</v>
      </c>
      <c r="G1737" s="7" t="s">
        <v>28</v>
      </c>
      <c r="H1737" s="7" t="s">
        <v>163</v>
      </c>
      <c r="I1737" s="7" t="s">
        <v>169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t="s">
        <v>137</v>
      </c>
    </row>
    <row r="1738" spans="1:17" x14ac:dyDescent="0.25">
      <c r="A1738" s="7" t="s">
        <v>162</v>
      </c>
      <c r="B1738" s="7" t="s">
        <v>18</v>
      </c>
      <c r="C1738" s="7" t="s">
        <v>19</v>
      </c>
      <c r="D1738" s="7"/>
      <c r="E1738" s="7"/>
      <c r="F1738" s="7" t="s">
        <v>29</v>
      </c>
      <c r="G1738" s="7" t="s">
        <v>30</v>
      </c>
      <c r="H1738" s="7" t="s">
        <v>163</v>
      </c>
      <c r="I1738" s="7" t="s">
        <v>169</v>
      </c>
      <c r="J1738" s="8">
        <v>1.2190137710971558</v>
      </c>
      <c r="K1738" s="8">
        <v>1.0950462689516822</v>
      </c>
      <c r="L1738" s="8">
        <v>0.44077334096168341</v>
      </c>
      <c r="M1738" s="8">
        <v>4.8416196671259915</v>
      </c>
      <c r="N1738" s="8">
        <v>49.125566266870116</v>
      </c>
      <c r="O1738" s="8">
        <v>1.8181900314669441</v>
      </c>
      <c r="P1738" s="8">
        <v>0</v>
      </c>
      <c r="Q1738" t="s">
        <v>137</v>
      </c>
    </row>
    <row r="1739" spans="1:17" x14ac:dyDescent="0.25">
      <c r="A1739" s="7" t="s">
        <v>162</v>
      </c>
      <c r="B1739" s="7" t="s">
        <v>18</v>
      </c>
      <c r="C1739" s="7" t="s">
        <v>19</v>
      </c>
      <c r="D1739" s="7"/>
      <c r="E1739" s="7"/>
      <c r="F1739" s="7" t="s">
        <v>31</v>
      </c>
      <c r="G1739" s="7" t="s">
        <v>32</v>
      </c>
      <c r="H1739" s="7" t="s">
        <v>163</v>
      </c>
      <c r="I1739" s="7" t="s">
        <v>169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t="s">
        <v>137</v>
      </c>
    </row>
    <row r="1740" spans="1:17" x14ac:dyDescent="0.25">
      <c r="A1740" s="7" t="s">
        <v>162</v>
      </c>
      <c r="B1740" s="7" t="s">
        <v>18</v>
      </c>
      <c r="C1740" s="7" t="s">
        <v>19</v>
      </c>
      <c r="D1740" s="7"/>
      <c r="E1740" s="7"/>
      <c r="F1740" s="7" t="s">
        <v>33</v>
      </c>
      <c r="G1740" s="7" t="s">
        <v>34</v>
      </c>
      <c r="H1740" s="7" t="s">
        <v>163</v>
      </c>
      <c r="I1740" s="7" t="s">
        <v>169</v>
      </c>
      <c r="J1740" s="8">
        <v>3.8806473896465654</v>
      </c>
      <c r="K1740" s="8">
        <v>3.4860052822248808</v>
      </c>
      <c r="L1740" s="8">
        <v>1.4031719374993232</v>
      </c>
      <c r="M1740" s="8">
        <v>15.412966750969129</v>
      </c>
      <c r="N1740" s="8">
        <v>156.38789734660426</v>
      </c>
      <c r="O1740" s="8">
        <v>5.7880842421847092</v>
      </c>
      <c r="P1740" s="8">
        <v>0</v>
      </c>
      <c r="Q1740" t="s">
        <v>137</v>
      </c>
    </row>
    <row r="1741" spans="1:17" x14ac:dyDescent="0.25">
      <c r="A1741" s="7" t="s">
        <v>162</v>
      </c>
      <c r="B1741" s="7" t="s">
        <v>18</v>
      </c>
      <c r="C1741" s="7" t="s">
        <v>19</v>
      </c>
      <c r="D1741" s="7" t="s">
        <v>20</v>
      </c>
      <c r="E1741" s="7" t="s">
        <v>21</v>
      </c>
      <c r="F1741" s="7" t="s">
        <v>35</v>
      </c>
      <c r="G1741" s="7" t="s">
        <v>36</v>
      </c>
      <c r="H1741" s="7" t="s">
        <v>163</v>
      </c>
      <c r="I1741" s="7" t="s">
        <v>169</v>
      </c>
      <c r="J1741" s="8">
        <v>1.1468827787245428</v>
      </c>
      <c r="K1741" s="8">
        <v>1.0302506317356062</v>
      </c>
      <c r="L1741" s="8">
        <v>0.4146920781828855</v>
      </c>
      <c r="M1741" s="8">
        <v>4.5551332962901334</v>
      </c>
      <c r="N1741" s="8">
        <v>46.218728026226906</v>
      </c>
      <c r="O1741" s="8">
        <v>1.7106048225044028</v>
      </c>
      <c r="P1741" s="8">
        <v>0</v>
      </c>
      <c r="Q1741" t="s">
        <v>137</v>
      </c>
    </row>
    <row r="1742" spans="1:17" x14ac:dyDescent="0.25">
      <c r="A1742" s="7" t="s">
        <v>162</v>
      </c>
      <c r="B1742" s="7" t="s">
        <v>18</v>
      </c>
      <c r="C1742" s="7" t="s">
        <v>19</v>
      </c>
      <c r="D1742" s="7"/>
      <c r="E1742" s="7"/>
      <c r="F1742" s="7" t="s">
        <v>37</v>
      </c>
      <c r="G1742" s="7" t="s">
        <v>38</v>
      </c>
      <c r="H1742" s="7" t="s">
        <v>163</v>
      </c>
      <c r="I1742" s="7" t="s">
        <v>169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t="s">
        <v>137</v>
      </c>
    </row>
    <row r="1743" spans="1:17" x14ac:dyDescent="0.25">
      <c r="A1743" s="7" t="s">
        <v>162</v>
      </c>
      <c r="B1743" s="7" t="s">
        <v>18</v>
      </c>
      <c r="C1743" s="7" t="s">
        <v>19</v>
      </c>
      <c r="D1743" s="7"/>
      <c r="E1743" s="7"/>
      <c r="F1743" s="7" t="s">
        <v>39</v>
      </c>
      <c r="G1743" s="7" t="s">
        <v>40</v>
      </c>
      <c r="H1743" s="7" t="s">
        <v>163</v>
      </c>
      <c r="I1743" s="7" t="s">
        <v>169</v>
      </c>
      <c r="J1743" s="8">
        <v>1.4570460459267776</v>
      </c>
      <c r="K1743" s="8">
        <v>1.3088718717647325</v>
      </c>
      <c r="L1743" s="8">
        <v>0.52684150813171615</v>
      </c>
      <c r="M1743" s="8">
        <v>5.7870246908843201</v>
      </c>
      <c r="N1743" s="8">
        <v>58.718132460992678</v>
      </c>
      <c r="O1743" s="8">
        <v>2.1732212210433293</v>
      </c>
      <c r="P1743" s="8">
        <v>0</v>
      </c>
      <c r="Q1743" t="s">
        <v>137</v>
      </c>
    </row>
    <row r="1744" spans="1:17" x14ac:dyDescent="0.25">
      <c r="A1744" s="7" t="s">
        <v>162</v>
      </c>
      <c r="B1744" s="7" t="s">
        <v>18</v>
      </c>
      <c r="C1744" s="7" t="s">
        <v>19</v>
      </c>
      <c r="D1744" s="7" t="s">
        <v>20</v>
      </c>
      <c r="E1744" s="7" t="s">
        <v>21</v>
      </c>
      <c r="F1744" s="7" t="s">
        <v>41</v>
      </c>
      <c r="G1744" s="7" t="s">
        <v>42</v>
      </c>
      <c r="H1744" s="7" t="s">
        <v>163</v>
      </c>
      <c r="I1744" s="7" t="s">
        <v>169</v>
      </c>
      <c r="J1744" s="8">
        <v>3.2098291605812674</v>
      </c>
      <c r="K1744" s="8">
        <v>2.8834058561153757</v>
      </c>
      <c r="L1744" s="8">
        <v>1.1606161936565034</v>
      </c>
      <c r="M1744" s="8">
        <v>12.748643502195655</v>
      </c>
      <c r="N1744" s="8">
        <v>129.35430170862247</v>
      </c>
      <c r="O1744" s="8">
        <v>4.7875417988330771</v>
      </c>
      <c r="P1744" s="8">
        <v>0</v>
      </c>
      <c r="Q1744" t="s">
        <v>137</v>
      </c>
    </row>
    <row r="1745" spans="1:17" x14ac:dyDescent="0.25">
      <c r="A1745" s="7" t="s">
        <v>162</v>
      </c>
      <c r="B1745" s="7" t="s">
        <v>18</v>
      </c>
      <c r="C1745" s="7" t="s">
        <v>19</v>
      </c>
      <c r="D1745" s="7" t="s">
        <v>20</v>
      </c>
      <c r="E1745" s="7" t="s">
        <v>21</v>
      </c>
      <c r="F1745" s="7" t="s">
        <v>43</v>
      </c>
      <c r="G1745" s="7" t="s">
        <v>44</v>
      </c>
      <c r="H1745" s="7" t="s">
        <v>163</v>
      </c>
      <c r="I1745" s="7" t="s">
        <v>169</v>
      </c>
      <c r="J1745" s="8">
        <v>0.87278500770861411</v>
      </c>
      <c r="K1745" s="8">
        <v>0.78402721031451783</v>
      </c>
      <c r="L1745" s="8">
        <v>0.31558327962345367</v>
      </c>
      <c r="M1745" s="8">
        <v>3.4664850871138744</v>
      </c>
      <c r="N1745" s="8">
        <v>35.172742711782739</v>
      </c>
      <c r="O1745" s="8">
        <v>1.3017810284467466</v>
      </c>
      <c r="P1745" s="8">
        <v>0</v>
      </c>
      <c r="Q1745" t="s">
        <v>137</v>
      </c>
    </row>
    <row r="1746" spans="1:17" x14ac:dyDescent="0.25">
      <c r="A1746" s="7" t="s">
        <v>162</v>
      </c>
      <c r="B1746" s="7" t="s">
        <v>18</v>
      </c>
      <c r="C1746" s="7" t="s">
        <v>19</v>
      </c>
      <c r="D1746" s="7"/>
      <c r="E1746" s="7"/>
      <c r="F1746" s="7" t="s">
        <v>45</v>
      </c>
      <c r="G1746" s="7" t="s">
        <v>46</v>
      </c>
      <c r="H1746" s="7" t="s">
        <v>163</v>
      </c>
      <c r="I1746" s="7" t="s">
        <v>169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t="s">
        <v>137</v>
      </c>
    </row>
    <row r="1747" spans="1:17" x14ac:dyDescent="0.25">
      <c r="A1747" s="7" t="s">
        <v>162</v>
      </c>
      <c r="B1747" s="7" t="s">
        <v>18</v>
      </c>
      <c r="C1747" s="7" t="s">
        <v>19</v>
      </c>
      <c r="D1747" s="7" t="s">
        <v>20</v>
      </c>
      <c r="E1747" s="7" t="s">
        <v>21</v>
      </c>
      <c r="F1747" s="7" t="s">
        <v>47</v>
      </c>
      <c r="G1747" s="7" t="s">
        <v>48</v>
      </c>
      <c r="H1747" s="7" t="s">
        <v>163</v>
      </c>
      <c r="I1747" s="7" t="s">
        <v>169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t="s">
        <v>137</v>
      </c>
    </row>
    <row r="1748" spans="1:17" x14ac:dyDescent="0.25">
      <c r="A1748" s="7" t="s">
        <v>162</v>
      </c>
      <c r="B1748" s="7" t="s">
        <v>18</v>
      </c>
      <c r="C1748" s="7" t="s">
        <v>19</v>
      </c>
      <c r="D1748" s="7"/>
      <c r="E1748" s="7"/>
      <c r="F1748" s="7" t="s">
        <v>49</v>
      </c>
      <c r="G1748" s="7" t="s">
        <v>50</v>
      </c>
      <c r="H1748" s="7" t="s">
        <v>163</v>
      </c>
      <c r="I1748" s="7" t="s">
        <v>169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t="s">
        <v>137</v>
      </c>
    </row>
    <row r="1749" spans="1:17" x14ac:dyDescent="0.25">
      <c r="A1749" s="7" t="s">
        <v>162</v>
      </c>
      <c r="B1749" s="7" t="s">
        <v>18</v>
      </c>
      <c r="C1749" s="7" t="s">
        <v>19</v>
      </c>
      <c r="D1749" s="7"/>
      <c r="E1749" s="7"/>
      <c r="F1749" s="7" t="s">
        <v>51</v>
      </c>
      <c r="G1749" s="7" t="s">
        <v>52</v>
      </c>
      <c r="H1749" s="7" t="s">
        <v>163</v>
      </c>
      <c r="I1749" s="7" t="s">
        <v>169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t="s">
        <v>137</v>
      </c>
    </row>
    <row r="1750" spans="1:17" x14ac:dyDescent="0.25">
      <c r="A1750" s="7" t="s">
        <v>162</v>
      </c>
      <c r="B1750" s="7" t="s">
        <v>18</v>
      </c>
      <c r="C1750" s="7" t="s">
        <v>19</v>
      </c>
      <c r="D1750" s="7"/>
      <c r="E1750" s="7"/>
      <c r="F1750" s="7" t="s">
        <v>53</v>
      </c>
      <c r="G1750" s="7" t="s">
        <v>54</v>
      </c>
      <c r="H1750" s="7" t="s">
        <v>163</v>
      </c>
      <c r="I1750" s="7" t="s">
        <v>169</v>
      </c>
      <c r="J1750" s="8">
        <v>1.464259145164039</v>
      </c>
      <c r="K1750" s="8">
        <v>1.3153514354863403</v>
      </c>
      <c r="L1750" s="8">
        <v>0.52944963440959603</v>
      </c>
      <c r="M1750" s="8">
        <v>5.8156733279679065</v>
      </c>
      <c r="N1750" s="8">
        <v>59.008816285057009</v>
      </c>
      <c r="O1750" s="8">
        <v>2.1839797419395839</v>
      </c>
      <c r="P1750" s="8">
        <v>0</v>
      </c>
      <c r="Q1750" t="s">
        <v>137</v>
      </c>
    </row>
    <row r="1751" spans="1:17" x14ac:dyDescent="0.25">
      <c r="A1751" s="7" t="s">
        <v>162</v>
      </c>
      <c r="B1751" s="7" t="s">
        <v>18</v>
      </c>
      <c r="C1751" s="7" t="s">
        <v>19</v>
      </c>
      <c r="D1751" s="7"/>
      <c r="E1751" s="7"/>
      <c r="F1751" s="7" t="s">
        <v>55</v>
      </c>
      <c r="G1751" s="7" t="s">
        <v>56</v>
      </c>
      <c r="H1751" s="7" t="s">
        <v>163</v>
      </c>
      <c r="I1751" s="7" t="s">
        <v>169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t="s">
        <v>137</v>
      </c>
    </row>
    <row r="1752" spans="1:17" x14ac:dyDescent="0.25">
      <c r="A1752" s="7" t="s">
        <v>162</v>
      </c>
      <c r="B1752" s="7" t="s">
        <v>18</v>
      </c>
      <c r="C1752" s="7" t="s">
        <v>19</v>
      </c>
      <c r="D1752" s="7"/>
      <c r="E1752" s="7"/>
      <c r="F1752" s="7" t="s">
        <v>57</v>
      </c>
      <c r="G1752" s="7" t="s">
        <v>58</v>
      </c>
      <c r="H1752" s="7" t="s">
        <v>163</v>
      </c>
      <c r="I1752" s="7" t="s">
        <v>169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t="s">
        <v>137</v>
      </c>
    </row>
    <row r="1753" spans="1:17" x14ac:dyDescent="0.25">
      <c r="A1753" s="7" t="s">
        <v>162</v>
      </c>
      <c r="B1753" s="7" t="s">
        <v>18</v>
      </c>
      <c r="C1753" s="7" t="s">
        <v>19</v>
      </c>
      <c r="D1753" s="7" t="s">
        <v>20</v>
      </c>
      <c r="E1753" s="7" t="s">
        <v>21</v>
      </c>
      <c r="F1753" s="7" t="s">
        <v>59</v>
      </c>
      <c r="G1753" s="7" t="s">
        <v>60</v>
      </c>
      <c r="H1753" s="7" t="s">
        <v>163</v>
      </c>
      <c r="I1753" s="7" t="s">
        <v>169</v>
      </c>
      <c r="J1753" s="8">
        <v>3.5776972216815928</v>
      </c>
      <c r="K1753" s="8">
        <v>3.2138636059173633</v>
      </c>
      <c r="L1753" s="8">
        <v>1.2936306338283727</v>
      </c>
      <c r="M1753" s="8">
        <v>14.209723993458532</v>
      </c>
      <c r="N1753" s="8">
        <v>144.17917673590284</v>
      </c>
      <c r="O1753" s="8">
        <v>5.3362263645420374</v>
      </c>
      <c r="P1753" s="8">
        <v>0</v>
      </c>
      <c r="Q1753" t="s">
        <v>137</v>
      </c>
    </row>
    <row r="1754" spans="1:17" x14ac:dyDescent="0.25">
      <c r="A1754" s="7" t="s">
        <v>162</v>
      </c>
      <c r="B1754" s="7" t="s">
        <v>18</v>
      </c>
      <c r="C1754" s="7" t="s">
        <v>19</v>
      </c>
      <c r="D1754" s="7" t="s">
        <v>20</v>
      </c>
      <c r="E1754" s="7" t="s">
        <v>21</v>
      </c>
      <c r="F1754" s="7" t="s">
        <v>61</v>
      </c>
      <c r="G1754" s="7" t="s">
        <v>62</v>
      </c>
      <c r="H1754" s="7" t="s">
        <v>163</v>
      </c>
      <c r="I1754" s="7" t="s">
        <v>169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t="s">
        <v>137</v>
      </c>
    </row>
    <row r="1755" spans="1:17" x14ac:dyDescent="0.25">
      <c r="A1755" s="7" t="s">
        <v>162</v>
      </c>
      <c r="B1755" s="7" t="s">
        <v>18</v>
      </c>
      <c r="C1755" s="7" t="s">
        <v>19</v>
      </c>
      <c r="D1755" s="7"/>
      <c r="E1755" s="7"/>
      <c r="F1755" s="7" t="s">
        <v>63</v>
      </c>
      <c r="G1755" s="7" t="s">
        <v>64</v>
      </c>
      <c r="H1755" s="7" t="s">
        <v>163</v>
      </c>
      <c r="I1755" s="7" t="s">
        <v>169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t="s">
        <v>137</v>
      </c>
    </row>
    <row r="1756" spans="1:17" x14ac:dyDescent="0.25">
      <c r="A1756" s="7" t="s">
        <v>162</v>
      </c>
      <c r="B1756" s="7" t="s">
        <v>18</v>
      </c>
      <c r="C1756" s="7" t="s">
        <v>19</v>
      </c>
      <c r="D1756" s="7" t="s">
        <v>20</v>
      </c>
      <c r="E1756" s="7" t="s">
        <v>21</v>
      </c>
      <c r="F1756" s="7" t="s">
        <v>65</v>
      </c>
      <c r="G1756" s="7" t="s">
        <v>66</v>
      </c>
      <c r="H1756" s="7" t="s">
        <v>163</v>
      </c>
      <c r="I1756" s="7" t="s">
        <v>169</v>
      </c>
      <c r="J1756" s="8">
        <v>1.4570460459267776</v>
      </c>
      <c r="K1756" s="8">
        <v>1.3088718717647325</v>
      </c>
      <c r="L1756" s="8">
        <v>0.52684150813171615</v>
      </c>
      <c r="M1756" s="8">
        <v>5.7870246908843201</v>
      </c>
      <c r="N1756" s="8">
        <v>58.718132460992678</v>
      </c>
      <c r="O1756" s="8">
        <v>2.1732212210433293</v>
      </c>
      <c r="P1756" s="8">
        <v>0</v>
      </c>
      <c r="Q1756" t="s">
        <v>137</v>
      </c>
    </row>
    <row r="1757" spans="1:17" x14ac:dyDescent="0.25">
      <c r="A1757" s="7" t="s">
        <v>162</v>
      </c>
      <c r="B1757" s="7" t="s">
        <v>18</v>
      </c>
      <c r="C1757" s="7" t="s">
        <v>19</v>
      </c>
      <c r="D1757" s="7"/>
      <c r="E1757" s="7"/>
      <c r="F1757" s="7" t="s">
        <v>67</v>
      </c>
      <c r="G1757" s="7" t="s">
        <v>68</v>
      </c>
      <c r="H1757" s="7" t="s">
        <v>163</v>
      </c>
      <c r="I1757" s="7" t="s">
        <v>169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t="s">
        <v>137</v>
      </c>
    </row>
    <row r="1758" spans="1:17" x14ac:dyDescent="0.25">
      <c r="A1758" s="7" t="s">
        <v>162</v>
      </c>
      <c r="B1758" s="7" t="s">
        <v>18</v>
      </c>
      <c r="C1758" s="7" t="s">
        <v>19</v>
      </c>
      <c r="D1758" s="7"/>
      <c r="E1758" s="7"/>
      <c r="F1758" s="7" t="s">
        <v>69</v>
      </c>
      <c r="G1758" s="7" t="s">
        <v>70</v>
      </c>
      <c r="H1758" s="7" t="s">
        <v>163</v>
      </c>
      <c r="I1758" s="7" t="s">
        <v>169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t="s">
        <v>137</v>
      </c>
    </row>
    <row r="1759" spans="1:17" x14ac:dyDescent="0.25">
      <c r="A1759" s="7" t="s">
        <v>162</v>
      </c>
      <c r="B1759" s="7" t="s">
        <v>18</v>
      </c>
      <c r="C1759" s="7" t="s">
        <v>19</v>
      </c>
      <c r="D1759" s="7"/>
      <c r="E1759" s="7"/>
      <c r="F1759" s="7" t="s">
        <v>71</v>
      </c>
      <c r="G1759" s="7" t="s">
        <v>72</v>
      </c>
      <c r="H1759" s="7" t="s">
        <v>163</v>
      </c>
      <c r="I1759" s="7" t="s">
        <v>169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t="s">
        <v>137</v>
      </c>
    </row>
    <row r="1760" spans="1:17" x14ac:dyDescent="0.25">
      <c r="A1760" s="7" t="s">
        <v>162</v>
      </c>
      <c r="B1760" s="7" t="s">
        <v>18</v>
      </c>
      <c r="C1760" s="7" t="s">
        <v>19</v>
      </c>
      <c r="D1760" s="7" t="s">
        <v>20</v>
      </c>
      <c r="E1760" s="7" t="s">
        <v>21</v>
      </c>
      <c r="F1760" s="7" t="s">
        <v>73</v>
      </c>
      <c r="G1760" s="7" t="s">
        <v>74</v>
      </c>
      <c r="H1760" s="7" t="s">
        <v>163</v>
      </c>
      <c r="I1760" s="7" t="s">
        <v>169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t="s">
        <v>137</v>
      </c>
    </row>
    <row r="1761" spans="1:17" x14ac:dyDescent="0.25">
      <c r="A1761" s="7" t="s">
        <v>162</v>
      </c>
      <c r="B1761" s="7" t="s">
        <v>18</v>
      </c>
      <c r="C1761" s="7" t="s">
        <v>19</v>
      </c>
      <c r="D1761" s="7" t="s">
        <v>20</v>
      </c>
      <c r="E1761" s="7" t="s">
        <v>21</v>
      </c>
      <c r="F1761" s="7" t="s">
        <v>75</v>
      </c>
      <c r="G1761" s="7" t="s">
        <v>76</v>
      </c>
      <c r="H1761" s="7" t="s">
        <v>163</v>
      </c>
      <c r="I1761" s="7" t="s">
        <v>169</v>
      </c>
      <c r="J1761" s="8">
        <v>1.1468827787245428</v>
      </c>
      <c r="K1761" s="8">
        <v>1.0302506317356062</v>
      </c>
      <c r="L1761" s="8">
        <v>0.4146920781828855</v>
      </c>
      <c r="M1761" s="8">
        <v>4.5551332962901334</v>
      </c>
      <c r="N1761" s="8">
        <v>46.218728026226906</v>
      </c>
      <c r="O1761" s="8">
        <v>1.7106048225044028</v>
      </c>
      <c r="P1761" s="8">
        <v>0</v>
      </c>
      <c r="Q1761" t="s">
        <v>137</v>
      </c>
    </row>
    <row r="1762" spans="1:17" x14ac:dyDescent="0.25">
      <c r="A1762" s="7" t="s">
        <v>162</v>
      </c>
      <c r="B1762" s="7" t="s">
        <v>18</v>
      </c>
      <c r="C1762" s="7" t="s">
        <v>19</v>
      </c>
      <c r="D1762" s="7"/>
      <c r="E1762" s="7"/>
      <c r="F1762" s="7" t="s">
        <v>77</v>
      </c>
      <c r="G1762" s="7" t="s">
        <v>78</v>
      </c>
      <c r="H1762" s="7" t="s">
        <v>163</v>
      </c>
      <c r="I1762" s="7" t="s">
        <v>169</v>
      </c>
      <c r="J1762" s="8">
        <v>1.622947328383787</v>
      </c>
      <c r="K1762" s="8">
        <v>1.457901837361707</v>
      </c>
      <c r="L1762" s="8">
        <v>0.58682841252295126</v>
      </c>
      <c r="M1762" s="8">
        <v>6.4459433438067917</v>
      </c>
      <c r="N1762" s="8">
        <v>65.403860414472049</v>
      </c>
      <c r="O1762" s="8">
        <v>2.4206672016571735</v>
      </c>
      <c r="P1762" s="8">
        <v>0</v>
      </c>
      <c r="Q1762" t="s">
        <v>137</v>
      </c>
    </row>
    <row r="1763" spans="1:17" x14ac:dyDescent="0.25">
      <c r="A1763" s="7" t="s">
        <v>162</v>
      </c>
      <c r="B1763" s="7" t="s">
        <v>18</v>
      </c>
      <c r="C1763" s="7" t="s">
        <v>19</v>
      </c>
      <c r="D1763" s="7"/>
      <c r="E1763" s="7"/>
      <c r="F1763" s="7" t="s">
        <v>79</v>
      </c>
      <c r="G1763" s="7" t="s">
        <v>80</v>
      </c>
      <c r="H1763" s="7" t="s">
        <v>163</v>
      </c>
      <c r="I1763" s="7" t="s">
        <v>169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t="s">
        <v>137</v>
      </c>
    </row>
    <row r="1764" spans="1:17" x14ac:dyDescent="0.25">
      <c r="A1764" s="7" t="s">
        <v>162</v>
      </c>
      <c r="B1764" s="7" t="s">
        <v>18</v>
      </c>
      <c r="C1764" s="7" t="s">
        <v>19</v>
      </c>
      <c r="D1764" s="7"/>
      <c r="E1764" s="7"/>
      <c r="F1764" s="7" t="s">
        <v>81</v>
      </c>
      <c r="G1764" s="7" t="s">
        <v>82</v>
      </c>
      <c r="H1764" s="7" t="s">
        <v>163</v>
      </c>
      <c r="I1764" s="7" t="s">
        <v>169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t="s">
        <v>137</v>
      </c>
    </row>
    <row r="1765" spans="1:17" x14ac:dyDescent="0.25">
      <c r="A1765" s="7" t="s">
        <v>162</v>
      </c>
      <c r="B1765" s="7" t="s">
        <v>18</v>
      </c>
      <c r="C1765" s="7" t="s">
        <v>19</v>
      </c>
      <c r="D1765" s="7"/>
      <c r="E1765" s="7"/>
      <c r="F1765" s="7" t="s">
        <v>83</v>
      </c>
      <c r="G1765" s="7" t="s">
        <v>84</v>
      </c>
      <c r="H1765" s="7" t="s">
        <v>163</v>
      </c>
      <c r="I1765" s="7" t="s">
        <v>169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t="s">
        <v>137</v>
      </c>
    </row>
    <row r="1766" spans="1:17" x14ac:dyDescent="0.25">
      <c r="A1766" s="7" t="s">
        <v>162</v>
      </c>
      <c r="B1766" s="7" t="s">
        <v>18</v>
      </c>
      <c r="C1766" s="7" t="s">
        <v>19</v>
      </c>
      <c r="D1766" s="7" t="s">
        <v>20</v>
      </c>
      <c r="E1766" s="7" t="s">
        <v>21</v>
      </c>
      <c r="F1766" s="7" t="s">
        <v>85</v>
      </c>
      <c r="G1766" s="7" t="s">
        <v>86</v>
      </c>
      <c r="H1766" s="7" t="s">
        <v>163</v>
      </c>
      <c r="I1766" s="7" t="s">
        <v>169</v>
      </c>
      <c r="J1766" s="8">
        <v>0.64917893135351468</v>
      </c>
      <c r="K1766" s="8">
        <v>0.58316073494468268</v>
      </c>
      <c r="L1766" s="8">
        <v>0.23473136500918049</v>
      </c>
      <c r="M1766" s="8">
        <v>2.5783773375227166</v>
      </c>
      <c r="N1766" s="8">
        <v>26.161544165788815</v>
      </c>
      <c r="O1766" s="8">
        <v>0.96826688066286948</v>
      </c>
      <c r="P1766" s="8">
        <v>0</v>
      </c>
      <c r="Q1766" t="s">
        <v>137</v>
      </c>
    </row>
    <row r="1767" spans="1:17" x14ac:dyDescent="0.25">
      <c r="A1767" s="7" t="s">
        <v>162</v>
      </c>
      <c r="B1767" s="7" t="s">
        <v>18</v>
      </c>
      <c r="C1767" s="7" t="s">
        <v>19</v>
      </c>
      <c r="D1767" s="7"/>
      <c r="E1767" s="7"/>
      <c r="F1767" s="7" t="s">
        <v>87</v>
      </c>
      <c r="G1767" s="7" t="s">
        <v>88</v>
      </c>
      <c r="H1767" s="7" t="s">
        <v>163</v>
      </c>
      <c r="I1767" s="7" t="s">
        <v>169</v>
      </c>
      <c r="J1767" s="8">
        <v>5.4386768248950021</v>
      </c>
      <c r="K1767" s="8">
        <v>4.885591046092121</v>
      </c>
      <c r="L1767" s="8">
        <v>1.9665272135213567</v>
      </c>
      <c r="M1767" s="8">
        <v>21.601072361023654</v>
      </c>
      <c r="N1767" s="8">
        <v>219.17560334449743</v>
      </c>
      <c r="O1767" s="8">
        <v>8.1119247557755951</v>
      </c>
      <c r="P1767" s="8">
        <v>0</v>
      </c>
      <c r="Q1767" t="s">
        <v>137</v>
      </c>
    </row>
    <row r="1768" spans="1:17" x14ac:dyDescent="0.25">
      <c r="A1768" s="7" t="s">
        <v>162</v>
      </c>
      <c r="B1768" s="7" t="s">
        <v>18</v>
      </c>
      <c r="C1768" s="7" t="s">
        <v>19</v>
      </c>
      <c r="D1768" s="7"/>
      <c r="E1768" s="7"/>
      <c r="F1768" s="7" t="s">
        <v>89</v>
      </c>
      <c r="G1768" s="7" t="s">
        <v>90</v>
      </c>
      <c r="H1768" s="7" t="s">
        <v>163</v>
      </c>
      <c r="I1768" s="7" t="s">
        <v>169</v>
      </c>
      <c r="J1768" s="8">
        <v>2.3154048551608697</v>
      </c>
      <c r="K1768" s="8">
        <v>2.0799399546360355</v>
      </c>
      <c r="L1768" s="8">
        <v>0.83720853519941052</v>
      </c>
      <c r="M1768" s="8">
        <v>9.1962125038310258</v>
      </c>
      <c r="N1768" s="8">
        <v>93.30950752464679</v>
      </c>
      <c r="O1768" s="8">
        <v>3.4534852076975686</v>
      </c>
      <c r="P1768" s="8">
        <v>0</v>
      </c>
      <c r="Q1768" t="s">
        <v>137</v>
      </c>
    </row>
    <row r="1769" spans="1:17" x14ac:dyDescent="0.25">
      <c r="A1769" s="7" t="s">
        <v>162</v>
      </c>
      <c r="B1769" s="7" t="s">
        <v>18</v>
      </c>
      <c r="C1769" s="7" t="s">
        <v>19</v>
      </c>
      <c r="D1769" s="7"/>
      <c r="E1769" s="7"/>
      <c r="F1769" s="7" t="s">
        <v>91</v>
      </c>
      <c r="G1769" s="7" t="s">
        <v>92</v>
      </c>
      <c r="H1769" s="7" t="s">
        <v>163</v>
      </c>
      <c r="I1769" s="7" t="s">
        <v>169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t="s">
        <v>137</v>
      </c>
    </row>
    <row r="1770" spans="1:17" x14ac:dyDescent="0.25">
      <c r="A1770" s="7" t="s">
        <v>162</v>
      </c>
      <c r="B1770" s="7" t="s">
        <v>18</v>
      </c>
      <c r="C1770" s="7" t="s">
        <v>19</v>
      </c>
      <c r="D1770" s="7"/>
      <c r="E1770" s="7"/>
      <c r="F1770" s="7" t="s">
        <v>93</v>
      </c>
      <c r="G1770" s="7" t="s">
        <v>94</v>
      </c>
      <c r="H1770" s="7" t="s">
        <v>163</v>
      </c>
      <c r="I1770" s="7" t="s">
        <v>169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t="s">
        <v>137</v>
      </c>
    </row>
    <row r="1771" spans="1:17" x14ac:dyDescent="0.25">
      <c r="A1771" s="7" t="s">
        <v>162</v>
      </c>
      <c r="B1771" s="7" t="s">
        <v>18</v>
      </c>
      <c r="C1771" s="7" t="s">
        <v>19</v>
      </c>
      <c r="D1771" s="7"/>
      <c r="E1771" s="7"/>
      <c r="F1771" s="7" t="s">
        <v>95</v>
      </c>
      <c r="G1771" s="7" t="s">
        <v>96</v>
      </c>
      <c r="H1771" s="7" t="s">
        <v>163</v>
      </c>
      <c r="I1771" s="7" t="s">
        <v>169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t="s">
        <v>137</v>
      </c>
    </row>
    <row r="1772" spans="1:17" x14ac:dyDescent="0.25">
      <c r="A1772" s="7" t="s">
        <v>162</v>
      </c>
      <c r="B1772" s="7" t="s">
        <v>18</v>
      </c>
      <c r="C1772" s="7" t="s">
        <v>19</v>
      </c>
      <c r="D1772" s="7"/>
      <c r="E1772" s="7"/>
      <c r="F1772" s="7" t="s">
        <v>97</v>
      </c>
      <c r="G1772" s="7" t="s">
        <v>98</v>
      </c>
      <c r="H1772" s="7" t="s">
        <v>163</v>
      </c>
      <c r="I1772" s="7" t="s">
        <v>169</v>
      </c>
      <c r="J1772" s="8">
        <v>1.5796687329602193</v>
      </c>
      <c r="K1772" s="8">
        <v>1.4190244550320614</v>
      </c>
      <c r="L1772" s="8">
        <v>0.57117965485567246</v>
      </c>
      <c r="M1772" s="8">
        <v>6.2740515213052781</v>
      </c>
      <c r="N1772" s="8">
        <v>63.65975747008612</v>
      </c>
      <c r="O1772" s="8">
        <v>2.3561160762796489</v>
      </c>
      <c r="P1772" s="8">
        <v>0</v>
      </c>
      <c r="Q1772" t="s">
        <v>137</v>
      </c>
    </row>
    <row r="1773" spans="1:17" x14ac:dyDescent="0.25">
      <c r="A1773" s="7" t="s">
        <v>162</v>
      </c>
      <c r="B1773" s="7" t="s">
        <v>18</v>
      </c>
      <c r="C1773" s="7" t="s">
        <v>19</v>
      </c>
      <c r="D1773" s="7"/>
      <c r="E1773" s="7"/>
      <c r="F1773" s="7" t="s">
        <v>99</v>
      </c>
      <c r="G1773" s="7" t="s">
        <v>100</v>
      </c>
      <c r="H1773" s="7" t="s">
        <v>163</v>
      </c>
      <c r="I1773" s="7" t="s">
        <v>169</v>
      </c>
      <c r="J1773" s="8">
        <v>4.0393355728663138</v>
      </c>
      <c r="K1773" s="8">
        <v>3.6285556841002484</v>
      </c>
      <c r="L1773" s="8">
        <v>1.4605507156126785</v>
      </c>
      <c r="M1773" s="8">
        <v>16.043236766808015</v>
      </c>
      <c r="N1773" s="8">
        <v>162.78294147601929</v>
      </c>
      <c r="O1773" s="8">
        <v>6.0247717019022993</v>
      </c>
      <c r="P1773" s="8">
        <v>0</v>
      </c>
      <c r="Q1773" t="s">
        <v>137</v>
      </c>
    </row>
    <row r="1774" spans="1:17" x14ac:dyDescent="0.25">
      <c r="A1774" s="7" t="s">
        <v>162</v>
      </c>
      <c r="B1774" s="7" t="s">
        <v>18</v>
      </c>
      <c r="C1774" s="7" t="s">
        <v>19</v>
      </c>
      <c r="D1774" s="7" t="s">
        <v>20</v>
      </c>
      <c r="E1774" s="7" t="s">
        <v>21</v>
      </c>
      <c r="F1774" s="7" t="s">
        <v>101</v>
      </c>
      <c r="G1774" s="7" t="s">
        <v>21</v>
      </c>
      <c r="H1774" s="7" t="s">
        <v>163</v>
      </c>
      <c r="I1774" s="7" t="s">
        <v>169</v>
      </c>
      <c r="J1774" s="8">
        <v>2.0485201833822022</v>
      </c>
      <c r="K1774" s="8">
        <v>1.8401960969365549</v>
      </c>
      <c r="L1774" s="8">
        <v>0.74070786291785851</v>
      </c>
      <c r="M1774" s="8">
        <v>8.1362129317383527</v>
      </c>
      <c r="N1774" s="8">
        <v>82.554206034266954</v>
      </c>
      <c r="O1774" s="8">
        <v>3.0554199345361663</v>
      </c>
      <c r="P1774" s="8">
        <v>0</v>
      </c>
      <c r="Q1774" t="s">
        <v>137</v>
      </c>
    </row>
    <row r="1775" spans="1:17" x14ac:dyDescent="0.25">
      <c r="A1775" s="7" t="s">
        <v>162</v>
      </c>
      <c r="B1775" s="7" t="s">
        <v>18</v>
      </c>
      <c r="C1775" s="7" t="s">
        <v>19</v>
      </c>
      <c r="D1775" s="7"/>
      <c r="E1775" s="7"/>
      <c r="F1775" s="7" t="s">
        <v>102</v>
      </c>
      <c r="G1775" s="7" t="s">
        <v>103</v>
      </c>
      <c r="H1775" s="7" t="s">
        <v>163</v>
      </c>
      <c r="I1775" s="7" t="s">
        <v>169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t="s">
        <v>137</v>
      </c>
    </row>
    <row r="1776" spans="1:17" x14ac:dyDescent="0.25">
      <c r="A1776" s="7" t="s">
        <v>162</v>
      </c>
      <c r="B1776" s="7" t="s">
        <v>18</v>
      </c>
      <c r="C1776" s="7" t="s">
        <v>19</v>
      </c>
      <c r="D1776" s="7" t="s">
        <v>20</v>
      </c>
      <c r="E1776" s="7" t="s">
        <v>21</v>
      </c>
      <c r="F1776" s="7" t="s">
        <v>104</v>
      </c>
      <c r="G1776" s="7" t="s">
        <v>105</v>
      </c>
      <c r="H1776" s="7" t="s">
        <v>163</v>
      </c>
      <c r="I1776" s="7" t="s">
        <v>169</v>
      </c>
      <c r="J1776" s="8">
        <v>2.1350773742293376</v>
      </c>
      <c r="K1776" s="8">
        <v>1.9179508615958456</v>
      </c>
      <c r="L1776" s="8">
        <v>0.77200537825241577</v>
      </c>
      <c r="M1776" s="8">
        <v>8.4799965767413799</v>
      </c>
      <c r="N1776" s="8">
        <v>86.042411923038784</v>
      </c>
      <c r="O1776" s="8">
        <v>3.1845221852912151</v>
      </c>
      <c r="P1776" s="8">
        <v>0</v>
      </c>
      <c r="Q1776" t="s">
        <v>137</v>
      </c>
    </row>
    <row r="1777" spans="1:17" x14ac:dyDescent="0.25">
      <c r="A1777" s="7" t="s">
        <v>162</v>
      </c>
      <c r="B1777" s="7" t="s">
        <v>18</v>
      </c>
      <c r="C1777" s="7" t="s">
        <v>19</v>
      </c>
      <c r="D1777" s="7"/>
      <c r="E1777" s="7"/>
      <c r="F1777" s="7" t="s">
        <v>106</v>
      </c>
      <c r="G1777" s="7" t="s">
        <v>107</v>
      </c>
      <c r="H1777" s="7" t="s">
        <v>163</v>
      </c>
      <c r="I1777" s="7" t="s">
        <v>169</v>
      </c>
      <c r="J1777" s="8">
        <v>2.611141923888582</v>
      </c>
      <c r="K1777" s="8">
        <v>2.3456020672219466</v>
      </c>
      <c r="L1777" s="8">
        <v>0.94414171259248147</v>
      </c>
      <c r="M1777" s="8">
        <v>10.370806624258039</v>
      </c>
      <c r="N1777" s="8">
        <v>105.22754431128392</v>
      </c>
      <c r="O1777" s="8">
        <v>3.8945845644439863</v>
      </c>
      <c r="P1777" s="8">
        <v>0</v>
      </c>
      <c r="Q1777" t="s">
        <v>137</v>
      </c>
    </row>
    <row r="1778" spans="1:17" x14ac:dyDescent="0.25">
      <c r="A1778" s="7" t="s">
        <v>162</v>
      </c>
      <c r="B1778" s="7" t="s">
        <v>18</v>
      </c>
      <c r="C1778" s="7" t="s">
        <v>19</v>
      </c>
      <c r="D1778" s="7"/>
      <c r="E1778" s="7"/>
      <c r="F1778" s="7" t="s">
        <v>108</v>
      </c>
      <c r="G1778" s="7" t="s">
        <v>109</v>
      </c>
      <c r="H1778" s="7" t="s">
        <v>163</v>
      </c>
      <c r="I1778" s="7" t="s">
        <v>169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t="s">
        <v>137</v>
      </c>
    </row>
    <row r="1779" spans="1:17" x14ac:dyDescent="0.25">
      <c r="A1779" s="7" t="s">
        <v>162</v>
      </c>
      <c r="B1779" s="7" t="s">
        <v>18</v>
      </c>
      <c r="C1779" s="7" t="s">
        <v>19</v>
      </c>
      <c r="D1779" s="7"/>
      <c r="E1779" s="7"/>
      <c r="F1779" s="7" t="s">
        <v>110</v>
      </c>
      <c r="G1779" s="7" t="s">
        <v>111</v>
      </c>
      <c r="H1779" s="7" t="s">
        <v>163</v>
      </c>
      <c r="I1779" s="7" t="s">
        <v>169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t="s">
        <v>137</v>
      </c>
    </row>
    <row r="1780" spans="1:17" x14ac:dyDescent="0.25">
      <c r="A1780" s="7" t="s">
        <v>162</v>
      </c>
      <c r="B1780" s="7" t="s">
        <v>18</v>
      </c>
      <c r="C1780" s="7" t="s">
        <v>19</v>
      </c>
      <c r="D1780" s="7" t="s">
        <v>20</v>
      </c>
      <c r="E1780" s="7" t="s">
        <v>21</v>
      </c>
      <c r="F1780" s="7" t="s">
        <v>112</v>
      </c>
      <c r="G1780" s="7" t="s">
        <v>113</v>
      </c>
      <c r="H1780" s="7" t="s">
        <v>163</v>
      </c>
      <c r="I1780" s="7" t="s">
        <v>169</v>
      </c>
      <c r="J1780" s="8">
        <v>3.4550745346481513</v>
      </c>
      <c r="K1780" s="8">
        <v>3.103711022650034</v>
      </c>
      <c r="L1780" s="8">
        <v>1.2492924871044162</v>
      </c>
      <c r="M1780" s="8">
        <v>13.722697163037573</v>
      </c>
      <c r="N1780" s="8">
        <v>139.23755172680939</v>
      </c>
      <c r="O1780" s="8">
        <v>5.1533315093057173</v>
      </c>
      <c r="P1780" s="8">
        <v>0</v>
      </c>
      <c r="Q1780" t="s">
        <v>137</v>
      </c>
    </row>
    <row r="1781" spans="1:17" x14ac:dyDescent="0.25">
      <c r="A1781" s="7" t="s">
        <v>162</v>
      </c>
      <c r="B1781" s="7" t="s">
        <v>18</v>
      </c>
      <c r="C1781" s="7" t="s">
        <v>19</v>
      </c>
      <c r="D1781" s="7" t="s">
        <v>20</v>
      </c>
      <c r="E1781" s="7" t="s">
        <v>21</v>
      </c>
      <c r="F1781" s="7" t="s">
        <v>114</v>
      </c>
      <c r="G1781" s="7" t="s">
        <v>115</v>
      </c>
      <c r="H1781" s="7" t="s">
        <v>163</v>
      </c>
      <c r="I1781" s="7" t="s">
        <v>169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t="s">
        <v>137</v>
      </c>
    </row>
    <row r="1782" spans="1:17" x14ac:dyDescent="0.25">
      <c r="A1782" s="7" t="s">
        <v>162</v>
      </c>
      <c r="B1782" s="7" t="s">
        <v>18</v>
      </c>
      <c r="C1782" s="7" t="s">
        <v>19</v>
      </c>
      <c r="D1782" s="7" t="s">
        <v>20</v>
      </c>
      <c r="E1782" s="7" t="s">
        <v>21</v>
      </c>
      <c r="F1782" s="7" t="s">
        <v>116</v>
      </c>
      <c r="G1782" s="7" t="s">
        <v>117</v>
      </c>
      <c r="H1782" s="7" t="s">
        <v>163</v>
      </c>
      <c r="I1782" s="7" t="s">
        <v>169</v>
      </c>
      <c r="J1782" s="8">
        <v>0.49770384737102802</v>
      </c>
      <c r="K1782" s="8">
        <v>0.44708989679092348</v>
      </c>
      <c r="L1782" s="8">
        <v>0.17996071317370504</v>
      </c>
      <c r="M1782" s="8">
        <v>1.9767559587674164</v>
      </c>
      <c r="N1782" s="8">
        <v>20.057183860438094</v>
      </c>
      <c r="O1782" s="8">
        <v>0.74233794184153334</v>
      </c>
      <c r="P1782" s="8">
        <v>0</v>
      </c>
      <c r="Q1782" t="s">
        <v>137</v>
      </c>
    </row>
    <row r="1783" spans="1:17" x14ac:dyDescent="0.25">
      <c r="A1783" s="7" t="s">
        <v>162</v>
      </c>
      <c r="B1783" s="7" t="s">
        <v>18</v>
      </c>
      <c r="C1783" s="7" t="s">
        <v>19</v>
      </c>
      <c r="D1783" s="7" t="s">
        <v>20</v>
      </c>
      <c r="E1783" s="7" t="s">
        <v>21</v>
      </c>
      <c r="F1783" s="7" t="s">
        <v>118</v>
      </c>
      <c r="G1783" s="7" t="s">
        <v>119</v>
      </c>
      <c r="H1783" s="7" t="s">
        <v>163</v>
      </c>
      <c r="I1783" s="7" t="s">
        <v>169</v>
      </c>
      <c r="J1783" s="8">
        <v>0.96655529779301086</v>
      </c>
      <c r="K1783" s="8">
        <v>0.86826153869541656</v>
      </c>
      <c r="L1783" s="8">
        <v>0.34948892123589093</v>
      </c>
      <c r="M1783" s="8">
        <v>3.8389173692004896</v>
      </c>
      <c r="N1783" s="8">
        <v>38.9516324246189</v>
      </c>
      <c r="O1783" s="8">
        <v>1.4416418000980502</v>
      </c>
      <c r="P1783" s="8">
        <v>0</v>
      </c>
      <c r="Q1783" t="s">
        <v>137</v>
      </c>
    </row>
    <row r="1784" spans="1:17" x14ac:dyDescent="0.25">
      <c r="A1784" s="7" t="s">
        <v>162</v>
      </c>
      <c r="B1784" s="7" t="s">
        <v>18</v>
      </c>
      <c r="C1784" s="7" t="s">
        <v>19</v>
      </c>
      <c r="D1784" s="7" t="s">
        <v>20</v>
      </c>
      <c r="E1784" s="7" t="s">
        <v>21</v>
      </c>
      <c r="F1784" s="7" t="s">
        <v>120</v>
      </c>
      <c r="G1784" s="7" t="s">
        <v>121</v>
      </c>
      <c r="H1784" s="7" t="s">
        <v>163</v>
      </c>
      <c r="I1784" s="7" t="s">
        <v>169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t="s">
        <v>137</v>
      </c>
    </row>
    <row r="1785" spans="1:17" x14ac:dyDescent="0.25">
      <c r="A1785" s="7" t="s">
        <v>162</v>
      </c>
      <c r="B1785" s="7" t="s">
        <v>18</v>
      </c>
      <c r="C1785" s="7" t="s">
        <v>19</v>
      </c>
      <c r="D1785" s="7"/>
      <c r="E1785" s="7"/>
      <c r="F1785" s="7" t="s">
        <v>122</v>
      </c>
      <c r="G1785" s="7" t="s">
        <v>123</v>
      </c>
      <c r="H1785" s="7" t="s">
        <v>163</v>
      </c>
      <c r="I1785" s="7" t="s">
        <v>169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t="s">
        <v>137</v>
      </c>
    </row>
    <row r="1786" spans="1:17" x14ac:dyDescent="0.25">
      <c r="A1786" s="7" t="s">
        <v>162</v>
      </c>
      <c r="B1786" s="7" t="s">
        <v>18</v>
      </c>
      <c r="C1786" s="7" t="s">
        <v>19</v>
      </c>
      <c r="D1786" s="7"/>
      <c r="E1786" s="7"/>
      <c r="F1786" s="7" t="s">
        <v>124</v>
      </c>
      <c r="G1786" s="7" t="s">
        <v>125</v>
      </c>
      <c r="H1786" s="7" t="s">
        <v>163</v>
      </c>
      <c r="I1786" s="7" t="s">
        <v>169</v>
      </c>
      <c r="J1786" s="8">
        <v>1.3993412520286874</v>
      </c>
      <c r="K1786" s="8">
        <v>1.2570353619918719</v>
      </c>
      <c r="L1786" s="8">
        <v>0.50597649790867794</v>
      </c>
      <c r="M1786" s="8">
        <v>5.5578355942156339</v>
      </c>
      <c r="N1786" s="8">
        <v>56.392661868478122</v>
      </c>
      <c r="O1786" s="8">
        <v>2.0871530538732963</v>
      </c>
      <c r="P1786" s="8">
        <v>0</v>
      </c>
      <c r="Q1786" t="s">
        <v>137</v>
      </c>
    </row>
    <row r="1787" spans="1:17" x14ac:dyDescent="0.25">
      <c r="A1787" s="7" t="s">
        <v>162</v>
      </c>
      <c r="B1787" s="7" t="s">
        <v>18</v>
      </c>
      <c r="C1787" s="7" t="s">
        <v>19</v>
      </c>
      <c r="D1787" s="7" t="s">
        <v>20</v>
      </c>
      <c r="E1787" s="7" t="s">
        <v>21</v>
      </c>
      <c r="F1787" s="7" t="s">
        <v>22</v>
      </c>
      <c r="G1787" s="7" t="s">
        <v>23</v>
      </c>
      <c r="H1787" s="7" t="s">
        <v>163</v>
      </c>
      <c r="I1787" s="7" t="s">
        <v>170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t="s">
        <v>137</v>
      </c>
    </row>
    <row r="1788" spans="1:17" x14ac:dyDescent="0.25">
      <c r="A1788" s="7" t="s">
        <v>162</v>
      </c>
      <c r="B1788" s="7" t="s">
        <v>18</v>
      </c>
      <c r="C1788" s="7" t="s">
        <v>19</v>
      </c>
      <c r="D1788" s="7"/>
      <c r="E1788" s="7"/>
      <c r="F1788" s="7" t="s">
        <v>27</v>
      </c>
      <c r="G1788" s="7" t="s">
        <v>28</v>
      </c>
      <c r="H1788" s="7" t="s">
        <v>163</v>
      </c>
      <c r="I1788" s="7" t="s">
        <v>170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t="s">
        <v>137</v>
      </c>
    </row>
    <row r="1789" spans="1:17" x14ac:dyDescent="0.25">
      <c r="A1789" s="7" t="s">
        <v>162</v>
      </c>
      <c r="B1789" s="7" t="s">
        <v>18</v>
      </c>
      <c r="C1789" s="7" t="s">
        <v>19</v>
      </c>
      <c r="D1789" s="7"/>
      <c r="E1789" s="7"/>
      <c r="F1789" s="7" t="s">
        <v>29</v>
      </c>
      <c r="G1789" s="7" t="s">
        <v>30</v>
      </c>
      <c r="H1789" s="7" t="s">
        <v>163</v>
      </c>
      <c r="I1789" s="7" t="s">
        <v>170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t="s">
        <v>137</v>
      </c>
    </row>
    <row r="1790" spans="1:17" x14ac:dyDescent="0.25">
      <c r="A1790" s="7" t="s">
        <v>162</v>
      </c>
      <c r="B1790" s="7" t="s">
        <v>18</v>
      </c>
      <c r="C1790" s="7" t="s">
        <v>19</v>
      </c>
      <c r="D1790" s="7"/>
      <c r="E1790" s="7"/>
      <c r="F1790" s="7" t="s">
        <v>31</v>
      </c>
      <c r="G1790" s="7" t="s">
        <v>32</v>
      </c>
      <c r="H1790" s="7" t="s">
        <v>163</v>
      </c>
      <c r="I1790" s="7" t="s">
        <v>170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t="s">
        <v>137</v>
      </c>
    </row>
    <row r="1791" spans="1:17" x14ac:dyDescent="0.25">
      <c r="A1791" s="7" t="s">
        <v>162</v>
      </c>
      <c r="B1791" s="7" t="s">
        <v>18</v>
      </c>
      <c r="C1791" s="7" t="s">
        <v>19</v>
      </c>
      <c r="D1791" s="7"/>
      <c r="E1791" s="7"/>
      <c r="F1791" s="7" t="s">
        <v>33</v>
      </c>
      <c r="G1791" s="7" t="s">
        <v>34</v>
      </c>
      <c r="H1791" s="7" t="s">
        <v>163</v>
      </c>
      <c r="I1791" s="7" t="s">
        <v>170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t="s">
        <v>137</v>
      </c>
    </row>
    <row r="1792" spans="1:17" x14ac:dyDescent="0.25">
      <c r="A1792" s="7" t="s">
        <v>162</v>
      </c>
      <c r="B1792" s="7" t="s">
        <v>18</v>
      </c>
      <c r="C1792" s="7" t="s">
        <v>19</v>
      </c>
      <c r="D1792" s="7" t="s">
        <v>20</v>
      </c>
      <c r="E1792" s="7" t="s">
        <v>21</v>
      </c>
      <c r="F1792" s="7" t="s">
        <v>35</v>
      </c>
      <c r="G1792" s="7" t="s">
        <v>36</v>
      </c>
      <c r="H1792" s="7" t="s">
        <v>163</v>
      </c>
      <c r="I1792" s="7" t="s">
        <v>170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t="s">
        <v>137</v>
      </c>
    </row>
    <row r="1793" spans="1:17" x14ac:dyDescent="0.25">
      <c r="A1793" s="7" t="s">
        <v>162</v>
      </c>
      <c r="B1793" s="7" t="s">
        <v>18</v>
      </c>
      <c r="C1793" s="7" t="s">
        <v>19</v>
      </c>
      <c r="D1793" s="7"/>
      <c r="E1793" s="7"/>
      <c r="F1793" s="7" t="s">
        <v>37</v>
      </c>
      <c r="G1793" s="7" t="s">
        <v>38</v>
      </c>
      <c r="H1793" s="7" t="s">
        <v>163</v>
      </c>
      <c r="I1793" s="7" t="s">
        <v>170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t="s">
        <v>137</v>
      </c>
    </row>
    <row r="1794" spans="1:17" x14ac:dyDescent="0.25">
      <c r="A1794" s="7" t="s">
        <v>162</v>
      </c>
      <c r="B1794" s="7" t="s">
        <v>18</v>
      </c>
      <c r="C1794" s="7" t="s">
        <v>19</v>
      </c>
      <c r="D1794" s="7"/>
      <c r="E1794" s="7"/>
      <c r="F1794" s="7" t="s">
        <v>39</v>
      </c>
      <c r="G1794" s="7" t="s">
        <v>40</v>
      </c>
      <c r="H1794" s="7" t="s">
        <v>163</v>
      </c>
      <c r="I1794" s="7" t="s">
        <v>170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t="s">
        <v>137</v>
      </c>
    </row>
    <row r="1795" spans="1:17" x14ac:dyDescent="0.25">
      <c r="A1795" s="7" t="s">
        <v>162</v>
      </c>
      <c r="B1795" s="7" t="s">
        <v>18</v>
      </c>
      <c r="C1795" s="7" t="s">
        <v>19</v>
      </c>
      <c r="D1795" s="7" t="s">
        <v>20</v>
      </c>
      <c r="E1795" s="7" t="s">
        <v>21</v>
      </c>
      <c r="F1795" s="7" t="s">
        <v>41</v>
      </c>
      <c r="G1795" s="7" t="s">
        <v>42</v>
      </c>
      <c r="H1795" s="7" t="s">
        <v>163</v>
      </c>
      <c r="I1795" s="7" t="s">
        <v>170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t="s">
        <v>137</v>
      </c>
    </row>
    <row r="1796" spans="1:17" x14ac:dyDescent="0.25">
      <c r="A1796" s="7" t="s">
        <v>162</v>
      </c>
      <c r="B1796" s="7" t="s">
        <v>18</v>
      </c>
      <c r="C1796" s="7" t="s">
        <v>19</v>
      </c>
      <c r="D1796" s="7" t="s">
        <v>20</v>
      </c>
      <c r="E1796" s="7" t="s">
        <v>21</v>
      </c>
      <c r="F1796" s="7" t="s">
        <v>43</v>
      </c>
      <c r="G1796" s="7" t="s">
        <v>44</v>
      </c>
      <c r="H1796" s="7" t="s">
        <v>163</v>
      </c>
      <c r="I1796" s="7" t="s">
        <v>170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t="s">
        <v>137</v>
      </c>
    </row>
    <row r="1797" spans="1:17" x14ac:dyDescent="0.25">
      <c r="A1797" s="7" t="s">
        <v>162</v>
      </c>
      <c r="B1797" s="7" t="s">
        <v>18</v>
      </c>
      <c r="C1797" s="7" t="s">
        <v>19</v>
      </c>
      <c r="D1797" s="7"/>
      <c r="E1797" s="7"/>
      <c r="F1797" s="7" t="s">
        <v>45</v>
      </c>
      <c r="G1797" s="7" t="s">
        <v>46</v>
      </c>
      <c r="H1797" s="7" t="s">
        <v>163</v>
      </c>
      <c r="I1797" s="7" t="s">
        <v>170</v>
      </c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t="s">
        <v>137</v>
      </c>
    </row>
    <row r="1798" spans="1:17" x14ac:dyDescent="0.25">
      <c r="A1798" s="7" t="s">
        <v>162</v>
      </c>
      <c r="B1798" s="7" t="s">
        <v>18</v>
      </c>
      <c r="C1798" s="7" t="s">
        <v>19</v>
      </c>
      <c r="D1798" s="7" t="s">
        <v>20</v>
      </c>
      <c r="E1798" s="7" t="s">
        <v>21</v>
      </c>
      <c r="F1798" s="7" t="s">
        <v>47</v>
      </c>
      <c r="G1798" s="7" t="s">
        <v>48</v>
      </c>
      <c r="H1798" s="7" t="s">
        <v>163</v>
      </c>
      <c r="I1798" s="7" t="s">
        <v>170</v>
      </c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t="s">
        <v>137</v>
      </c>
    </row>
    <row r="1799" spans="1:17" x14ac:dyDescent="0.25">
      <c r="A1799" s="7" t="s">
        <v>162</v>
      </c>
      <c r="B1799" s="7" t="s">
        <v>18</v>
      </c>
      <c r="C1799" s="7" t="s">
        <v>19</v>
      </c>
      <c r="D1799" s="7"/>
      <c r="E1799" s="7"/>
      <c r="F1799" s="7" t="s">
        <v>49</v>
      </c>
      <c r="G1799" s="7" t="s">
        <v>50</v>
      </c>
      <c r="H1799" s="7" t="s">
        <v>163</v>
      </c>
      <c r="I1799" s="7" t="s">
        <v>170</v>
      </c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t="s">
        <v>137</v>
      </c>
    </row>
    <row r="1800" spans="1:17" x14ac:dyDescent="0.25">
      <c r="A1800" s="7" t="s">
        <v>162</v>
      </c>
      <c r="B1800" s="7" t="s">
        <v>18</v>
      </c>
      <c r="C1800" s="7" t="s">
        <v>19</v>
      </c>
      <c r="D1800" s="7"/>
      <c r="E1800" s="7"/>
      <c r="F1800" s="7" t="s">
        <v>51</v>
      </c>
      <c r="G1800" s="7" t="s">
        <v>52</v>
      </c>
      <c r="H1800" s="7" t="s">
        <v>163</v>
      </c>
      <c r="I1800" s="7" t="s">
        <v>170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t="s">
        <v>137</v>
      </c>
    </row>
    <row r="1801" spans="1:17" x14ac:dyDescent="0.25">
      <c r="A1801" s="7" t="s">
        <v>162</v>
      </c>
      <c r="B1801" s="7" t="s">
        <v>18</v>
      </c>
      <c r="C1801" s="7" t="s">
        <v>19</v>
      </c>
      <c r="D1801" s="7"/>
      <c r="E1801" s="7"/>
      <c r="F1801" s="7" t="s">
        <v>53</v>
      </c>
      <c r="G1801" s="7" t="s">
        <v>54</v>
      </c>
      <c r="H1801" s="7" t="s">
        <v>163</v>
      </c>
      <c r="I1801" s="7" t="s">
        <v>170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t="s">
        <v>137</v>
      </c>
    </row>
    <row r="1802" spans="1:17" x14ac:dyDescent="0.25">
      <c r="A1802" s="7" t="s">
        <v>162</v>
      </c>
      <c r="B1802" s="7" t="s">
        <v>18</v>
      </c>
      <c r="C1802" s="7" t="s">
        <v>19</v>
      </c>
      <c r="D1802" s="7"/>
      <c r="E1802" s="7"/>
      <c r="F1802" s="7" t="s">
        <v>55</v>
      </c>
      <c r="G1802" s="7" t="s">
        <v>56</v>
      </c>
      <c r="H1802" s="7" t="s">
        <v>163</v>
      </c>
      <c r="I1802" s="7" t="s">
        <v>170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t="s">
        <v>137</v>
      </c>
    </row>
    <row r="1803" spans="1:17" x14ac:dyDescent="0.25">
      <c r="A1803" s="7" t="s">
        <v>162</v>
      </c>
      <c r="B1803" s="7" t="s">
        <v>18</v>
      </c>
      <c r="C1803" s="7" t="s">
        <v>19</v>
      </c>
      <c r="D1803" s="7"/>
      <c r="E1803" s="7"/>
      <c r="F1803" s="7" t="s">
        <v>57</v>
      </c>
      <c r="G1803" s="7" t="s">
        <v>58</v>
      </c>
      <c r="H1803" s="7" t="s">
        <v>163</v>
      </c>
      <c r="I1803" s="7" t="s">
        <v>170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t="s">
        <v>137</v>
      </c>
    </row>
    <row r="1804" spans="1:17" x14ac:dyDescent="0.25">
      <c r="A1804" s="7" t="s">
        <v>162</v>
      </c>
      <c r="B1804" s="7" t="s">
        <v>18</v>
      </c>
      <c r="C1804" s="7" t="s">
        <v>19</v>
      </c>
      <c r="D1804" s="7" t="s">
        <v>20</v>
      </c>
      <c r="E1804" s="7" t="s">
        <v>21</v>
      </c>
      <c r="F1804" s="7" t="s">
        <v>59</v>
      </c>
      <c r="G1804" s="7" t="s">
        <v>60</v>
      </c>
      <c r="H1804" s="7" t="s">
        <v>163</v>
      </c>
      <c r="I1804" s="7" t="s">
        <v>170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t="s">
        <v>137</v>
      </c>
    </row>
    <row r="1805" spans="1:17" x14ac:dyDescent="0.25">
      <c r="A1805" s="7" t="s">
        <v>162</v>
      </c>
      <c r="B1805" s="7" t="s">
        <v>18</v>
      </c>
      <c r="C1805" s="7" t="s">
        <v>19</v>
      </c>
      <c r="D1805" s="7" t="s">
        <v>20</v>
      </c>
      <c r="E1805" s="7" t="s">
        <v>21</v>
      </c>
      <c r="F1805" s="7" t="s">
        <v>61</v>
      </c>
      <c r="G1805" s="7" t="s">
        <v>62</v>
      </c>
      <c r="H1805" s="7" t="s">
        <v>163</v>
      </c>
      <c r="I1805" s="7" t="s">
        <v>170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t="s">
        <v>137</v>
      </c>
    </row>
    <row r="1806" spans="1:17" x14ac:dyDescent="0.25">
      <c r="A1806" s="7" t="s">
        <v>162</v>
      </c>
      <c r="B1806" s="7" t="s">
        <v>18</v>
      </c>
      <c r="C1806" s="7" t="s">
        <v>19</v>
      </c>
      <c r="D1806" s="7"/>
      <c r="E1806" s="7"/>
      <c r="F1806" s="7" t="s">
        <v>63</v>
      </c>
      <c r="G1806" s="7" t="s">
        <v>64</v>
      </c>
      <c r="H1806" s="7" t="s">
        <v>163</v>
      </c>
      <c r="I1806" s="7" t="s">
        <v>170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t="s">
        <v>137</v>
      </c>
    </row>
    <row r="1807" spans="1:17" x14ac:dyDescent="0.25">
      <c r="A1807" s="7" t="s">
        <v>162</v>
      </c>
      <c r="B1807" s="7" t="s">
        <v>18</v>
      </c>
      <c r="C1807" s="7" t="s">
        <v>19</v>
      </c>
      <c r="D1807" s="7" t="s">
        <v>20</v>
      </c>
      <c r="E1807" s="7" t="s">
        <v>21</v>
      </c>
      <c r="F1807" s="7" t="s">
        <v>65</v>
      </c>
      <c r="G1807" s="7" t="s">
        <v>66</v>
      </c>
      <c r="H1807" s="7" t="s">
        <v>163</v>
      </c>
      <c r="I1807" s="7" t="s">
        <v>170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t="s">
        <v>137</v>
      </c>
    </row>
    <row r="1808" spans="1:17" x14ac:dyDescent="0.25">
      <c r="A1808" s="7" t="s">
        <v>162</v>
      </c>
      <c r="B1808" s="7" t="s">
        <v>18</v>
      </c>
      <c r="C1808" s="7" t="s">
        <v>19</v>
      </c>
      <c r="D1808" s="7"/>
      <c r="E1808" s="7"/>
      <c r="F1808" s="7" t="s">
        <v>67</v>
      </c>
      <c r="G1808" s="7" t="s">
        <v>68</v>
      </c>
      <c r="H1808" s="7" t="s">
        <v>163</v>
      </c>
      <c r="I1808" s="7" t="s">
        <v>170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t="s">
        <v>137</v>
      </c>
    </row>
    <row r="1809" spans="1:17" x14ac:dyDescent="0.25">
      <c r="A1809" s="7" t="s">
        <v>162</v>
      </c>
      <c r="B1809" s="7" t="s">
        <v>18</v>
      </c>
      <c r="C1809" s="7" t="s">
        <v>19</v>
      </c>
      <c r="D1809" s="7"/>
      <c r="E1809" s="7"/>
      <c r="F1809" s="7" t="s">
        <v>69</v>
      </c>
      <c r="G1809" s="7" t="s">
        <v>70</v>
      </c>
      <c r="H1809" s="7" t="s">
        <v>163</v>
      </c>
      <c r="I1809" s="7" t="s">
        <v>170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t="s">
        <v>137</v>
      </c>
    </row>
    <row r="1810" spans="1:17" x14ac:dyDescent="0.25">
      <c r="A1810" s="7" t="s">
        <v>162</v>
      </c>
      <c r="B1810" s="7" t="s">
        <v>18</v>
      </c>
      <c r="C1810" s="7" t="s">
        <v>19</v>
      </c>
      <c r="D1810" s="7"/>
      <c r="E1810" s="7"/>
      <c r="F1810" s="7" t="s">
        <v>71</v>
      </c>
      <c r="G1810" s="7" t="s">
        <v>72</v>
      </c>
      <c r="H1810" s="7" t="s">
        <v>163</v>
      </c>
      <c r="I1810" s="7" t="s">
        <v>170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t="s">
        <v>137</v>
      </c>
    </row>
    <row r="1811" spans="1:17" x14ac:dyDescent="0.25">
      <c r="A1811" s="7" t="s">
        <v>162</v>
      </c>
      <c r="B1811" s="7" t="s">
        <v>18</v>
      </c>
      <c r="C1811" s="7" t="s">
        <v>19</v>
      </c>
      <c r="D1811" s="7" t="s">
        <v>20</v>
      </c>
      <c r="E1811" s="7" t="s">
        <v>21</v>
      </c>
      <c r="F1811" s="7" t="s">
        <v>73</v>
      </c>
      <c r="G1811" s="7" t="s">
        <v>74</v>
      </c>
      <c r="H1811" s="7" t="s">
        <v>163</v>
      </c>
      <c r="I1811" s="7" t="s">
        <v>170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t="s">
        <v>137</v>
      </c>
    </row>
    <row r="1812" spans="1:17" x14ac:dyDescent="0.25">
      <c r="A1812" s="7" t="s">
        <v>162</v>
      </c>
      <c r="B1812" s="7" t="s">
        <v>18</v>
      </c>
      <c r="C1812" s="7" t="s">
        <v>19</v>
      </c>
      <c r="D1812" s="7" t="s">
        <v>20</v>
      </c>
      <c r="E1812" s="7" t="s">
        <v>21</v>
      </c>
      <c r="F1812" s="7" t="s">
        <v>75</v>
      </c>
      <c r="G1812" s="7" t="s">
        <v>76</v>
      </c>
      <c r="H1812" s="7" t="s">
        <v>163</v>
      </c>
      <c r="I1812" s="7" t="s">
        <v>170</v>
      </c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t="s">
        <v>137</v>
      </c>
    </row>
    <row r="1813" spans="1:17" x14ac:dyDescent="0.25">
      <c r="A1813" s="7" t="s">
        <v>162</v>
      </c>
      <c r="B1813" s="7" t="s">
        <v>18</v>
      </c>
      <c r="C1813" s="7" t="s">
        <v>19</v>
      </c>
      <c r="D1813" s="7"/>
      <c r="E1813" s="7"/>
      <c r="F1813" s="7" t="s">
        <v>77</v>
      </c>
      <c r="G1813" s="7" t="s">
        <v>78</v>
      </c>
      <c r="H1813" s="7" t="s">
        <v>163</v>
      </c>
      <c r="I1813" s="7" t="s">
        <v>170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t="s">
        <v>137</v>
      </c>
    </row>
    <row r="1814" spans="1:17" x14ac:dyDescent="0.25">
      <c r="A1814" s="7" t="s">
        <v>162</v>
      </c>
      <c r="B1814" s="7" t="s">
        <v>18</v>
      </c>
      <c r="C1814" s="7" t="s">
        <v>19</v>
      </c>
      <c r="D1814" s="7"/>
      <c r="E1814" s="7"/>
      <c r="F1814" s="7" t="s">
        <v>79</v>
      </c>
      <c r="G1814" s="7" t="s">
        <v>80</v>
      </c>
      <c r="H1814" s="7" t="s">
        <v>163</v>
      </c>
      <c r="I1814" s="7" t="s">
        <v>170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t="s">
        <v>137</v>
      </c>
    </row>
    <row r="1815" spans="1:17" x14ac:dyDescent="0.25">
      <c r="A1815" s="7" t="s">
        <v>162</v>
      </c>
      <c r="B1815" s="7" t="s">
        <v>18</v>
      </c>
      <c r="C1815" s="7" t="s">
        <v>19</v>
      </c>
      <c r="D1815" s="7"/>
      <c r="E1815" s="7"/>
      <c r="F1815" s="7" t="s">
        <v>81</v>
      </c>
      <c r="G1815" s="7" t="s">
        <v>82</v>
      </c>
      <c r="H1815" s="7" t="s">
        <v>163</v>
      </c>
      <c r="I1815" s="7" t="s">
        <v>170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t="s">
        <v>137</v>
      </c>
    </row>
    <row r="1816" spans="1:17" x14ac:dyDescent="0.25">
      <c r="A1816" s="7" t="s">
        <v>162</v>
      </c>
      <c r="B1816" s="7" t="s">
        <v>18</v>
      </c>
      <c r="C1816" s="7" t="s">
        <v>19</v>
      </c>
      <c r="D1816" s="7"/>
      <c r="E1816" s="7"/>
      <c r="F1816" s="7" t="s">
        <v>83</v>
      </c>
      <c r="G1816" s="7" t="s">
        <v>84</v>
      </c>
      <c r="H1816" s="7" t="s">
        <v>163</v>
      </c>
      <c r="I1816" s="7" t="s">
        <v>170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t="s">
        <v>137</v>
      </c>
    </row>
    <row r="1817" spans="1:17" x14ac:dyDescent="0.25">
      <c r="A1817" s="7" t="s">
        <v>162</v>
      </c>
      <c r="B1817" s="7" t="s">
        <v>18</v>
      </c>
      <c r="C1817" s="7" t="s">
        <v>19</v>
      </c>
      <c r="D1817" s="7" t="s">
        <v>20</v>
      </c>
      <c r="E1817" s="7" t="s">
        <v>21</v>
      </c>
      <c r="F1817" s="7" t="s">
        <v>85</v>
      </c>
      <c r="G1817" s="7" t="s">
        <v>86</v>
      </c>
      <c r="H1817" s="7" t="s">
        <v>163</v>
      </c>
      <c r="I1817" s="7" t="s">
        <v>170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t="s">
        <v>137</v>
      </c>
    </row>
    <row r="1818" spans="1:17" x14ac:dyDescent="0.25">
      <c r="A1818" s="7" t="s">
        <v>162</v>
      </c>
      <c r="B1818" s="7" t="s">
        <v>18</v>
      </c>
      <c r="C1818" s="7" t="s">
        <v>19</v>
      </c>
      <c r="D1818" s="7"/>
      <c r="E1818" s="7"/>
      <c r="F1818" s="7" t="s">
        <v>87</v>
      </c>
      <c r="G1818" s="7" t="s">
        <v>88</v>
      </c>
      <c r="H1818" s="7" t="s">
        <v>163</v>
      </c>
      <c r="I1818" s="7" t="s">
        <v>170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t="s">
        <v>137</v>
      </c>
    </row>
    <row r="1819" spans="1:17" x14ac:dyDescent="0.25">
      <c r="A1819" s="7" t="s">
        <v>162</v>
      </c>
      <c r="B1819" s="7" t="s">
        <v>18</v>
      </c>
      <c r="C1819" s="7" t="s">
        <v>19</v>
      </c>
      <c r="D1819" s="7"/>
      <c r="E1819" s="7"/>
      <c r="F1819" s="7" t="s">
        <v>89</v>
      </c>
      <c r="G1819" s="7" t="s">
        <v>90</v>
      </c>
      <c r="H1819" s="7" t="s">
        <v>163</v>
      </c>
      <c r="I1819" s="7" t="s">
        <v>170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t="s">
        <v>137</v>
      </c>
    </row>
    <row r="1820" spans="1:17" x14ac:dyDescent="0.25">
      <c r="A1820" s="7" t="s">
        <v>162</v>
      </c>
      <c r="B1820" s="7" t="s">
        <v>18</v>
      </c>
      <c r="C1820" s="7" t="s">
        <v>19</v>
      </c>
      <c r="D1820" s="7"/>
      <c r="E1820" s="7"/>
      <c r="F1820" s="7" t="s">
        <v>91</v>
      </c>
      <c r="G1820" s="7" t="s">
        <v>92</v>
      </c>
      <c r="H1820" s="7" t="s">
        <v>163</v>
      </c>
      <c r="I1820" s="7" t="s">
        <v>170</v>
      </c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t="s">
        <v>137</v>
      </c>
    </row>
    <row r="1821" spans="1:17" x14ac:dyDescent="0.25">
      <c r="A1821" s="7" t="s">
        <v>162</v>
      </c>
      <c r="B1821" s="7" t="s">
        <v>18</v>
      </c>
      <c r="C1821" s="7" t="s">
        <v>19</v>
      </c>
      <c r="D1821" s="7"/>
      <c r="E1821" s="7"/>
      <c r="F1821" s="7" t="s">
        <v>93</v>
      </c>
      <c r="G1821" s="7" t="s">
        <v>94</v>
      </c>
      <c r="H1821" s="7" t="s">
        <v>163</v>
      </c>
      <c r="I1821" s="7" t="s">
        <v>170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t="s">
        <v>137</v>
      </c>
    </row>
    <row r="1822" spans="1:17" x14ac:dyDescent="0.25">
      <c r="A1822" s="7" t="s">
        <v>162</v>
      </c>
      <c r="B1822" s="7" t="s">
        <v>18</v>
      </c>
      <c r="C1822" s="7" t="s">
        <v>19</v>
      </c>
      <c r="D1822" s="7"/>
      <c r="E1822" s="7"/>
      <c r="F1822" s="7" t="s">
        <v>95</v>
      </c>
      <c r="G1822" s="7" t="s">
        <v>96</v>
      </c>
      <c r="H1822" s="7" t="s">
        <v>163</v>
      </c>
      <c r="I1822" s="7" t="s">
        <v>170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t="s">
        <v>137</v>
      </c>
    </row>
    <row r="1823" spans="1:17" x14ac:dyDescent="0.25">
      <c r="A1823" s="7" t="s">
        <v>162</v>
      </c>
      <c r="B1823" s="7" t="s">
        <v>18</v>
      </c>
      <c r="C1823" s="7" t="s">
        <v>19</v>
      </c>
      <c r="D1823" s="7"/>
      <c r="E1823" s="7"/>
      <c r="F1823" s="7" t="s">
        <v>97</v>
      </c>
      <c r="G1823" s="7" t="s">
        <v>98</v>
      </c>
      <c r="H1823" s="7" t="s">
        <v>163</v>
      </c>
      <c r="I1823" s="7" t="s">
        <v>170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t="s">
        <v>137</v>
      </c>
    </row>
    <row r="1824" spans="1:17" x14ac:dyDescent="0.25">
      <c r="A1824" s="7" t="s">
        <v>162</v>
      </c>
      <c r="B1824" s="7" t="s">
        <v>18</v>
      </c>
      <c r="C1824" s="7" t="s">
        <v>19</v>
      </c>
      <c r="D1824" s="7"/>
      <c r="E1824" s="7"/>
      <c r="F1824" s="7" t="s">
        <v>99</v>
      </c>
      <c r="G1824" s="7" t="s">
        <v>100</v>
      </c>
      <c r="H1824" s="7" t="s">
        <v>163</v>
      </c>
      <c r="I1824" s="7" t="s">
        <v>170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t="s">
        <v>137</v>
      </c>
    </row>
    <row r="1825" spans="1:17" x14ac:dyDescent="0.25">
      <c r="A1825" s="7" t="s">
        <v>162</v>
      </c>
      <c r="B1825" s="7" t="s">
        <v>18</v>
      </c>
      <c r="C1825" s="7" t="s">
        <v>19</v>
      </c>
      <c r="D1825" s="7" t="s">
        <v>20</v>
      </c>
      <c r="E1825" s="7" t="s">
        <v>21</v>
      </c>
      <c r="F1825" s="7" t="s">
        <v>101</v>
      </c>
      <c r="G1825" s="7" t="s">
        <v>21</v>
      </c>
      <c r="H1825" s="7" t="s">
        <v>163</v>
      </c>
      <c r="I1825" s="7" t="s">
        <v>170</v>
      </c>
      <c r="J1825" s="8">
        <v>0.13333417316242319</v>
      </c>
      <c r="K1825" s="8">
        <v>0.12269698081646042</v>
      </c>
      <c r="L1825" s="8">
        <v>8.2130737591041142E-3</v>
      </c>
      <c r="M1825" s="8">
        <v>4.9854504971785225</v>
      </c>
      <c r="N1825" s="8">
        <v>3.3243721140848979</v>
      </c>
      <c r="O1825" s="8">
        <v>0.86110902299957071</v>
      </c>
      <c r="P1825" s="8">
        <v>5.3301861277886921E-2</v>
      </c>
      <c r="Q1825" t="s">
        <v>137</v>
      </c>
    </row>
    <row r="1826" spans="1:17" x14ac:dyDescent="0.25">
      <c r="A1826" s="7" t="s">
        <v>162</v>
      </c>
      <c r="B1826" s="7" t="s">
        <v>18</v>
      </c>
      <c r="C1826" s="7" t="s">
        <v>19</v>
      </c>
      <c r="D1826" s="7"/>
      <c r="E1826" s="7"/>
      <c r="F1826" s="7" t="s">
        <v>102</v>
      </c>
      <c r="G1826" s="7" t="s">
        <v>103</v>
      </c>
      <c r="H1826" s="7" t="s">
        <v>163</v>
      </c>
      <c r="I1826" s="7" t="s">
        <v>170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t="s">
        <v>137</v>
      </c>
    </row>
    <row r="1827" spans="1:17" x14ac:dyDescent="0.25">
      <c r="A1827" s="7" t="s">
        <v>162</v>
      </c>
      <c r="B1827" s="7" t="s">
        <v>18</v>
      </c>
      <c r="C1827" s="7" t="s">
        <v>19</v>
      </c>
      <c r="D1827" s="7" t="s">
        <v>20</v>
      </c>
      <c r="E1827" s="7" t="s">
        <v>21</v>
      </c>
      <c r="F1827" s="7" t="s">
        <v>104</v>
      </c>
      <c r="G1827" s="7" t="s">
        <v>105</v>
      </c>
      <c r="H1827" s="7" t="s">
        <v>163</v>
      </c>
      <c r="I1827" s="7" t="s">
        <v>170</v>
      </c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t="s">
        <v>137</v>
      </c>
    </row>
    <row r="1828" spans="1:17" x14ac:dyDescent="0.25">
      <c r="A1828" s="7" t="s">
        <v>162</v>
      </c>
      <c r="B1828" s="7" t="s">
        <v>18</v>
      </c>
      <c r="C1828" s="7" t="s">
        <v>19</v>
      </c>
      <c r="D1828" s="7"/>
      <c r="E1828" s="7"/>
      <c r="F1828" s="7" t="s">
        <v>106</v>
      </c>
      <c r="G1828" s="7" t="s">
        <v>107</v>
      </c>
      <c r="H1828" s="7" t="s">
        <v>163</v>
      </c>
      <c r="I1828" s="7" t="s">
        <v>170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t="s">
        <v>137</v>
      </c>
    </row>
    <row r="1829" spans="1:17" x14ac:dyDescent="0.25">
      <c r="A1829" s="7" t="s">
        <v>162</v>
      </c>
      <c r="B1829" s="7" t="s">
        <v>18</v>
      </c>
      <c r="C1829" s="7" t="s">
        <v>19</v>
      </c>
      <c r="D1829" s="7"/>
      <c r="E1829" s="7"/>
      <c r="F1829" s="7" t="s">
        <v>108</v>
      </c>
      <c r="G1829" s="7" t="s">
        <v>109</v>
      </c>
      <c r="H1829" s="7" t="s">
        <v>163</v>
      </c>
      <c r="I1829" s="7" t="s">
        <v>170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t="s">
        <v>137</v>
      </c>
    </row>
    <row r="1830" spans="1:17" x14ac:dyDescent="0.25">
      <c r="A1830" s="7" t="s">
        <v>162</v>
      </c>
      <c r="B1830" s="7" t="s">
        <v>18</v>
      </c>
      <c r="C1830" s="7" t="s">
        <v>19</v>
      </c>
      <c r="D1830" s="7"/>
      <c r="E1830" s="7"/>
      <c r="F1830" s="7" t="s">
        <v>110</v>
      </c>
      <c r="G1830" s="7" t="s">
        <v>111</v>
      </c>
      <c r="H1830" s="7" t="s">
        <v>163</v>
      </c>
      <c r="I1830" s="7" t="s">
        <v>170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t="s">
        <v>137</v>
      </c>
    </row>
    <row r="1831" spans="1:17" x14ac:dyDescent="0.25">
      <c r="A1831" s="7" t="s">
        <v>162</v>
      </c>
      <c r="B1831" s="7" t="s">
        <v>18</v>
      </c>
      <c r="C1831" s="7" t="s">
        <v>19</v>
      </c>
      <c r="D1831" s="7" t="s">
        <v>20</v>
      </c>
      <c r="E1831" s="7" t="s">
        <v>21</v>
      </c>
      <c r="F1831" s="7" t="s">
        <v>112</v>
      </c>
      <c r="G1831" s="7" t="s">
        <v>113</v>
      </c>
      <c r="H1831" s="7" t="s">
        <v>163</v>
      </c>
      <c r="I1831" s="7" t="s">
        <v>170</v>
      </c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t="s">
        <v>137</v>
      </c>
    </row>
    <row r="1832" spans="1:17" x14ac:dyDescent="0.25">
      <c r="A1832" s="7" t="s">
        <v>162</v>
      </c>
      <c r="B1832" s="7" t="s">
        <v>18</v>
      </c>
      <c r="C1832" s="7" t="s">
        <v>19</v>
      </c>
      <c r="D1832" s="7" t="s">
        <v>20</v>
      </c>
      <c r="E1832" s="7" t="s">
        <v>21</v>
      </c>
      <c r="F1832" s="7" t="s">
        <v>114</v>
      </c>
      <c r="G1832" s="7" t="s">
        <v>115</v>
      </c>
      <c r="H1832" s="7" t="s">
        <v>163</v>
      </c>
      <c r="I1832" s="7" t="s">
        <v>170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t="s">
        <v>137</v>
      </c>
    </row>
    <row r="1833" spans="1:17" x14ac:dyDescent="0.25">
      <c r="A1833" s="7" t="s">
        <v>162</v>
      </c>
      <c r="B1833" s="7" t="s">
        <v>18</v>
      </c>
      <c r="C1833" s="7" t="s">
        <v>19</v>
      </c>
      <c r="D1833" s="7" t="s">
        <v>20</v>
      </c>
      <c r="E1833" s="7" t="s">
        <v>21</v>
      </c>
      <c r="F1833" s="7" t="s">
        <v>116</v>
      </c>
      <c r="G1833" s="7" t="s">
        <v>117</v>
      </c>
      <c r="H1833" s="7" t="s">
        <v>163</v>
      </c>
      <c r="I1833" s="7" t="s">
        <v>170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t="s">
        <v>137</v>
      </c>
    </row>
    <row r="1834" spans="1:17" x14ac:dyDescent="0.25">
      <c r="A1834" s="7" t="s">
        <v>162</v>
      </c>
      <c r="B1834" s="7" t="s">
        <v>18</v>
      </c>
      <c r="C1834" s="7" t="s">
        <v>19</v>
      </c>
      <c r="D1834" s="7" t="s">
        <v>20</v>
      </c>
      <c r="E1834" s="7" t="s">
        <v>21</v>
      </c>
      <c r="F1834" s="7" t="s">
        <v>118</v>
      </c>
      <c r="G1834" s="7" t="s">
        <v>119</v>
      </c>
      <c r="H1834" s="7" t="s">
        <v>163</v>
      </c>
      <c r="I1834" s="7" t="s">
        <v>170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t="s">
        <v>137</v>
      </c>
    </row>
    <row r="1835" spans="1:17" x14ac:dyDescent="0.25">
      <c r="A1835" s="7" t="s">
        <v>162</v>
      </c>
      <c r="B1835" s="7" t="s">
        <v>18</v>
      </c>
      <c r="C1835" s="7" t="s">
        <v>19</v>
      </c>
      <c r="D1835" s="7" t="s">
        <v>20</v>
      </c>
      <c r="E1835" s="7" t="s">
        <v>21</v>
      </c>
      <c r="F1835" s="7" t="s">
        <v>120</v>
      </c>
      <c r="G1835" s="7" t="s">
        <v>121</v>
      </c>
      <c r="H1835" s="7" t="s">
        <v>163</v>
      </c>
      <c r="I1835" s="7" t="s">
        <v>170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t="s">
        <v>137</v>
      </c>
    </row>
    <row r="1836" spans="1:17" x14ac:dyDescent="0.25">
      <c r="A1836" s="7" t="s">
        <v>162</v>
      </c>
      <c r="B1836" s="7" t="s">
        <v>18</v>
      </c>
      <c r="C1836" s="7" t="s">
        <v>19</v>
      </c>
      <c r="D1836" s="7"/>
      <c r="E1836" s="7"/>
      <c r="F1836" s="7" t="s">
        <v>122</v>
      </c>
      <c r="G1836" s="7" t="s">
        <v>123</v>
      </c>
      <c r="H1836" s="7" t="s">
        <v>163</v>
      </c>
      <c r="I1836" s="7" t="s">
        <v>170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t="s">
        <v>137</v>
      </c>
    </row>
    <row r="1837" spans="1:17" x14ac:dyDescent="0.25">
      <c r="A1837" s="7" t="s">
        <v>162</v>
      </c>
      <c r="B1837" s="7" t="s">
        <v>18</v>
      </c>
      <c r="C1837" s="7" t="s">
        <v>19</v>
      </c>
      <c r="D1837" s="7"/>
      <c r="E1837" s="7"/>
      <c r="F1837" s="7" t="s">
        <v>124</v>
      </c>
      <c r="G1837" s="7" t="s">
        <v>125</v>
      </c>
      <c r="H1837" s="7" t="s">
        <v>163</v>
      </c>
      <c r="I1837" s="7" t="s">
        <v>170</v>
      </c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t="s">
        <v>137</v>
      </c>
    </row>
    <row r="1838" spans="1:17" x14ac:dyDescent="0.25">
      <c r="A1838" s="7" t="s">
        <v>162</v>
      </c>
      <c r="B1838" s="7" t="s">
        <v>18</v>
      </c>
      <c r="C1838" s="7" t="s">
        <v>19</v>
      </c>
      <c r="D1838" s="7" t="s">
        <v>20</v>
      </c>
      <c r="E1838" s="7" t="s">
        <v>21</v>
      </c>
      <c r="F1838" s="7" t="s">
        <v>22</v>
      </c>
      <c r="G1838" s="7" t="s">
        <v>23</v>
      </c>
      <c r="H1838" s="7" t="s">
        <v>163</v>
      </c>
      <c r="I1838" s="7" t="s">
        <v>171</v>
      </c>
      <c r="J1838" s="8">
        <v>3.2450599270620825E-4</v>
      </c>
      <c r="K1838" s="8">
        <v>3.1477081292502197E-4</v>
      </c>
      <c r="L1838" s="8">
        <v>1.8567384997425309E-4</v>
      </c>
      <c r="M1838" s="8">
        <v>1.7087466864591793E-3</v>
      </c>
      <c r="N1838" s="8">
        <v>5.3084533876201472E-3</v>
      </c>
      <c r="O1838" s="8">
        <v>4.0894679937485687E-4</v>
      </c>
      <c r="P1838" s="8">
        <v>1.6888148480541782E-6</v>
      </c>
      <c r="Q1838" t="s">
        <v>26</v>
      </c>
    </row>
    <row r="1839" spans="1:17" x14ac:dyDescent="0.25">
      <c r="A1839" s="7" t="s">
        <v>162</v>
      </c>
      <c r="B1839" s="7" t="s">
        <v>18</v>
      </c>
      <c r="C1839" s="7" t="s">
        <v>19</v>
      </c>
      <c r="D1839" s="7"/>
      <c r="E1839" s="7"/>
      <c r="F1839" s="7" t="s">
        <v>27</v>
      </c>
      <c r="G1839" s="7" t="s">
        <v>28</v>
      </c>
      <c r="H1839" s="7" t="s">
        <v>163</v>
      </c>
      <c r="I1839" s="7" t="s">
        <v>171</v>
      </c>
      <c r="J1839" s="8">
        <v>1.2031870944564436</v>
      </c>
      <c r="K1839" s="8">
        <v>1.1670914816227502</v>
      </c>
      <c r="L1839" s="8">
        <v>0.68843221724203696</v>
      </c>
      <c r="M1839" s="8">
        <v>6.3356055267190223</v>
      </c>
      <c r="N1839" s="8">
        <v>19.682418047948602</v>
      </c>
      <c r="O1839" s="8">
        <v>1.5162724953821256</v>
      </c>
      <c r="P1839" s="8">
        <v>6.2617032528728793E-3</v>
      </c>
      <c r="Q1839" t="s">
        <v>26</v>
      </c>
    </row>
    <row r="1840" spans="1:17" x14ac:dyDescent="0.25">
      <c r="A1840" s="7" t="s">
        <v>162</v>
      </c>
      <c r="B1840" s="7" t="s">
        <v>18</v>
      </c>
      <c r="C1840" s="7" t="s">
        <v>19</v>
      </c>
      <c r="D1840" s="7"/>
      <c r="E1840" s="7"/>
      <c r="F1840" s="7" t="s">
        <v>29</v>
      </c>
      <c r="G1840" s="7" t="s">
        <v>30</v>
      </c>
      <c r="H1840" s="7" t="s">
        <v>163</v>
      </c>
      <c r="I1840" s="7" t="s">
        <v>171</v>
      </c>
      <c r="J1840" s="8">
        <v>0.25960479416496657</v>
      </c>
      <c r="K1840" s="8">
        <v>0.2518166503400176</v>
      </c>
      <c r="L1840" s="8">
        <v>0.14853907997940247</v>
      </c>
      <c r="M1840" s="8">
        <v>1.3669973491673435</v>
      </c>
      <c r="N1840" s="8">
        <v>4.2467627100961174</v>
      </c>
      <c r="O1840" s="8">
        <v>0.32715743949988552</v>
      </c>
      <c r="P1840" s="8">
        <v>1.3510518784433426E-3</v>
      </c>
      <c r="Q1840" t="s">
        <v>26</v>
      </c>
    </row>
    <row r="1841" spans="1:17" x14ac:dyDescent="0.25">
      <c r="A1841" s="7" t="s">
        <v>162</v>
      </c>
      <c r="B1841" s="7" t="s">
        <v>18</v>
      </c>
      <c r="C1841" s="7" t="s">
        <v>19</v>
      </c>
      <c r="D1841" s="7"/>
      <c r="E1841" s="7"/>
      <c r="F1841" s="7" t="s">
        <v>31</v>
      </c>
      <c r="G1841" s="7" t="s">
        <v>32</v>
      </c>
      <c r="H1841" s="7" t="s">
        <v>163</v>
      </c>
      <c r="I1841" s="7" t="s">
        <v>171</v>
      </c>
      <c r="J1841" s="8">
        <v>0.12801761412259915</v>
      </c>
      <c r="K1841" s="8">
        <v>0.12417708569892118</v>
      </c>
      <c r="L1841" s="8">
        <v>7.3248333814842845E-2</v>
      </c>
      <c r="M1841" s="8">
        <v>0.67410056780814631</v>
      </c>
      <c r="N1841" s="8">
        <v>2.094184861416148</v>
      </c>
      <c r="O1841" s="8">
        <v>0.16132951235338105</v>
      </c>
      <c r="P1841" s="8">
        <v>6.6623745755737336E-4</v>
      </c>
      <c r="Q1841" t="s">
        <v>26</v>
      </c>
    </row>
    <row r="1842" spans="1:17" x14ac:dyDescent="0.25">
      <c r="A1842" s="7" t="s">
        <v>162</v>
      </c>
      <c r="B1842" s="7" t="s">
        <v>18</v>
      </c>
      <c r="C1842" s="7" t="s">
        <v>19</v>
      </c>
      <c r="D1842" s="7"/>
      <c r="E1842" s="7"/>
      <c r="F1842" s="7" t="s">
        <v>33</v>
      </c>
      <c r="G1842" s="7" t="s">
        <v>34</v>
      </c>
      <c r="H1842" s="7" t="s">
        <v>163</v>
      </c>
      <c r="I1842" s="7" t="s">
        <v>171</v>
      </c>
      <c r="J1842" s="8">
        <v>1.6798377218429579</v>
      </c>
      <c r="K1842" s="8">
        <v>1.629442590187669</v>
      </c>
      <c r="L1842" s="8">
        <v>0.96115925177671868</v>
      </c>
      <c r="M1842" s="8">
        <v>8.8454980971245885</v>
      </c>
      <c r="N1842" s="8">
        <v>27.479739806354459</v>
      </c>
      <c r="O1842" s="8">
        <v>2.1169540016438844</v>
      </c>
      <c r="P1842" s="8">
        <v>8.7423189424372608E-3</v>
      </c>
      <c r="Q1842" t="s">
        <v>26</v>
      </c>
    </row>
    <row r="1843" spans="1:17" x14ac:dyDescent="0.25">
      <c r="A1843" s="7" t="s">
        <v>162</v>
      </c>
      <c r="B1843" s="7" t="s">
        <v>18</v>
      </c>
      <c r="C1843" s="7" t="s">
        <v>19</v>
      </c>
      <c r="D1843" s="7" t="s">
        <v>20</v>
      </c>
      <c r="E1843" s="7" t="s">
        <v>21</v>
      </c>
      <c r="F1843" s="7" t="s">
        <v>35</v>
      </c>
      <c r="G1843" s="7" t="s">
        <v>36</v>
      </c>
      <c r="H1843" s="7" t="s">
        <v>163</v>
      </c>
      <c r="I1843" s="7" t="s">
        <v>171</v>
      </c>
      <c r="J1843" s="8">
        <v>0.11279017041486032</v>
      </c>
      <c r="K1843" s="8">
        <v>0.1094064653024145</v>
      </c>
      <c r="L1843" s="8">
        <v>6.4535588404801017E-2</v>
      </c>
      <c r="M1843" s="8">
        <v>0.59391762954604921</v>
      </c>
      <c r="N1843" s="8">
        <v>1.8450856862020726</v>
      </c>
      <c r="O1843" s="8">
        <v>0.14213968379271588</v>
      </c>
      <c r="P1843" s="8">
        <v>5.8698982081243094E-4</v>
      </c>
      <c r="Q1843" t="s">
        <v>26</v>
      </c>
    </row>
    <row r="1844" spans="1:17" x14ac:dyDescent="0.25">
      <c r="A1844" s="7" t="s">
        <v>162</v>
      </c>
      <c r="B1844" s="7" t="s">
        <v>18</v>
      </c>
      <c r="C1844" s="7" t="s">
        <v>19</v>
      </c>
      <c r="D1844" s="7"/>
      <c r="E1844" s="7"/>
      <c r="F1844" s="7" t="s">
        <v>37</v>
      </c>
      <c r="G1844" s="7" t="s">
        <v>38</v>
      </c>
      <c r="H1844" s="7" t="s">
        <v>163</v>
      </c>
      <c r="I1844" s="7" t="s">
        <v>171</v>
      </c>
      <c r="J1844" s="8">
        <v>67.009466069084411</v>
      </c>
      <c r="K1844" s="8">
        <v>64.999182087011874</v>
      </c>
      <c r="L1844" s="8">
        <v>28.158972435345909</v>
      </c>
      <c r="M1844" s="8">
        <v>393.65489093382354</v>
      </c>
      <c r="N1844" s="8">
        <v>802.25706627469867</v>
      </c>
      <c r="O1844" s="8">
        <v>80.74640567363268</v>
      </c>
      <c r="P1844" s="8">
        <v>0.24412526649963706</v>
      </c>
      <c r="Q1844" t="s">
        <v>26</v>
      </c>
    </row>
    <row r="1845" spans="1:17" x14ac:dyDescent="0.25">
      <c r="A1845" s="7" t="s">
        <v>162</v>
      </c>
      <c r="B1845" s="7" t="s">
        <v>18</v>
      </c>
      <c r="C1845" s="7" t="s">
        <v>19</v>
      </c>
      <c r="D1845" s="7"/>
      <c r="E1845" s="7"/>
      <c r="F1845" s="7" t="s">
        <v>39</v>
      </c>
      <c r="G1845" s="7" t="s">
        <v>40</v>
      </c>
      <c r="H1845" s="7" t="s">
        <v>163</v>
      </c>
      <c r="I1845" s="7" t="s">
        <v>171</v>
      </c>
      <c r="J1845" s="8">
        <v>8.132931442199344E-2</v>
      </c>
      <c r="K1845" s="8">
        <v>7.8889434989333637E-2</v>
      </c>
      <c r="L1845" s="8">
        <v>4.6534508649797184E-2</v>
      </c>
      <c r="M1845" s="8">
        <v>0.42825463829383181</v>
      </c>
      <c r="N1845" s="8">
        <v>1.3304311302722993</v>
      </c>
      <c r="O1845" s="8">
        <v>0.1024922915933235</v>
      </c>
      <c r="P1845" s="8">
        <v>4.232592212935784E-4</v>
      </c>
      <c r="Q1845" t="s">
        <v>26</v>
      </c>
    </row>
    <row r="1846" spans="1:17" x14ac:dyDescent="0.25">
      <c r="A1846" s="7" t="s">
        <v>162</v>
      </c>
      <c r="B1846" s="7" t="s">
        <v>18</v>
      </c>
      <c r="C1846" s="7" t="s">
        <v>19</v>
      </c>
      <c r="D1846" s="7" t="s">
        <v>20</v>
      </c>
      <c r="E1846" s="7" t="s">
        <v>21</v>
      </c>
      <c r="F1846" s="7" t="s">
        <v>41</v>
      </c>
      <c r="G1846" s="7" t="s">
        <v>42</v>
      </c>
      <c r="H1846" s="7" t="s">
        <v>163</v>
      </c>
      <c r="I1846" s="7" t="s">
        <v>171</v>
      </c>
      <c r="J1846" s="8">
        <v>1.8703633028105902</v>
      </c>
      <c r="K1846" s="8">
        <v>1.8142524037262724</v>
      </c>
      <c r="L1846" s="8">
        <v>1.070173010942852</v>
      </c>
      <c r="M1846" s="8">
        <v>9.8487459954119352</v>
      </c>
      <c r="N1846" s="8">
        <v>30.596465501560935</v>
      </c>
      <c r="O1846" s="8">
        <v>2.357056891226847</v>
      </c>
      <c r="P1846" s="8">
        <v>9.7338643601010688E-3</v>
      </c>
      <c r="Q1846" t="s">
        <v>26</v>
      </c>
    </row>
    <row r="1847" spans="1:17" x14ac:dyDescent="0.25">
      <c r="A1847" s="7" t="s">
        <v>162</v>
      </c>
      <c r="B1847" s="7" t="s">
        <v>18</v>
      </c>
      <c r="C1847" s="7" t="s">
        <v>19</v>
      </c>
      <c r="D1847" s="7" t="s">
        <v>20</v>
      </c>
      <c r="E1847" s="7" t="s">
        <v>21</v>
      </c>
      <c r="F1847" s="7" t="s">
        <v>43</v>
      </c>
      <c r="G1847" s="7" t="s">
        <v>44</v>
      </c>
      <c r="H1847" s="7" t="s">
        <v>163</v>
      </c>
      <c r="I1847" s="7" t="s">
        <v>171</v>
      </c>
      <c r="J1847" s="8">
        <v>3.5208900208623599E-2</v>
      </c>
      <c r="K1847" s="8">
        <v>3.415263320236489E-2</v>
      </c>
      <c r="L1847" s="8">
        <v>2.0145612722206462E-2</v>
      </c>
      <c r="M1847" s="8">
        <v>0.18539901548082097</v>
      </c>
      <c r="N1847" s="8">
        <v>0.57596719255678597</v>
      </c>
      <c r="O1847" s="8">
        <v>4.4370727732171975E-2</v>
      </c>
      <c r="P1847" s="8">
        <v>1.8323641101387835E-4</v>
      </c>
      <c r="Q1847" t="s">
        <v>26</v>
      </c>
    </row>
    <row r="1848" spans="1:17" x14ac:dyDescent="0.25">
      <c r="A1848" s="7" t="s">
        <v>162</v>
      </c>
      <c r="B1848" s="7" t="s">
        <v>18</v>
      </c>
      <c r="C1848" s="7" t="s">
        <v>19</v>
      </c>
      <c r="D1848" s="7"/>
      <c r="E1848" s="7"/>
      <c r="F1848" s="7" t="s">
        <v>45</v>
      </c>
      <c r="G1848" s="7" t="s">
        <v>46</v>
      </c>
      <c r="H1848" s="7" t="s">
        <v>163</v>
      </c>
      <c r="I1848" s="7" t="s">
        <v>171</v>
      </c>
      <c r="J1848" s="8">
        <v>3.3282441282294113</v>
      </c>
      <c r="K1848" s="8">
        <v>3.2283968043825286</v>
      </c>
      <c r="L1848" s="8">
        <v>1.4546701984780261</v>
      </c>
      <c r="M1848" s="8">
        <v>19.327488615252815</v>
      </c>
      <c r="N1848" s="8">
        <v>41.465058563559779</v>
      </c>
      <c r="O1848" s="8">
        <v>4.0309054160657585</v>
      </c>
      <c r="P1848" s="8">
        <v>1.2701262171855389E-2</v>
      </c>
      <c r="Q1848" t="s">
        <v>26</v>
      </c>
    </row>
    <row r="1849" spans="1:17" x14ac:dyDescent="0.25">
      <c r="A1849" s="7" t="s">
        <v>162</v>
      </c>
      <c r="B1849" s="7" t="s">
        <v>18</v>
      </c>
      <c r="C1849" s="7" t="s">
        <v>19</v>
      </c>
      <c r="D1849" s="7" t="s">
        <v>20</v>
      </c>
      <c r="E1849" s="7" t="s">
        <v>21</v>
      </c>
      <c r="F1849" s="7" t="s">
        <v>47</v>
      </c>
      <c r="G1849" s="7" t="s">
        <v>48</v>
      </c>
      <c r="H1849" s="7" t="s">
        <v>163</v>
      </c>
      <c r="I1849" s="7" t="s">
        <v>171</v>
      </c>
      <c r="J1849" s="8">
        <v>1.2006721730129705E-2</v>
      </c>
      <c r="K1849" s="8">
        <v>1.1646520078225813E-2</v>
      </c>
      <c r="L1849" s="8">
        <v>6.869932449047364E-3</v>
      </c>
      <c r="M1849" s="8">
        <v>6.3223627398989637E-2</v>
      </c>
      <c r="N1849" s="8">
        <v>0.19641277534194546</v>
      </c>
      <c r="O1849" s="8">
        <v>1.5131031576869704E-2</v>
      </c>
      <c r="P1849" s="8">
        <v>6.2486149378004592E-5</v>
      </c>
      <c r="Q1849" t="s">
        <v>26</v>
      </c>
    </row>
    <row r="1850" spans="1:17" x14ac:dyDescent="0.25">
      <c r="A1850" s="7" t="s">
        <v>162</v>
      </c>
      <c r="B1850" s="7" t="s">
        <v>18</v>
      </c>
      <c r="C1850" s="7" t="s">
        <v>19</v>
      </c>
      <c r="D1850" s="7"/>
      <c r="E1850" s="7"/>
      <c r="F1850" s="7" t="s">
        <v>49</v>
      </c>
      <c r="G1850" s="7" t="s">
        <v>50</v>
      </c>
      <c r="H1850" s="7" t="s">
        <v>163</v>
      </c>
      <c r="I1850" s="7" t="s">
        <v>171</v>
      </c>
      <c r="J1850" s="8">
        <v>2.9912962407658279</v>
      </c>
      <c r="K1850" s="8">
        <v>2.9015573535428527</v>
      </c>
      <c r="L1850" s="8">
        <v>1.7115415490626651</v>
      </c>
      <c r="M1850" s="8">
        <v>15.751226955780716</v>
      </c>
      <c r="N1850" s="8">
        <v>48.933323327082519</v>
      </c>
      <c r="O1850" s="8">
        <v>3.7696715966374308</v>
      </c>
      <c r="P1850" s="8">
        <v>1.5567495269363416E-2</v>
      </c>
      <c r="Q1850" t="s">
        <v>26</v>
      </c>
    </row>
    <row r="1851" spans="1:17" x14ac:dyDescent="0.25">
      <c r="A1851" s="7" t="s">
        <v>162</v>
      </c>
      <c r="B1851" s="7" t="s">
        <v>18</v>
      </c>
      <c r="C1851" s="7" t="s">
        <v>19</v>
      </c>
      <c r="D1851" s="7"/>
      <c r="E1851" s="7"/>
      <c r="F1851" s="7" t="s">
        <v>51</v>
      </c>
      <c r="G1851" s="7" t="s">
        <v>52</v>
      </c>
      <c r="H1851" s="7" t="s">
        <v>163</v>
      </c>
      <c r="I1851" s="7" t="s">
        <v>171</v>
      </c>
      <c r="J1851" s="8">
        <v>2.5428289588458477</v>
      </c>
      <c r="K1851" s="8">
        <v>2.4665440900804723</v>
      </c>
      <c r="L1851" s="8">
        <v>1.4549402883982472</v>
      </c>
      <c r="M1851" s="8">
        <v>13.389739035094129</v>
      </c>
      <c r="N1851" s="8">
        <v>41.597040745391467</v>
      </c>
      <c r="O1851" s="8">
        <v>3.2045071199013782</v>
      </c>
      <c r="P1851" s="8">
        <v>1.3233553149352539E-2</v>
      </c>
      <c r="Q1851" t="s">
        <v>26</v>
      </c>
    </row>
    <row r="1852" spans="1:17" x14ac:dyDescent="0.25">
      <c r="A1852" s="7" t="s">
        <v>162</v>
      </c>
      <c r="B1852" s="7" t="s">
        <v>18</v>
      </c>
      <c r="C1852" s="7" t="s">
        <v>19</v>
      </c>
      <c r="D1852" s="7"/>
      <c r="E1852" s="7"/>
      <c r="F1852" s="7" t="s">
        <v>53</v>
      </c>
      <c r="G1852" s="7" t="s">
        <v>54</v>
      </c>
      <c r="H1852" s="7" t="s">
        <v>163</v>
      </c>
      <c r="I1852" s="7" t="s">
        <v>171</v>
      </c>
      <c r="J1852" s="8">
        <v>0.53770642991418705</v>
      </c>
      <c r="K1852" s="8">
        <v>0.52157523701676145</v>
      </c>
      <c r="L1852" s="8">
        <v>0.30766156940733741</v>
      </c>
      <c r="M1852" s="8">
        <v>2.8313932594628604</v>
      </c>
      <c r="N1852" s="8">
        <v>8.7961072632865847</v>
      </c>
      <c r="O1852" s="8">
        <v>0.67762484656413791</v>
      </c>
      <c r="P1852" s="8">
        <v>2.7983662032257735E-3</v>
      </c>
      <c r="Q1852" t="s">
        <v>26</v>
      </c>
    </row>
    <row r="1853" spans="1:17" x14ac:dyDescent="0.25">
      <c r="A1853" s="7" t="s">
        <v>162</v>
      </c>
      <c r="B1853" s="7" t="s">
        <v>18</v>
      </c>
      <c r="C1853" s="7" t="s">
        <v>19</v>
      </c>
      <c r="D1853" s="7"/>
      <c r="E1853" s="7"/>
      <c r="F1853" s="7" t="s">
        <v>55</v>
      </c>
      <c r="G1853" s="7" t="s">
        <v>56</v>
      </c>
      <c r="H1853" s="7" t="s">
        <v>163</v>
      </c>
      <c r="I1853" s="7" t="s">
        <v>171</v>
      </c>
      <c r="J1853" s="8">
        <v>0.17190704963611383</v>
      </c>
      <c r="K1853" s="8">
        <v>0.16674983814703043</v>
      </c>
      <c r="L1853" s="8">
        <v>9.8360722023860592E-2</v>
      </c>
      <c r="M1853" s="8">
        <v>0.90520855715175041</v>
      </c>
      <c r="N1853" s="8">
        <v>2.8121531820917731</v>
      </c>
      <c r="O1853" s="8">
        <v>0.21663956696883047</v>
      </c>
      <c r="P1853" s="8">
        <v>8.9464966575670104E-4</v>
      </c>
      <c r="Q1853" t="s">
        <v>26</v>
      </c>
    </row>
    <row r="1854" spans="1:17" x14ac:dyDescent="0.25">
      <c r="A1854" s="7" t="s">
        <v>162</v>
      </c>
      <c r="B1854" s="7" t="s">
        <v>18</v>
      </c>
      <c r="C1854" s="7" t="s">
        <v>19</v>
      </c>
      <c r="D1854" s="7"/>
      <c r="E1854" s="7"/>
      <c r="F1854" s="7" t="s">
        <v>57</v>
      </c>
      <c r="G1854" s="7" t="s">
        <v>58</v>
      </c>
      <c r="H1854" s="7" t="s">
        <v>163</v>
      </c>
      <c r="I1854" s="7" t="s">
        <v>171</v>
      </c>
      <c r="J1854" s="8">
        <v>1.653455384635943</v>
      </c>
      <c r="K1854" s="8">
        <v>1.6038517230968647</v>
      </c>
      <c r="L1854" s="8">
        <v>0.94606396777381185</v>
      </c>
      <c r="M1854" s="8">
        <v>8.7065769915154583</v>
      </c>
      <c r="N1854" s="8">
        <v>27.04816254594094</v>
      </c>
      <c r="O1854" s="8">
        <v>2.0837066268547084</v>
      </c>
      <c r="P1854" s="8">
        <v>8.605018295290456E-3</v>
      </c>
      <c r="Q1854" t="s">
        <v>26</v>
      </c>
    </row>
    <row r="1855" spans="1:17" x14ac:dyDescent="0.25">
      <c r="A1855" s="7" t="s">
        <v>162</v>
      </c>
      <c r="B1855" s="7" t="s">
        <v>18</v>
      </c>
      <c r="C1855" s="7" t="s">
        <v>19</v>
      </c>
      <c r="D1855" s="7" t="s">
        <v>20</v>
      </c>
      <c r="E1855" s="7" t="s">
        <v>21</v>
      </c>
      <c r="F1855" s="7" t="s">
        <v>59</v>
      </c>
      <c r="G1855" s="7" t="s">
        <v>60</v>
      </c>
      <c r="H1855" s="7" t="s">
        <v>163</v>
      </c>
      <c r="I1855" s="7" t="s">
        <v>171</v>
      </c>
      <c r="J1855" s="8">
        <v>7.1553571391718918E-2</v>
      </c>
      <c r="K1855" s="8">
        <v>6.9406964249967354E-2</v>
      </c>
      <c r="L1855" s="8">
        <v>4.0941083919322808E-2</v>
      </c>
      <c r="M1855" s="8">
        <v>0.37677864436424907</v>
      </c>
      <c r="N1855" s="8">
        <v>1.1705139719702424</v>
      </c>
      <c r="O1855" s="8">
        <v>9.017276926215595E-2</v>
      </c>
      <c r="P1855" s="8">
        <v>3.723836739959463E-4</v>
      </c>
      <c r="Q1855" t="s">
        <v>26</v>
      </c>
    </row>
    <row r="1856" spans="1:17" x14ac:dyDescent="0.25">
      <c r="A1856" s="7" t="s">
        <v>162</v>
      </c>
      <c r="B1856" s="7" t="s">
        <v>18</v>
      </c>
      <c r="C1856" s="7" t="s">
        <v>19</v>
      </c>
      <c r="D1856" s="7" t="s">
        <v>20</v>
      </c>
      <c r="E1856" s="7" t="s">
        <v>21</v>
      </c>
      <c r="F1856" s="7" t="s">
        <v>61</v>
      </c>
      <c r="G1856" s="7" t="s">
        <v>62</v>
      </c>
      <c r="H1856" s="7" t="s">
        <v>163</v>
      </c>
      <c r="I1856" s="7" t="s">
        <v>171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t="s">
        <v>26</v>
      </c>
    </row>
    <row r="1857" spans="1:17" x14ac:dyDescent="0.25">
      <c r="A1857" s="7" t="s">
        <v>162</v>
      </c>
      <c r="B1857" s="7" t="s">
        <v>18</v>
      </c>
      <c r="C1857" s="7" t="s">
        <v>19</v>
      </c>
      <c r="D1857" s="7"/>
      <c r="E1857" s="7"/>
      <c r="F1857" s="7" t="s">
        <v>63</v>
      </c>
      <c r="G1857" s="7" t="s">
        <v>64</v>
      </c>
      <c r="H1857" s="7" t="s">
        <v>163</v>
      </c>
      <c r="I1857" s="7" t="s">
        <v>171</v>
      </c>
      <c r="J1857" s="8">
        <v>35.62067376552271</v>
      </c>
      <c r="K1857" s="8">
        <v>34.552053552557027</v>
      </c>
      <c r="L1857" s="8">
        <v>15.177007560612857</v>
      </c>
      <c r="M1857" s="8">
        <v>208.42282513226078</v>
      </c>
      <c r="N1857" s="8">
        <v>432.47562111155827</v>
      </c>
      <c r="O1857" s="8">
        <v>42.998619563355149</v>
      </c>
      <c r="P1857" s="8">
        <v>0.13191190638353842</v>
      </c>
      <c r="Q1857" t="s">
        <v>26</v>
      </c>
    </row>
    <row r="1858" spans="1:17" x14ac:dyDescent="0.25">
      <c r="A1858" s="7" t="s">
        <v>162</v>
      </c>
      <c r="B1858" s="7" t="s">
        <v>18</v>
      </c>
      <c r="C1858" s="7" t="s">
        <v>19</v>
      </c>
      <c r="D1858" s="7" t="s">
        <v>20</v>
      </c>
      <c r="E1858" s="7" t="s">
        <v>21</v>
      </c>
      <c r="F1858" s="7" t="s">
        <v>65</v>
      </c>
      <c r="G1858" s="7" t="s">
        <v>66</v>
      </c>
      <c r="H1858" s="7" t="s">
        <v>163</v>
      </c>
      <c r="I1858" s="7" t="s">
        <v>171</v>
      </c>
      <c r="J1858" s="8">
        <v>25.887500235808471</v>
      </c>
      <c r="K1858" s="8">
        <v>25.110875228734212</v>
      </c>
      <c r="L1858" s="8">
        <v>10.846886649809031</v>
      </c>
      <c r="M1858" s="8">
        <v>152.2059903362678</v>
      </c>
      <c r="N1858" s="8">
        <v>309.01894839206102</v>
      </c>
      <c r="O1858" s="8">
        <v>31.182934338526792</v>
      </c>
      <c r="P1858" s="8">
        <v>9.3986701169729514E-2</v>
      </c>
      <c r="Q1858" t="s">
        <v>26</v>
      </c>
    </row>
    <row r="1859" spans="1:17" x14ac:dyDescent="0.25">
      <c r="A1859" s="7" t="s">
        <v>162</v>
      </c>
      <c r="B1859" s="7" t="s">
        <v>18</v>
      </c>
      <c r="C1859" s="7" t="s">
        <v>19</v>
      </c>
      <c r="D1859" s="7"/>
      <c r="E1859" s="7"/>
      <c r="F1859" s="7" t="s">
        <v>67</v>
      </c>
      <c r="G1859" s="7" t="s">
        <v>68</v>
      </c>
      <c r="H1859" s="7" t="s">
        <v>163</v>
      </c>
      <c r="I1859" s="7" t="s">
        <v>171</v>
      </c>
      <c r="J1859" s="8">
        <v>2.127582977929166</v>
      </c>
      <c r="K1859" s="8">
        <v>2.063755488591291</v>
      </c>
      <c r="L1859" s="8">
        <v>1.2173473881249437</v>
      </c>
      <c r="M1859" s="8">
        <v>11.203184056433802</v>
      </c>
      <c r="N1859" s="8">
        <v>34.804211079258046</v>
      </c>
      <c r="O1859" s="8">
        <v>2.6812085717513274</v>
      </c>
      <c r="P1859" s="8">
        <v>1.1072503449411214E-2</v>
      </c>
      <c r="Q1859" t="s">
        <v>26</v>
      </c>
    </row>
    <row r="1860" spans="1:17" x14ac:dyDescent="0.25">
      <c r="A1860" s="7" t="s">
        <v>162</v>
      </c>
      <c r="B1860" s="7" t="s">
        <v>18</v>
      </c>
      <c r="C1860" s="7" t="s">
        <v>19</v>
      </c>
      <c r="D1860" s="7"/>
      <c r="E1860" s="7"/>
      <c r="F1860" s="7" t="s">
        <v>69</v>
      </c>
      <c r="G1860" s="7" t="s">
        <v>70</v>
      </c>
      <c r="H1860" s="7" t="s">
        <v>163</v>
      </c>
      <c r="I1860" s="7" t="s">
        <v>171</v>
      </c>
      <c r="J1860" s="8">
        <v>56.762689306455293</v>
      </c>
      <c r="K1860" s="8">
        <v>55.059808627261624</v>
      </c>
      <c r="L1860" s="8">
        <v>23.820597538224138</v>
      </c>
      <c r="M1860" s="8">
        <v>333.58899367315928</v>
      </c>
      <c r="N1860" s="8">
        <v>678.64333766716163</v>
      </c>
      <c r="O1860" s="8">
        <v>68.387253901569949</v>
      </c>
      <c r="P1860" s="8">
        <v>0.20646152499057643</v>
      </c>
      <c r="Q1860" t="s">
        <v>26</v>
      </c>
    </row>
    <row r="1861" spans="1:17" x14ac:dyDescent="0.25">
      <c r="A1861" s="7" t="s">
        <v>162</v>
      </c>
      <c r="B1861" s="7" t="s">
        <v>18</v>
      </c>
      <c r="C1861" s="7" t="s">
        <v>19</v>
      </c>
      <c r="D1861" s="7"/>
      <c r="E1861" s="7"/>
      <c r="F1861" s="7" t="s">
        <v>71</v>
      </c>
      <c r="G1861" s="7" t="s">
        <v>72</v>
      </c>
      <c r="H1861" s="7" t="s">
        <v>163</v>
      </c>
      <c r="I1861" s="7" t="s">
        <v>171</v>
      </c>
      <c r="J1861" s="8">
        <v>0.2335631882502934</v>
      </c>
      <c r="K1861" s="8">
        <v>0.22655629260278459</v>
      </c>
      <c r="L1861" s="8">
        <v>0.13363875351896867</v>
      </c>
      <c r="M1861" s="8">
        <v>1.2298704275789945</v>
      </c>
      <c r="N1861" s="8">
        <v>3.8207593257396013</v>
      </c>
      <c r="O1861" s="8">
        <v>0.29433945885005325</v>
      </c>
      <c r="P1861" s="8">
        <v>1.2155244868869949E-3</v>
      </c>
      <c r="Q1861" t="s">
        <v>26</v>
      </c>
    </row>
    <row r="1862" spans="1:17" x14ac:dyDescent="0.25">
      <c r="A1862" s="7" t="s">
        <v>162</v>
      </c>
      <c r="B1862" s="7" t="s">
        <v>18</v>
      </c>
      <c r="C1862" s="7" t="s">
        <v>19</v>
      </c>
      <c r="D1862" s="7" t="s">
        <v>20</v>
      </c>
      <c r="E1862" s="7" t="s">
        <v>21</v>
      </c>
      <c r="F1862" s="7" t="s">
        <v>73</v>
      </c>
      <c r="G1862" s="7" t="s">
        <v>74</v>
      </c>
      <c r="H1862" s="7" t="s">
        <v>163</v>
      </c>
      <c r="I1862" s="7" t="s">
        <v>171</v>
      </c>
      <c r="J1862" s="8">
        <v>0.15193776210995552</v>
      </c>
      <c r="K1862" s="8">
        <v>0.14737962924665685</v>
      </c>
      <c r="L1862" s="8">
        <v>8.6934817481069973E-2</v>
      </c>
      <c r="M1862" s="8">
        <v>0.80005655793376851</v>
      </c>
      <c r="N1862" s="8">
        <v>2.4854842317510979</v>
      </c>
      <c r="O1862" s="8">
        <v>0.19147400330230016</v>
      </c>
      <c r="P1862" s="8">
        <v>7.907242220445669E-4</v>
      </c>
      <c r="Q1862" t="s">
        <v>26</v>
      </c>
    </row>
    <row r="1863" spans="1:17" x14ac:dyDescent="0.25">
      <c r="A1863" s="7" t="s">
        <v>162</v>
      </c>
      <c r="B1863" s="7" t="s">
        <v>18</v>
      </c>
      <c r="C1863" s="7" t="s">
        <v>19</v>
      </c>
      <c r="D1863" s="7" t="s">
        <v>20</v>
      </c>
      <c r="E1863" s="7" t="s">
        <v>21</v>
      </c>
      <c r="F1863" s="7" t="s">
        <v>75</v>
      </c>
      <c r="G1863" s="7" t="s">
        <v>76</v>
      </c>
      <c r="H1863" s="7" t="s">
        <v>163</v>
      </c>
      <c r="I1863" s="7" t="s">
        <v>171</v>
      </c>
      <c r="J1863" s="8">
        <v>6.4901198541241645E-3</v>
      </c>
      <c r="K1863" s="8">
        <v>6.2954162585004397E-3</v>
      </c>
      <c r="L1863" s="8">
        <v>3.7134769994850618E-3</v>
      </c>
      <c r="M1863" s="8">
        <v>3.4174933729183586E-2</v>
      </c>
      <c r="N1863" s="8">
        <v>0.10616906775240295</v>
      </c>
      <c r="O1863" s="8">
        <v>8.1789359874971379E-3</v>
      </c>
      <c r="P1863" s="8">
        <v>3.3776296961083568E-5</v>
      </c>
      <c r="Q1863" t="s">
        <v>26</v>
      </c>
    </row>
    <row r="1864" spans="1:17" x14ac:dyDescent="0.25">
      <c r="A1864" s="7" t="s">
        <v>162</v>
      </c>
      <c r="B1864" s="7" t="s">
        <v>18</v>
      </c>
      <c r="C1864" s="7" t="s">
        <v>19</v>
      </c>
      <c r="D1864" s="7"/>
      <c r="E1864" s="7"/>
      <c r="F1864" s="7" t="s">
        <v>77</v>
      </c>
      <c r="G1864" s="7" t="s">
        <v>78</v>
      </c>
      <c r="H1864" s="7" t="s">
        <v>163</v>
      </c>
      <c r="I1864" s="7" t="s">
        <v>171</v>
      </c>
      <c r="J1864" s="8">
        <v>7.4068492835192026E-2</v>
      </c>
      <c r="K1864" s="8">
        <v>7.1846438050136269E-2</v>
      </c>
      <c r="L1864" s="8">
        <v>4.2380056256623271E-2</v>
      </c>
      <c r="M1864" s="8">
        <v>0.39002143118430771</v>
      </c>
      <c r="N1864" s="8">
        <v>1.2116544857242986</v>
      </c>
      <c r="O1864" s="8">
        <v>9.3342106957311086E-2</v>
      </c>
      <c r="P1864" s="8">
        <v>3.8547198906836619E-4</v>
      </c>
      <c r="Q1864" t="s">
        <v>26</v>
      </c>
    </row>
    <row r="1865" spans="1:17" x14ac:dyDescent="0.25">
      <c r="A1865" s="7" t="s">
        <v>162</v>
      </c>
      <c r="B1865" s="7" t="s">
        <v>18</v>
      </c>
      <c r="C1865" s="7" t="s">
        <v>19</v>
      </c>
      <c r="D1865" s="7"/>
      <c r="E1865" s="7"/>
      <c r="F1865" s="7" t="s">
        <v>79</v>
      </c>
      <c r="G1865" s="7" t="s">
        <v>80</v>
      </c>
      <c r="H1865" s="7" t="s">
        <v>163</v>
      </c>
      <c r="I1865" s="7" t="s">
        <v>171</v>
      </c>
      <c r="J1865" s="8">
        <v>14.741121384252539</v>
      </c>
      <c r="K1865" s="8">
        <v>14.298887742724961</v>
      </c>
      <c r="L1865" s="8">
        <v>6.1810815789519458</v>
      </c>
      <c r="M1865" s="8">
        <v>86.652483735485347</v>
      </c>
      <c r="N1865" s="8">
        <v>176.09568221030665</v>
      </c>
      <c r="O1865" s="8">
        <v>17.75814982116551</v>
      </c>
      <c r="P1865" s="8">
        <v>5.3565478107674522E-2</v>
      </c>
      <c r="Q1865" t="s">
        <v>26</v>
      </c>
    </row>
    <row r="1866" spans="1:17" x14ac:dyDescent="0.25">
      <c r="A1866" s="7" t="s">
        <v>162</v>
      </c>
      <c r="B1866" s="7" t="s">
        <v>18</v>
      </c>
      <c r="C1866" s="7" t="s">
        <v>19</v>
      </c>
      <c r="D1866" s="7"/>
      <c r="E1866" s="7"/>
      <c r="F1866" s="7" t="s">
        <v>81</v>
      </c>
      <c r="G1866" s="7" t="s">
        <v>82</v>
      </c>
      <c r="H1866" s="7" t="s">
        <v>163</v>
      </c>
      <c r="I1866" s="7" t="s">
        <v>171</v>
      </c>
      <c r="J1866" s="8">
        <v>0.3768123024055402</v>
      </c>
      <c r="K1866" s="8">
        <v>0.365507933333374</v>
      </c>
      <c r="L1866" s="8">
        <v>0.21560215366697802</v>
      </c>
      <c r="M1866" s="8">
        <v>1.9841752929828185</v>
      </c>
      <c r="N1866" s="8">
        <v>6.16410971803717</v>
      </c>
      <c r="O1866" s="8">
        <v>0.47486391159909164</v>
      </c>
      <c r="P1866" s="8">
        <v>1.9610306913749112E-3</v>
      </c>
      <c r="Q1866" t="s">
        <v>26</v>
      </c>
    </row>
    <row r="1867" spans="1:17" x14ac:dyDescent="0.25">
      <c r="A1867" s="7" t="s">
        <v>162</v>
      </c>
      <c r="B1867" s="7" t="s">
        <v>18</v>
      </c>
      <c r="C1867" s="7" t="s">
        <v>19</v>
      </c>
      <c r="D1867" s="7"/>
      <c r="E1867" s="7"/>
      <c r="F1867" s="7" t="s">
        <v>83</v>
      </c>
      <c r="G1867" s="7" t="s">
        <v>84</v>
      </c>
      <c r="H1867" s="7" t="s">
        <v>163</v>
      </c>
      <c r="I1867" s="7" t="s">
        <v>171</v>
      </c>
      <c r="J1867" s="8">
        <v>3.3586370245092555E-2</v>
      </c>
      <c r="K1867" s="8">
        <v>3.257877913773978E-2</v>
      </c>
      <c r="L1867" s="8">
        <v>1.9217243472335197E-2</v>
      </c>
      <c r="M1867" s="8">
        <v>0.17685528204852508</v>
      </c>
      <c r="N1867" s="8">
        <v>0.54942492561868528</v>
      </c>
      <c r="O1867" s="8">
        <v>4.232599373529769E-2</v>
      </c>
      <c r="P1867" s="8">
        <v>1.7479233677360746E-4</v>
      </c>
      <c r="Q1867" t="s">
        <v>26</v>
      </c>
    </row>
    <row r="1868" spans="1:17" x14ac:dyDescent="0.25">
      <c r="A1868" s="7" t="s">
        <v>162</v>
      </c>
      <c r="B1868" s="7" t="s">
        <v>18</v>
      </c>
      <c r="C1868" s="7" t="s">
        <v>19</v>
      </c>
      <c r="D1868" s="7" t="s">
        <v>20</v>
      </c>
      <c r="E1868" s="7" t="s">
        <v>21</v>
      </c>
      <c r="F1868" s="7" t="s">
        <v>85</v>
      </c>
      <c r="G1868" s="7" t="s">
        <v>86</v>
      </c>
      <c r="H1868" s="7" t="s">
        <v>163</v>
      </c>
      <c r="I1868" s="7" t="s">
        <v>171</v>
      </c>
      <c r="J1868" s="8">
        <v>2.1660775013139399E-2</v>
      </c>
      <c r="K1868" s="8">
        <v>2.1010951762745218E-2</v>
      </c>
      <c r="L1868" s="8">
        <v>1.2393729485781393E-2</v>
      </c>
      <c r="M1868" s="8">
        <v>0.11405884132115023</v>
      </c>
      <c r="N1868" s="8">
        <v>0.35433926362364482</v>
      </c>
      <c r="O1868" s="8">
        <v>2.7297198858271698E-2</v>
      </c>
      <c r="P1868" s="8">
        <v>1.1272839110761639E-4</v>
      </c>
      <c r="Q1868" t="s">
        <v>26</v>
      </c>
    </row>
    <row r="1869" spans="1:17" x14ac:dyDescent="0.25">
      <c r="A1869" s="7" t="s">
        <v>162</v>
      </c>
      <c r="B1869" s="7" t="s">
        <v>18</v>
      </c>
      <c r="C1869" s="7" t="s">
        <v>19</v>
      </c>
      <c r="D1869" s="7"/>
      <c r="E1869" s="7"/>
      <c r="F1869" s="7" t="s">
        <v>87</v>
      </c>
      <c r="G1869" s="7" t="s">
        <v>88</v>
      </c>
      <c r="H1869" s="7" t="s">
        <v>163</v>
      </c>
      <c r="I1869" s="7" t="s">
        <v>171</v>
      </c>
      <c r="J1869" s="8">
        <v>0.19689401107449186</v>
      </c>
      <c r="K1869" s="8">
        <v>0.19098719074225709</v>
      </c>
      <c r="L1869" s="8">
        <v>0.11265760847187807</v>
      </c>
      <c r="M1869" s="8">
        <v>1.0367820520091071</v>
      </c>
      <c r="N1869" s="8">
        <v>3.2209040929385244</v>
      </c>
      <c r="O1869" s="8">
        <v>0.24812847052069442</v>
      </c>
      <c r="P1869" s="8">
        <v>1.0246884090568727E-3</v>
      </c>
      <c r="Q1869" t="s">
        <v>26</v>
      </c>
    </row>
    <row r="1870" spans="1:17" x14ac:dyDescent="0.25">
      <c r="A1870" s="7" t="s">
        <v>162</v>
      </c>
      <c r="B1870" s="7" t="s">
        <v>18</v>
      </c>
      <c r="C1870" s="7" t="s">
        <v>19</v>
      </c>
      <c r="D1870" s="7"/>
      <c r="E1870" s="7"/>
      <c r="F1870" s="7" t="s">
        <v>89</v>
      </c>
      <c r="G1870" s="7" t="s">
        <v>90</v>
      </c>
      <c r="H1870" s="7" t="s">
        <v>163</v>
      </c>
      <c r="I1870" s="7" t="s">
        <v>171</v>
      </c>
      <c r="J1870" s="8">
        <v>2.5385292544424907</v>
      </c>
      <c r="K1870" s="8">
        <v>2.4623733768092158</v>
      </c>
      <c r="L1870" s="8">
        <v>1.4524801098860884</v>
      </c>
      <c r="M1870" s="8">
        <v>13.367098141498547</v>
      </c>
      <c r="N1870" s="8">
        <v>41.526703738005509</v>
      </c>
      <c r="O1870" s="8">
        <v>3.1990885748096618</v>
      </c>
      <c r="P1870" s="8">
        <v>1.3211176352615824E-2</v>
      </c>
      <c r="Q1870" t="s">
        <v>26</v>
      </c>
    </row>
    <row r="1871" spans="1:17" x14ac:dyDescent="0.25">
      <c r="A1871" s="7" t="s">
        <v>162</v>
      </c>
      <c r="B1871" s="7" t="s">
        <v>18</v>
      </c>
      <c r="C1871" s="7" t="s">
        <v>19</v>
      </c>
      <c r="D1871" s="7"/>
      <c r="E1871" s="7"/>
      <c r="F1871" s="7" t="s">
        <v>91</v>
      </c>
      <c r="G1871" s="7" t="s">
        <v>92</v>
      </c>
      <c r="H1871" s="7" t="s">
        <v>163</v>
      </c>
      <c r="I1871" s="7" t="s">
        <v>171</v>
      </c>
      <c r="J1871" s="8">
        <v>0.16111722537863241</v>
      </c>
      <c r="K1871" s="8">
        <v>0.15628370861727342</v>
      </c>
      <c r="L1871" s="8">
        <v>9.218706651221667E-2</v>
      </c>
      <c r="M1871" s="8">
        <v>0.84839272982698266</v>
      </c>
      <c r="N1871" s="8">
        <v>2.6356471069534035</v>
      </c>
      <c r="O1871" s="8">
        <v>0.20304208588961647</v>
      </c>
      <c r="P1871" s="8">
        <v>8.3849657205889959E-4</v>
      </c>
      <c r="Q1871" t="s">
        <v>26</v>
      </c>
    </row>
    <row r="1872" spans="1:17" x14ac:dyDescent="0.25">
      <c r="A1872" s="7" t="s">
        <v>162</v>
      </c>
      <c r="B1872" s="7" t="s">
        <v>18</v>
      </c>
      <c r="C1872" s="7" t="s">
        <v>19</v>
      </c>
      <c r="D1872" s="7"/>
      <c r="E1872" s="7"/>
      <c r="F1872" s="7" t="s">
        <v>93</v>
      </c>
      <c r="G1872" s="7" t="s">
        <v>94</v>
      </c>
      <c r="H1872" s="7" t="s">
        <v>163</v>
      </c>
      <c r="I1872" s="7" t="s">
        <v>171</v>
      </c>
      <c r="J1872" s="8">
        <v>3.6588050677624981E-2</v>
      </c>
      <c r="K1872" s="8">
        <v>3.5490409157296225E-2</v>
      </c>
      <c r="L1872" s="8">
        <v>2.0934726584597035E-2</v>
      </c>
      <c r="M1872" s="8">
        <v>0.19266118889827247</v>
      </c>
      <c r="N1872" s="8">
        <v>0.59852811945417161</v>
      </c>
      <c r="O1872" s="8">
        <v>4.610875162951511E-2</v>
      </c>
      <c r="P1872" s="8">
        <v>1.9041387411810858E-4</v>
      </c>
      <c r="Q1872" t="s">
        <v>26</v>
      </c>
    </row>
    <row r="1873" spans="1:17" x14ac:dyDescent="0.25">
      <c r="A1873" s="7" t="s">
        <v>162</v>
      </c>
      <c r="B1873" s="7" t="s">
        <v>18</v>
      </c>
      <c r="C1873" s="7" t="s">
        <v>19</v>
      </c>
      <c r="D1873" s="7"/>
      <c r="E1873" s="7"/>
      <c r="F1873" s="7" t="s">
        <v>95</v>
      </c>
      <c r="G1873" s="7" t="s">
        <v>96</v>
      </c>
      <c r="H1873" s="7" t="s">
        <v>163</v>
      </c>
      <c r="I1873" s="7" t="s">
        <v>171</v>
      </c>
      <c r="J1873" s="8">
        <v>0.27923740672369218</v>
      </c>
      <c r="K1873" s="8">
        <v>0.27086028452198141</v>
      </c>
      <c r="L1873" s="8">
        <v>0.15977234790284478</v>
      </c>
      <c r="M1873" s="8">
        <v>1.4703765236981239</v>
      </c>
      <c r="N1873" s="8">
        <v>4.5679241400471371</v>
      </c>
      <c r="O1873" s="8">
        <v>0.35189872086206436</v>
      </c>
      <c r="P1873" s="8">
        <v>1.4532251767506205E-3</v>
      </c>
      <c r="Q1873" t="s">
        <v>26</v>
      </c>
    </row>
    <row r="1874" spans="1:17" x14ac:dyDescent="0.25">
      <c r="A1874" s="7" t="s">
        <v>162</v>
      </c>
      <c r="B1874" s="7" t="s">
        <v>18</v>
      </c>
      <c r="C1874" s="7" t="s">
        <v>19</v>
      </c>
      <c r="D1874" s="7"/>
      <c r="E1874" s="7"/>
      <c r="F1874" s="7" t="s">
        <v>97</v>
      </c>
      <c r="G1874" s="7" t="s">
        <v>98</v>
      </c>
      <c r="H1874" s="7" t="s">
        <v>163</v>
      </c>
      <c r="I1874" s="7" t="s">
        <v>171</v>
      </c>
      <c r="J1874" s="8">
        <v>6.1250506123296806E-2</v>
      </c>
      <c r="K1874" s="8">
        <v>5.9412990939597898E-2</v>
      </c>
      <c r="L1874" s="8">
        <v>3.5045939182640269E-2</v>
      </c>
      <c r="M1874" s="8">
        <v>0.3225259370691701</v>
      </c>
      <c r="N1874" s="8">
        <v>1.0019705769133027</v>
      </c>
      <c r="O1874" s="8">
        <v>7.7188708382004242E-2</v>
      </c>
      <c r="P1874" s="8">
        <v>3.1876380257022616E-4</v>
      </c>
      <c r="Q1874" t="s">
        <v>26</v>
      </c>
    </row>
    <row r="1875" spans="1:17" x14ac:dyDescent="0.25">
      <c r="A1875" s="7" t="s">
        <v>162</v>
      </c>
      <c r="B1875" s="7" t="s">
        <v>18</v>
      </c>
      <c r="C1875" s="7" t="s">
        <v>19</v>
      </c>
      <c r="D1875" s="7"/>
      <c r="E1875" s="7"/>
      <c r="F1875" s="7" t="s">
        <v>99</v>
      </c>
      <c r="G1875" s="7" t="s">
        <v>100</v>
      </c>
      <c r="H1875" s="7" t="s">
        <v>163</v>
      </c>
      <c r="I1875" s="7" t="s">
        <v>171</v>
      </c>
      <c r="J1875" s="8">
        <v>158.88079008377593</v>
      </c>
      <c r="K1875" s="8">
        <v>154.11436638126264</v>
      </c>
      <c r="L1875" s="8">
        <v>66.739667045014954</v>
      </c>
      <c r="M1875" s="8">
        <v>933.4671347697556</v>
      </c>
      <c r="N1875" s="8">
        <v>1901.4222205549186</v>
      </c>
      <c r="O1875" s="8">
        <v>191.44196691435181</v>
      </c>
      <c r="P1875" s="8">
        <v>0.57856061592365926</v>
      </c>
      <c r="Q1875" t="s">
        <v>26</v>
      </c>
    </row>
    <row r="1876" spans="1:17" x14ac:dyDescent="0.25">
      <c r="A1876" s="7" t="s">
        <v>162</v>
      </c>
      <c r="B1876" s="7" t="s">
        <v>18</v>
      </c>
      <c r="C1876" s="7" t="s">
        <v>19</v>
      </c>
      <c r="D1876" s="7" t="s">
        <v>20</v>
      </c>
      <c r="E1876" s="7" t="s">
        <v>21</v>
      </c>
      <c r="F1876" s="7" t="s">
        <v>101</v>
      </c>
      <c r="G1876" s="7" t="s">
        <v>21</v>
      </c>
      <c r="H1876" s="7" t="s">
        <v>163</v>
      </c>
      <c r="I1876" s="7" t="s">
        <v>171</v>
      </c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t="s">
        <v>26</v>
      </c>
    </row>
    <row r="1877" spans="1:17" x14ac:dyDescent="0.25">
      <c r="A1877" s="7" t="s">
        <v>162</v>
      </c>
      <c r="B1877" s="7" t="s">
        <v>18</v>
      </c>
      <c r="C1877" s="7" t="s">
        <v>19</v>
      </c>
      <c r="D1877" s="7"/>
      <c r="E1877" s="7"/>
      <c r="F1877" s="7" t="s">
        <v>102</v>
      </c>
      <c r="G1877" s="7" t="s">
        <v>103</v>
      </c>
      <c r="H1877" s="7" t="s">
        <v>163</v>
      </c>
      <c r="I1877" s="7" t="s">
        <v>171</v>
      </c>
      <c r="J1877" s="8">
        <v>7.3743986842485829E-2</v>
      </c>
      <c r="K1877" s="8">
        <v>7.1531667237211244E-2</v>
      </c>
      <c r="L1877" s="8">
        <v>4.2194382406649016E-2</v>
      </c>
      <c r="M1877" s="8">
        <v>0.3883126844978485</v>
      </c>
      <c r="N1877" s="8">
        <v>1.2063460323366786</v>
      </c>
      <c r="O1877" s="8">
        <v>9.2933160157936234E-2</v>
      </c>
      <c r="P1877" s="8">
        <v>3.8378317422031201E-4</v>
      </c>
      <c r="Q1877" t="s">
        <v>26</v>
      </c>
    </row>
    <row r="1878" spans="1:17" x14ac:dyDescent="0.25">
      <c r="A1878" s="7" t="s">
        <v>162</v>
      </c>
      <c r="B1878" s="7" t="s">
        <v>18</v>
      </c>
      <c r="C1878" s="7" t="s">
        <v>19</v>
      </c>
      <c r="D1878" s="7" t="s">
        <v>20</v>
      </c>
      <c r="E1878" s="7" t="s">
        <v>21</v>
      </c>
      <c r="F1878" s="7" t="s">
        <v>104</v>
      </c>
      <c r="G1878" s="7" t="s">
        <v>105</v>
      </c>
      <c r="H1878" s="7" t="s">
        <v>163</v>
      </c>
      <c r="I1878" s="7" t="s">
        <v>171</v>
      </c>
      <c r="J1878" s="8">
        <v>0.70004055276546773</v>
      </c>
      <c r="K1878" s="8">
        <v>0.67903933618250367</v>
      </c>
      <c r="L1878" s="8">
        <v>0.40054491285695748</v>
      </c>
      <c r="M1878" s="8">
        <v>3.6861937893640651</v>
      </c>
      <c r="N1878" s="8">
        <v>11.451661070443564</v>
      </c>
      <c r="O1878" s="8">
        <v>0.88220048295141007</v>
      </c>
      <c r="P1878" s="8">
        <v>3.643195830964876E-3</v>
      </c>
      <c r="Q1878" t="s">
        <v>26</v>
      </c>
    </row>
    <row r="1879" spans="1:17" x14ac:dyDescent="0.25">
      <c r="A1879" s="7" t="s">
        <v>162</v>
      </c>
      <c r="B1879" s="7" t="s">
        <v>18</v>
      </c>
      <c r="C1879" s="7" t="s">
        <v>19</v>
      </c>
      <c r="D1879" s="7"/>
      <c r="E1879" s="7"/>
      <c r="F1879" s="7" t="s">
        <v>106</v>
      </c>
      <c r="G1879" s="7" t="s">
        <v>107</v>
      </c>
      <c r="H1879" s="7" t="s">
        <v>163</v>
      </c>
      <c r="I1879" s="7" t="s">
        <v>171</v>
      </c>
      <c r="J1879" s="8">
        <v>0.9652430753046165</v>
      </c>
      <c r="K1879" s="8">
        <v>0.93628578304547794</v>
      </c>
      <c r="L1879" s="8">
        <v>0.55228686674841587</v>
      </c>
      <c r="M1879" s="8">
        <v>5.0826670188728293</v>
      </c>
      <c r="N1879" s="8">
        <v>15.789994601476129</v>
      </c>
      <c r="O1879" s="8">
        <v>1.2164122547405118</v>
      </c>
      <c r="P1879" s="8">
        <v>5.0233797655371533E-3</v>
      </c>
      <c r="Q1879" t="s">
        <v>26</v>
      </c>
    </row>
    <row r="1880" spans="1:17" x14ac:dyDescent="0.25">
      <c r="A1880" s="7" t="s">
        <v>162</v>
      </c>
      <c r="B1880" s="7" t="s">
        <v>18</v>
      </c>
      <c r="C1880" s="7" t="s">
        <v>19</v>
      </c>
      <c r="D1880" s="7"/>
      <c r="E1880" s="7"/>
      <c r="F1880" s="7" t="s">
        <v>108</v>
      </c>
      <c r="G1880" s="7" t="s">
        <v>109</v>
      </c>
      <c r="H1880" s="7" t="s">
        <v>163</v>
      </c>
      <c r="I1880" s="7" t="s">
        <v>171</v>
      </c>
      <c r="J1880" s="8">
        <v>0.11349597094899634</v>
      </c>
      <c r="K1880" s="8">
        <v>0.11009109182052645</v>
      </c>
      <c r="L1880" s="8">
        <v>6.4939429028495019E-2</v>
      </c>
      <c r="M1880" s="8">
        <v>0.59763415358909799</v>
      </c>
      <c r="N1880" s="8">
        <v>1.8566315723201468</v>
      </c>
      <c r="O1880" s="8">
        <v>0.1430291430813562</v>
      </c>
      <c r="P1880" s="8">
        <v>5.9066299310694893E-4</v>
      </c>
      <c r="Q1880" t="s">
        <v>26</v>
      </c>
    </row>
    <row r="1881" spans="1:17" x14ac:dyDescent="0.25">
      <c r="A1881" s="7" t="s">
        <v>162</v>
      </c>
      <c r="B1881" s="7" t="s">
        <v>18</v>
      </c>
      <c r="C1881" s="7" t="s">
        <v>19</v>
      </c>
      <c r="D1881" s="7"/>
      <c r="E1881" s="7"/>
      <c r="F1881" s="7" t="s">
        <v>110</v>
      </c>
      <c r="G1881" s="7" t="s">
        <v>111</v>
      </c>
      <c r="H1881" s="7" t="s">
        <v>163</v>
      </c>
      <c r="I1881" s="7" t="s">
        <v>171</v>
      </c>
      <c r="J1881" s="8">
        <v>0.26782290843025131</v>
      </c>
      <c r="K1881" s="8">
        <v>0.25978822117734379</v>
      </c>
      <c r="L1881" s="8">
        <v>0.15324127023000042</v>
      </c>
      <c r="M1881" s="8">
        <v>1.4102713590019222</v>
      </c>
      <c r="N1881" s="8">
        <v>4.3811992921375982</v>
      </c>
      <c r="O1881" s="8">
        <v>0.33751401719405377</v>
      </c>
      <c r="P1881" s="8">
        <v>1.3938211144703147E-3</v>
      </c>
      <c r="Q1881" t="s">
        <v>26</v>
      </c>
    </row>
    <row r="1882" spans="1:17" x14ac:dyDescent="0.25">
      <c r="A1882" s="7" t="s">
        <v>162</v>
      </c>
      <c r="B1882" s="7" t="s">
        <v>18</v>
      </c>
      <c r="C1882" s="7" t="s">
        <v>19</v>
      </c>
      <c r="D1882" s="7" t="s">
        <v>20</v>
      </c>
      <c r="E1882" s="7" t="s">
        <v>21</v>
      </c>
      <c r="F1882" s="7" t="s">
        <v>112</v>
      </c>
      <c r="G1882" s="7" t="s">
        <v>113</v>
      </c>
      <c r="H1882" s="7" t="s">
        <v>163</v>
      </c>
      <c r="I1882" s="7" t="s">
        <v>171</v>
      </c>
      <c r="J1882" s="8">
        <v>0.50760849909068617</v>
      </c>
      <c r="K1882" s="8">
        <v>0.4923802441179656</v>
      </c>
      <c r="L1882" s="8">
        <v>0.2904403198222254</v>
      </c>
      <c r="M1882" s="8">
        <v>2.672907004293771</v>
      </c>
      <c r="N1882" s="8">
        <v>8.3037482115848142</v>
      </c>
      <c r="O1882" s="8">
        <v>0.63969503092211988</v>
      </c>
      <c r="P1882" s="8">
        <v>2.6417286260687484E-3</v>
      </c>
      <c r="Q1882" t="s">
        <v>26</v>
      </c>
    </row>
    <row r="1883" spans="1:17" x14ac:dyDescent="0.25">
      <c r="A1883" s="7" t="s">
        <v>162</v>
      </c>
      <c r="B1883" s="7" t="s">
        <v>18</v>
      </c>
      <c r="C1883" s="7" t="s">
        <v>19</v>
      </c>
      <c r="D1883" s="7" t="s">
        <v>20</v>
      </c>
      <c r="E1883" s="7" t="s">
        <v>21</v>
      </c>
      <c r="F1883" s="7" t="s">
        <v>114</v>
      </c>
      <c r="G1883" s="7" t="s">
        <v>115</v>
      </c>
      <c r="H1883" s="7" t="s">
        <v>163</v>
      </c>
      <c r="I1883" s="7" t="s">
        <v>171</v>
      </c>
      <c r="J1883" s="8">
        <v>20.074546570607549</v>
      </c>
      <c r="K1883" s="8">
        <v>19.472310173489319</v>
      </c>
      <c r="L1883" s="8">
        <v>8.4080318404238295</v>
      </c>
      <c r="M1883" s="8">
        <v>118.04154334770422</v>
      </c>
      <c r="N1883" s="8">
        <v>239.53674945790533</v>
      </c>
      <c r="O1883" s="8">
        <v>24.179737533819925</v>
      </c>
      <c r="P1883" s="8">
        <v>7.2849193603217274E-2</v>
      </c>
      <c r="Q1883" t="s">
        <v>26</v>
      </c>
    </row>
    <row r="1884" spans="1:17" x14ac:dyDescent="0.25">
      <c r="A1884" s="7" t="s">
        <v>162</v>
      </c>
      <c r="B1884" s="7" t="s">
        <v>18</v>
      </c>
      <c r="C1884" s="7" t="s">
        <v>19</v>
      </c>
      <c r="D1884" s="7" t="s">
        <v>20</v>
      </c>
      <c r="E1884" s="7" t="s">
        <v>21</v>
      </c>
      <c r="F1884" s="7" t="s">
        <v>116</v>
      </c>
      <c r="G1884" s="7" t="s">
        <v>117</v>
      </c>
      <c r="H1884" s="7" t="s">
        <v>163</v>
      </c>
      <c r="I1884" s="7" t="s">
        <v>171</v>
      </c>
      <c r="J1884" s="8">
        <v>1.08303875065697E-2</v>
      </c>
      <c r="K1884" s="8">
        <v>1.0505475881372609E-2</v>
      </c>
      <c r="L1884" s="8">
        <v>6.1968647428906967E-3</v>
      </c>
      <c r="M1884" s="8">
        <v>5.7029420660575113E-2</v>
      </c>
      <c r="N1884" s="8">
        <v>0.17716963181182241</v>
      </c>
      <c r="O1884" s="8">
        <v>1.3648599429135849E-2</v>
      </c>
      <c r="P1884" s="8">
        <v>5.6364195553808197E-5</v>
      </c>
      <c r="Q1884" t="s">
        <v>26</v>
      </c>
    </row>
    <row r="1885" spans="1:17" x14ac:dyDescent="0.25">
      <c r="A1885" s="7" t="s">
        <v>162</v>
      </c>
      <c r="B1885" s="7" t="s">
        <v>18</v>
      </c>
      <c r="C1885" s="7" t="s">
        <v>19</v>
      </c>
      <c r="D1885" s="7" t="s">
        <v>20</v>
      </c>
      <c r="E1885" s="7" t="s">
        <v>21</v>
      </c>
      <c r="F1885" s="7" t="s">
        <v>118</v>
      </c>
      <c r="G1885" s="7" t="s">
        <v>119</v>
      </c>
      <c r="H1885" s="7" t="s">
        <v>163</v>
      </c>
      <c r="I1885" s="7" t="s">
        <v>171</v>
      </c>
      <c r="J1885" s="8">
        <v>22.343253645421779</v>
      </c>
      <c r="K1885" s="8">
        <v>21.672956036059126</v>
      </c>
      <c r="L1885" s="8">
        <v>9.3596301673831555</v>
      </c>
      <c r="M1885" s="8">
        <v>131.37640520089565</v>
      </c>
      <c r="N1885" s="8">
        <v>266.64738954620378</v>
      </c>
      <c r="O1885" s="8">
        <v>26.912887685633176</v>
      </c>
      <c r="P1885" s="8">
        <v>8.1096277057682145E-2</v>
      </c>
      <c r="Q1885" t="s">
        <v>26</v>
      </c>
    </row>
    <row r="1886" spans="1:17" x14ac:dyDescent="0.25">
      <c r="A1886" s="7" t="s">
        <v>162</v>
      </c>
      <c r="B1886" s="7" t="s">
        <v>18</v>
      </c>
      <c r="C1886" s="7" t="s">
        <v>19</v>
      </c>
      <c r="D1886" s="7" t="s">
        <v>20</v>
      </c>
      <c r="E1886" s="7" t="s">
        <v>21</v>
      </c>
      <c r="F1886" s="7" t="s">
        <v>120</v>
      </c>
      <c r="G1886" s="7" t="s">
        <v>121</v>
      </c>
      <c r="H1886" s="7" t="s">
        <v>163</v>
      </c>
      <c r="I1886" s="7" t="s">
        <v>171</v>
      </c>
      <c r="J1886" s="8">
        <v>2.0200498045961465E-2</v>
      </c>
      <c r="K1886" s="8">
        <v>1.959448310458262E-2</v>
      </c>
      <c r="L1886" s="8">
        <v>1.1558197160897255E-2</v>
      </c>
      <c r="M1886" s="8">
        <v>0.10636948123208392</v>
      </c>
      <c r="N1886" s="8">
        <v>0.33045122337935418</v>
      </c>
      <c r="O1886" s="8">
        <v>2.5456938261084843E-2</v>
      </c>
      <c r="P1886" s="8">
        <v>1.0512872429137261E-4</v>
      </c>
      <c r="Q1886" t="s">
        <v>26</v>
      </c>
    </row>
    <row r="1887" spans="1:17" x14ac:dyDescent="0.25">
      <c r="A1887" s="7" t="s">
        <v>162</v>
      </c>
      <c r="B1887" s="7" t="s">
        <v>18</v>
      </c>
      <c r="C1887" s="7" t="s">
        <v>19</v>
      </c>
      <c r="D1887" s="7"/>
      <c r="E1887" s="7"/>
      <c r="F1887" s="7" t="s">
        <v>122</v>
      </c>
      <c r="G1887" s="7" t="s">
        <v>123</v>
      </c>
      <c r="H1887" s="7" t="s">
        <v>163</v>
      </c>
      <c r="I1887" s="7" t="s">
        <v>171</v>
      </c>
      <c r="J1887" s="8">
        <v>0.27864518328700333</v>
      </c>
      <c r="K1887" s="8">
        <v>0.27028582778839322</v>
      </c>
      <c r="L1887" s="8">
        <v>0.15943349312664176</v>
      </c>
      <c r="M1887" s="8">
        <v>1.4672580609953358</v>
      </c>
      <c r="N1887" s="8">
        <v>4.5582362126147293</v>
      </c>
      <c r="O1887" s="8">
        <v>0.35115239295320522</v>
      </c>
      <c r="P1887" s="8">
        <v>1.4501430896529215E-3</v>
      </c>
      <c r="Q1887" t="s">
        <v>26</v>
      </c>
    </row>
    <row r="1888" spans="1:17" x14ac:dyDescent="0.25">
      <c r="A1888" s="7" t="s">
        <v>162</v>
      </c>
      <c r="B1888" s="7" t="s">
        <v>18</v>
      </c>
      <c r="C1888" s="7" t="s">
        <v>19</v>
      </c>
      <c r="D1888" s="7"/>
      <c r="E1888" s="7"/>
      <c r="F1888" s="7" t="s">
        <v>124</v>
      </c>
      <c r="G1888" s="7" t="s">
        <v>125</v>
      </c>
      <c r="H1888" s="7" t="s">
        <v>163</v>
      </c>
      <c r="I1888" s="7" t="s">
        <v>171</v>
      </c>
      <c r="J1888" s="8">
        <v>3.1825925234661372E-2</v>
      </c>
      <c r="K1888" s="8">
        <v>3.0871147477621531E-2</v>
      </c>
      <c r="L1888" s="8">
        <v>1.820996283622487E-2</v>
      </c>
      <c r="M1888" s="8">
        <v>0.16758533127448402</v>
      </c>
      <c r="N1888" s="8">
        <v>0.52062656599084589</v>
      </c>
      <c r="O1888" s="8">
        <v>4.0107457348689091E-2</v>
      </c>
      <c r="P1888" s="8">
        <v>1.6563051622291354E-4</v>
      </c>
      <c r="Q1888" t="s">
        <v>26</v>
      </c>
    </row>
    <row r="1889" spans="1:17" x14ac:dyDescent="0.25">
      <c r="A1889" s="7" t="s">
        <v>162</v>
      </c>
      <c r="B1889" s="7" t="s">
        <v>18</v>
      </c>
      <c r="C1889" s="7" t="s">
        <v>19</v>
      </c>
      <c r="D1889" s="7" t="s">
        <v>20</v>
      </c>
      <c r="E1889" s="7" t="s">
        <v>21</v>
      </c>
      <c r="F1889" s="7" t="s">
        <v>22</v>
      </c>
      <c r="G1889" s="7" t="s">
        <v>23</v>
      </c>
      <c r="H1889" s="7" t="s">
        <v>172</v>
      </c>
      <c r="I1889" s="7" t="s">
        <v>173</v>
      </c>
      <c r="J1889" s="8">
        <v>4.3187203791469194E-3</v>
      </c>
      <c r="K1889" s="8">
        <v>3.8204318062137971E-3</v>
      </c>
      <c r="L1889" s="8">
        <v>1.2144549763033179E-3</v>
      </c>
      <c r="M1889" s="8">
        <v>4.4275052659294376</v>
      </c>
      <c r="N1889" s="8">
        <v>0.18710395822362649</v>
      </c>
      <c r="O1889" s="8">
        <v>0.33771985255397574</v>
      </c>
      <c r="P1889" s="8">
        <v>4.3562401263823065E-3</v>
      </c>
      <c r="Q1889" t="s">
        <v>26</v>
      </c>
    </row>
    <row r="1890" spans="1:17" x14ac:dyDescent="0.25">
      <c r="A1890" s="7" t="s">
        <v>162</v>
      </c>
      <c r="B1890" s="7" t="s">
        <v>18</v>
      </c>
      <c r="C1890" s="7" t="s">
        <v>19</v>
      </c>
      <c r="D1890" s="7" t="s">
        <v>20</v>
      </c>
      <c r="E1890" s="7" t="s">
        <v>21</v>
      </c>
      <c r="F1890" s="7" t="s">
        <v>22</v>
      </c>
      <c r="G1890" s="7" t="s">
        <v>23</v>
      </c>
      <c r="H1890" s="7" t="s">
        <v>172</v>
      </c>
      <c r="I1890" s="7" t="s">
        <v>174</v>
      </c>
      <c r="J1890" s="8">
        <v>0.30524437353751022</v>
      </c>
      <c r="K1890" s="8">
        <v>0.27002837640276961</v>
      </c>
      <c r="L1890" s="8">
        <v>1.6097960173547622E-2</v>
      </c>
      <c r="M1890" s="8">
        <v>41.967841905967816</v>
      </c>
      <c r="N1890" s="8">
        <v>11.183500289850773</v>
      </c>
      <c r="O1890" s="8">
        <v>3.6973798337833017</v>
      </c>
      <c r="P1890" s="8">
        <v>6.129108981086176E-2</v>
      </c>
      <c r="Q1890" t="s">
        <v>26</v>
      </c>
    </row>
    <row r="1891" spans="1:17" x14ac:dyDescent="0.25">
      <c r="A1891" s="7" t="s">
        <v>162</v>
      </c>
      <c r="B1891" s="7" t="s">
        <v>18</v>
      </c>
      <c r="C1891" s="7" t="s">
        <v>19</v>
      </c>
      <c r="D1891" s="7" t="s">
        <v>20</v>
      </c>
      <c r="E1891" s="7" t="s">
        <v>21</v>
      </c>
      <c r="F1891" s="7" t="s">
        <v>22</v>
      </c>
      <c r="G1891" s="7" t="s">
        <v>23</v>
      </c>
      <c r="H1891" s="7" t="s">
        <v>172</v>
      </c>
      <c r="I1891" s="7" t="s">
        <v>175</v>
      </c>
      <c r="J1891" s="8">
        <v>7.0540877146161368E-3</v>
      </c>
      <c r="K1891" s="8">
        <v>6.2405479939507168E-3</v>
      </c>
      <c r="L1891" s="8">
        <v>1.218307979717107E-3</v>
      </c>
      <c r="M1891" s="8">
        <v>3.0697057672261399</v>
      </c>
      <c r="N1891" s="8">
        <v>1.5092712088272584</v>
      </c>
      <c r="O1891" s="8">
        <v>0.14133959019067105</v>
      </c>
      <c r="P1891" s="8">
        <v>3.4153256466960126E-3</v>
      </c>
      <c r="Q1891" t="s">
        <v>26</v>
      </c>
    </row>
    <row r="1892" spans="1:17" x14ac:dyDescent="0.25">
      <c r="A1892" s="7" t="s">
        <v>162</v>
      </c>
      <c r="B1892" s="7" t="s">
        <v>18</v>
      </c>
      <c r="C1892" s="7" t="s">
        <v>19</v>
      </c>
      <c r="D1892" s="7" t="s">
        <v>20</v>
      </c>
      <c r="E1892" s="7" t="s">
        <v>21</v>
      </c>
      <c r="F1892" s="7" t="s">
        <v>22</v>
      </c>
      <c r="G1892" s="7" t="s">
        <v>23</v>
      </c>
      <c r="H1892" s="7" t="s">
        <v>172</v>
      </c>
      <c r="I1892" s="7" t="s">
        <v>176</v>
      </c>
      <c r="J1892" s="8">
        <v>6.1020025974494317E-2</v>
      </c>
      <c r="K1892" s="8">
        <v>5.3992411227250715E-2</v>
      </c>
      <c r="L1892" s="8">
        <v>7.3892138585051979E-3</v>
      </c>
      <c r="M1892" s="8">
        <v>14.525415211188768</v>
      </c>
      <c r="N1892" s="8">
        <v>3.2227936327973596</v>
      </c>
      <c r="O1892" s="8">
        <v>1.5820202729489874</v>
      </c>
      <c r="P1892" s="8">
        <v>2.250288951868884E-2</v>
      </c>
      <c r="Q1892" t="s">
        <v>26</v>
      </c>
    </row>
    <row r="1893" spans="1:17" x14ac:dyDescent="0.25">
      <c r="A1893" s="7" t="s">
        <v>162</v>
      </c>
      <c r="B1893" s="7" t="s">
        <v>18</v>
      </c>
      <c r="C1893" s="7" t="s">
        <v>19</v>
      </c>
      <c r="D1893" s="7" t="s">
        <v>20</v>
      </c>
      <c r="E1893" s="7" t="s">
        <v>21</v>
      </c>
      <c r="F1893" s="7" t="s">
        <v>22</v>
      </c>
      <c r="G1893" s="7" t="s">
        <v>23</v>
      </c>
      <c r="H1893" s="7" t="s">
        <v>172</v>
      </c>
      <c r="I1893" s="7" t="s">
        <v>177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t="s">
        <v>26</v>
      </c>
    </row>
    <row r="1894" spans="1:17" x14ac:dyDescent="0.25">
      <c r="A1894" s="7" t="s">
        <v>162</v>
      </c>
      <c r="B1894" s="7" t="s">
        <v>18</v>
      </c>
      <c r="C1894" s="7" t="s">
        <v>19</v>
      </c>
      <c r="D1894" s="7" t="s">
        <v>20</v>
      </c>
      <c r="E1894" s="7" t="s">
        <v>21</v>
      </c>
      <c r="F1894" s="7" t="s">
        <v>22</v>
      </c>
      <c r="G1894" s="7" t="s">
        <v>23</v>
      </c>
      <c r="H1894" s="7" t="s">
        <v>172</v>
      </c>
      <c r="I1894" s="7" t="s">
        <v>178</v>
      </c>
      <c r="J1894" s="8">
        <v>0.35515783320342953</v>
      </c>
      <c r="K1894" s="8">
        <v>0.32674006235385822</v>
      </c>
      <c r="L1894" s="8">
        <v>5.4754481683554172E-3</v>
      </c>
      <c r="M1894" s="8">
        <v>8.9955212392829313</v>
      </c>
      <c r="N1894" s="8">
        <v>4.9835044816835543</v>
      </c>
      <c r="O1894" s="8">
        <v>6.4104091971940766</v>
      </c>
      <c r="P1894" s="8">
        <v>9.7778643803585336E-3</v>
      </c>
      <c r="Q1894" t="s">
        <v>137</v>
      </c>
    </row>
    <row r="1895" spans="1:17" x14ac:dyDescent="0.25">
      <c r="A1895" s="7" t="s">
        <v>162</v>
      </c>
      <c r="B1895" s="7" t="s">
        <v>18</v>
      </c>
      <c r="C1895" s="7" t="s">
        <v>19</v>
      </c>
      <c r="D1895" s="7" t="s">
        <v>20</v>
      </c>
      <c r="E1895" s="7" t="s">
        <v>21</v>
      </c>
      <c r="F1895" s="7" t="s">
        <v>22</v>
      </c>
      <c r="G1895" s="7" t="s">
        <v>23</v>
      </c>
      <c r="H1895" s="7" t="s">
        <v>172</v>
      </c>
      <c r="I1895" s="7" t="s">
        <v>179</v>
      </c>
      <c r="J1895" s="8">
        <v>0.27961890214802926</v>
      </c>
      <c r="K1895" s="8">
        <v>0.25705322310909023</v>
      </c>
      <c r="L1895" s="8">
        <v>8.5695566032338143E-3</v>
      </c>
      <c r="M1895" s="8">
        <v>14.612559550742526</v>
      </c>
      <c r="N1895" s="8">
        <v>5.2124111223841121</v>
      </c>
      <c r="O1895" s="8">
        <v>9.0820788985663157</v>
      </c>
      <c r="P1895" s="8">
        <v>1.9287892905468767E-2</v>
      </c>
      <c r="Q1895" t="s">
        <v>137</v>
      </c>
    </row>
    <row r="1896" spans="1:17" x14ac:dyDescent="0.25">
      <c r="A1896" s="7" t="s">
        <v>162</v>
      </c>
      <c r="B1896" s="7" t="s">
        <v>18</v>
      </c>
      <c r="C1896" s="7" t="s">
        <v>19</v>
      </c>
      <c r="D1896" s="7" t="s">
        <v>20</v>
      </c>
      <c r="E1896" s="7" t="s">
        <v>21</v>
      </c>
      <c r="F1896" s="7" t="s">
        <v>22</v>
      </c>
      <c r="G1896" s="7" t="s">
        <v>23</v>
      </c>
      <c r="H1896" s="7" t="s">
        <v>172</v>
      </c>
      <c r="I1896" s="7" t="s">
        <v>180</v>
      </c>
      <c r="J1896" s="8">
        <v>0.20502279513509583</v>
      </c>
      <c r="K1896" s="8">
        <v>0.18861321098244846</v>
      </c>
      <c r="L1896" s="8">
        <v>4.284902774743281E-3</v>
      </c>
      <c r="M1896" s="8">
        <v>8.2214067438642502</v>
      </c>
      <c r="N1896" s="8">
        <v>3.6129715242881062</v>
      </c>
      <c r="O1896" s="8">
        <v>6.7822923312213232</v>
      </c>
      <c r="P1896" s="8">
        <v>1.0147840652538053E-2</v>
      </c>
      <c r="Q1896" t="s">
        <v>137</v>
      </c>
    </row>
    <row r="1897" spans="1:17" x14ac:dyDescent="0.25">
      <c r="A1897" s="7" t="s">
        <v>162</v>
      </c>
      <c r="B1897" s="7" t="s">
        <v>18</v>
      </c>
      <c r="C1897" s="7" t="s">
        <v>19</v>
      </c>
      <c r="D1897" s="7" t="s">
        <v>20</v>
      </c>
      <c r="E1897" s="7" t="s">
        <v>21</v>
      </c>
      <c r="F1897" s="7" t="s">
        <v>22</v>
      </c>
      <c r="G1897" s="7" t="s">
        <v>23</v>
      </c>
      <c r="H1897" s="7" t="s">
        <v>172</v>
      </c>
      <c r="I1897" s="7" t="s">
        <v>181</v>
      </c>
      <c r="J1897" s="8">
        <v>0.22016500473727763</v>
      </c>
      <c r="K1897" s="8">
        <v>0.19414301213757468</v>
      </c>
      <c r="L1897" s="8">
        <v>1.6792078651042222E-2</v>
      </c>
      <c r="M1897" s="8">
        <v>43.033400412704907</v>
      </c>
      <c r="N1897" s="8">
        <v>8.7352654189227508</v>
      </c>
      <c r="O1897" s="8">
        <v>4.8506920961501745</v>
      </c>
      <c r="P1897" s="8">
        <v>5.7814995751784518E-2</v>
      </c>
      <c r="Q1897" t="s">
        <v>26</v>
      </c>
    </row>
    <row r="1898" spans="1:17" x14ac:dyDescent="0.25">
      <c r="A1898" s="7" t="s">
        <v>162</v>
      </c>
      <c r="B1898" s="7" t="s">
        <v>18</v>
      </c>
      <c r="C1898" s="7" t="s">
        <v>19</v>
      </c>
      <c r="D1898" s="7"/>
      <c r="E1898" s="7"/>
      <c r="F1898" s="7" t="s">
        <v>27</v>
      </c>
      <c r="G1898" s="7" t="s">
        <v>28</v>
      </c>
      <c r="H1898" s="7" t="s">
        <v>172</v>
      </c>
      <c r="I1898" s="7" t="s">
        <v>173</v>
      </c>
      <c r="J1898" s="8">
        <v>4.3187203791469194E-3</v>
      </c>
      <c r="K1898" s="8">
        <v>3.8204318062137971E-3</v>
      </c>
      <c r="L1898" s="8">
        <v>1.2144549763033179E-3</v>
      </c>
      <c r="M1898" s="8">
        <v>4.4275052659294376</v>
      </c>
      <c r="N1898" s="8">
        <v>0.18710395822362649</v>
      </c>
      <c r="O1898" s="8">
        <v>0.33771985255397574</v>
      </c>
      <c r="P1898" s="8">
        <v>4.3562401263823065E-3</v>
      </c>
      <c r="Q1898" t="s">
        <v>26</v>
      </c>
    </row>
    <row r="1899" spans="1:17" x14ac:dyDescent="0.25">
      <c r="A1899" s="7" t="s">
        <v>162</v>
      </c>
      <c r="B1899" s="7" t="s">
        <v>18</v>
      </c>
      <c r="C1899" s="7" t="s">
        <v>19</v>
      </c>
      <c r="D1899" s="7"/>
      <c r="E1899" s="7"/>
      <c r="F1899" s="7" t="s">
        <v>27</v>
      </c>
      <c r="G1899" s="7" t="s">
        <v>28</v>
      </c>
      <c r="H1899" s="7" t="s">
        <v>172</v>
      </c>
      <c r="I1899" s="7" t="s">
        <v>174</v>
      </c>
      <c r="J1899" s="8">
        <v>0.34800234025871785</v>
      </c>
      <c r="K1899" s="8">
        <v>0.30785336298058946</v>
      </c>
      <c r="L1899" s="8">
        <v>1.8352927357390872E-2</v>
      </c>
      <c r="M1899" s="8">
        <v>47.846605752718176</v>
      </c>
      <c r="N1899" s="8">
        <v>12.750060641736486</v>
      </c>
      <c r="O1899" s="8">
        <v>4.2153007443521693</v>
      </c>
      <c r="P1899" s="8">
        <v>6.9876612118998038E-2</v>
      </c>
      <c r="Q1899" t="s">
        <v>26</v>
      </c>
    </row>
    <row r="1900" spans="1:17" x14ac:dyDescent="0.25">
      <c r="A1900" s="7" t="s">
        <v>162</v>
      </c>
      <c r="B1900" s="7" t="s">
        <v>18</v>
      </c>
      <c r="C1900" s="7" t="s">
        <v>19</v>
      </c>
      <c r="D1900" s="7"/>
      <c r="E1900" s="7"/>
      <c r="F1900" s="7" t="s">
        <v>27</v>
      </c>
      <c r="G1900" s="7" t="s">
        <v>28</v>
      </c>
      <c r="H1900" s="7" t="s">
        <v>172</v>
      </c>
      <c r="I1900" s="7" t="s">
        <v>175</v>
      </c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t="s">
        <v>26</v>
      </c>
    </row>
    <row r="1901" spans="1:17" x14ac:dyDescent="0.25">
      <c r="A1901" s="7" t="s">
        <v>162</v>
      </c>
      <c r="B1901" s="7" t="s">
        <v>18</v>
      </c>
      <c r="C1901" s="7" t="s">
        <v>19</v>
      </c>
      <c r="D1901" s="7"/>
      <c r="E1901" s="7"/>
      <c r="F1901" s="7" t="s">
        <v>27</v>
      </c>
      <c r="G1901" s="7" t="s">
        <v>28</v>
      </c>
      <c r="H1901" s="7" t="s">
        <v>172</v>
      </c>
      <c r="I1901" s="7" t="s">
        <v>176</v>
      </c>
      <c r="J1901" s="8">
        <v>4.5936424048214818E-2</v>
      </c>
      <c r="K1901" s="8">
        <v>4.0645972496919078E-2</v>
      </c>
      <c r="L1901" s="8">
        <v>5.5626666125825636E-3</v>
      </c>
      <c r="M1901" s="8">
        <v>10.934863136512892</v>
      </c>
      <c r="N1901" s="8">
        <v>2.4261480157013828</v>
      </c>
      <c r="O1901" s="8">
        <v>1.1909590818829454</v>
      </c>
      <c r="P1901" s="8">
        <v>1.694037750283317E-2</v>
      </c>
      <c r="Q1901" t="s">
        <v>26</v>
      </c>
    </row>
    <row r="1902" spans="1:17" x14ac:dyDescent="0.25">
      <c r="A1902" s="7" t="s">
        <v>162</v>
      </c>
      <c r="B1902" s="7" t="s">
        <v>18</v>
      </c>
      <c r="C1902" s="7" t="s">
        <v>19</v>
      </c>
      <c r="D1902" s="7"/>
      <c r="E1902" s="7"/>
      <c r="F1902" s="7" t="s">
        <v>27</v>
      </c>
      <c r="G1902" s="7" t="s">
        <v>28</v>
      </c>
      <c r="H1902" s="7" t="s">
        <v>172</v>
      </c>
      <c r="I1902" s="7" t="s">
        <v>177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t="s">
        <v>26</v>
      </c>
    </row>
    <row r="1903" spans="1:17" x14ac:dyDescent="0.25">
      <c r="A1903" s="7" t="s">
        <v>162</v>
      </c>
      <c r="B1903" s="7" t="s">
        <v>18</v>
      </c>
      <c r="C1903" s="7" t="s">
        <v>19</v>
      </c>
      <c r="D1903" s="7"/>
      <c r="E1903" s="7"/>
      <c r="F1903" s="7" t="s">
        <v>27</v>
      </c>
      <c r="G1903" s="7" t="s">
        <v>28</v>
      </c>
      <c r="H1903" s="7" t="s">
        <v>172</v>
      </c>
      <c r="I1903" s="7" t="s">
        <v>178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t="s">
        <v>137</v>
      </c>
    </row>
    <row r="1904" spans="1:17" x14ac:dyDescent="0.25">
      <c r="A1904" s="7" t="s">
        <v>162</v>
      </c>
      <c r="B1904" s="7" t="s">
        <v>18</v>
      </c>
      <c r="C1904" s="7" t="s">
        <v>19</v>
      </c>
      <c r="D1904" s="7"/>
      <c r="E1904" s="7"/>
      <c r="F1904" s="7" t="s">
        <v>27</v>
      </c>
      <c r="G1904" s="7" t="s">
        <v>28</v>
      </c>
      <c r="H1904" s="7" t="s">
        <v>172</v>
      </c>
      <c r="I1904" s="7" t="s">
        <v>179</v>
      </c>
      <c r="J1904" s="8">
        <v>0.46504943137658139</v>
      </c>
      <c r="K1904" s="8">
        <v>0.42755327370370472</v>
      </c>
      <c r="L1904" s="8">
        <v>1.4022158839709533E-2</v>
      </c>
      <c r="M1904" s="8">
        <v>23.110066186226959</v>
      </c>
      <c r="N1904" s="8">
        <v>8.6536890558617046</v>
      </c>
      <c r="O1904" s="8">
        <v>14.782882178694651</v>
      </c>
      <c r="P1904" s="8">
        <v>3.1731900633217083E-2</v>
      </c>
      <c r="Q1904" t="s">
        <v>137</v>
      </c>
    </row>
    <row r="1905" spans="1:17" x14ac:dyDescent="0.25">
      <c r="A1905" s="7" t="s">
        <v>162</v>
      </c>
      <c r="B1905" s="7" t="s">
        <v>18</v>
      </c>
      <c r="C1905" s="7" t="s">
        <v>19</v>
      </c>
      <c r="D1905" s="7"/>
      <c r="E1905" s="7"/>
      <c r="F1905" s="7" t="s">
        <v>27</v>
      </c>
      <c r="G1905" s="7" t="s">
        <v>28</v>
      </c>
      <c r="H1905" s="7" t="s">
        <v>172</v>
      </c>
      <c r="I1905" s="7" t="s">
        <v>180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t="s">
        <v>137</v>
      </c>
    </row>
    <row r="1906" spans="1:17" x14ac:dyDescent="0.25">
      <c r="A1906" s="7" t="s">
        <v>162</v>
      </c>
      <c r="B1906" s="7" t="s">
        <v>18</v>
      </c>
      <c r="C1906" s="7" t="s">
        <v>19</v>
      </c>
      <c r="D1906" s="7"/>
      <c r="E1906" s="7"/>
      <c r="F1906" s="7" t="s">
        <v>27</v>
      </c>
      <c r="G1906" s="7" t="s">
        <v>28</v>
      </c>
      <c r="H1906" s="7" t="s">
        <v>172</v>
      </c>
      <c r="I1906" s="7" t="s">
        <v>181</v>
      </c>
      <c r="J1906" s="8">
        <v>0.63885198369882279</v>
      </c>
      <c r="K1906" s="8">
        <v>0.56595647336133781</v>
      </c>
      <c r="L1906" s="8">
        <v>4.2439202965404085E-2</v>
      </c>
      <c r="M1906" s="8">
        <v>112.76418797117007</v>
      </c>
      <c r="N1906" s="8">
        <v>23.241051407749509</v>
      </c>
      <c r="O1906" s="8">
        <v>13.050141281136629</v>
      </c>
      <c r="P1906" s="8">
        <v>0.14638350925832222</v>
      </c>
      <c r="Q1906" t="s">
        <v>26</v>
      </c>
    </row>
    <row r="1907" spans="1:17" x14ac:dyDescent="0.25">
      <c r="A1907" s="7" t="s">
        <v>162</v>
      </c>
      <c r="B1907" s="7" t="s">
        <v>18</v>
      </c>
      <c r="C1907" s="7" t="s">
        <v>19</v>
      </c>
      <c r="D1907" s="7"/>
      <c r="E1907" s="7"/>
      <c r="F1907" s="7" t="s">
        <v>31</v>
      </c>
      <c r="G1907" s="7" t="s">
        <v>32</v>
      </c>
      <c r="H1907" s="7" t="s">
        <v>172</v>
      </c>
      <c r="I1907" s="7" t="s">
        <v>173</v>
      </c>
      <c r="J1907" s="8">
        <v>6.8235781990521327E-2</v>
      </c>
      <c r="K1907" s="8">
        <v>6.0362822538177999E-2</v>
      </c>
      <c r="L1907" s="8">
        <v>1.9188388625592422E-2</v>
      </c>
      <c r="M1907" s="8">
        <v>69.954583201685097</v>
      </c>
      <c r="N1907" s="8">
        <v>2.9562425399332981</v>
      </c>
      <c r="O1907" s="8">
        <v>5.3359736703528151</v>
      </c>
      <c r="P1907" s="8">
        <v>6.8828593996840451E-2</v>
      </c>
      <c r="Q1907" t="s">
        <v>26</v>
      </c>
    </row>
    <row r="1908" spans="1:17" x14ac:dyDescent="0.25">
      <c r="A1908" s="7" t="s">
        <v>162</v>
      </c>
      <c r="B1908" s="7" t="s">
        <v>18</v>
      </c>
      <c r="C1908" s="7" t="s">
        <v>19</v>
      </c>
      <c r="D1908" s="7"/>
      <c r="E1908" s="7"/>
      <c r="F1908" s="7" t="s">
        <v>31</v>
      </c>
      <c r="G1908" s="7" t="s">
        <v>32</v>
      </c>
      <c r="H1908" s="7" t="s">
        <v>172</v>
      </c>
      <c r="I1908" s="7" t="s">
        <v>174</v>
      </c>
      <c r="J1908" s="8">
        <v>6.1163845775083843</v>
      </c>
      <c r="K1908" s="8">
        <v>5.4107722125332929</v>
      </c>
      <c r="L1908" s="8">
        <v>0.32262421603091745</v>
      </c>
      <c r="M1908" s="8">
        <v>841.27304264949703</v>
      </c>
      <c r="N1908" s="8">
        <v>224.19664667936567</v>
      </c>
      <c r="O1908" s="8">
        <v>74.0786893696324</v>
      </c>
      <c r="P1908" s="8">
        <v>1.2282202365799668</v>
      </c>
      <c r="Q1908" t="s">
        <v>26</v>
      </c>
    </row>
    <row r="1909" spans="1:17" x14ac:dyDescent="0.25">
      <c r="A1909" s="7" t="s">
        <v>162</v>
      </c>
      <c r="B1909" s="7" t="s">
        <v>18</v>
      </c>
      <c r="C1909" s="7" t="s">
        <v>19</v>
      </c>
      <c r="D1909" s="7"/>
      <c r="E1909" s="7"/>
      <c r="F1909" s="7" t="s">
        <v>31</v>
      </c>
      <c r="G1909" s="7" t="s">
        <v>32</v>
      </c>
      <c r="H1909" s="7" t="s">
        <v>172</v>
      </c>
      <c r="I1909" s="7" t="s">
        <v>175</v>
      </c>
      <c r="J1909" s="8">
        <v>0.12697357886309046</v>
      </c>
      <c r="K1909" s="8">
        <v>0.11232986389111291</v>
      </c>
      <c r="L1909" s="8">
        <v>2.1929543634907928E-2</v>
      </c>
      <c r="M1909" s="8">
        <v>55.254703810070524</v>
      </c>
      <c r="N1909" s="8">
        <v>27.166881758890653</v>
      </c>
      <c r="O1909" s="8">
        <v>2.544112623432079</v>
      </c>
      <c r="P1909" s="8">
        <v>6.147586164052822E-2</v>
      </c>
      <c r="Q1909" t="s">
        <v>26</v>
      </c>
    </row>
    <row r="1910" spans="1:17" x14ac:dyDescent="0.25">
      <c r="A1910" s="7" t="s">
        <v>162</v>
      </c>
      <c r="B1910" s="7" t="s">
        <v>18</v>
      </c>
      <c r="C1910" s="7" t="s">
        <v>19</v>
      </c>
      <c r="D1910" s="7"/>
      <c r="E1910" s="7"/>
      <c r="F1910" s="7" t="s">
        <v>31</v>
      </c>
      <c r="G1910" s="7" t="s">
        <v>32</v>
      </c>
      <c r="H1910" s="7" t="s">
        <v>172</v>
      </c>
      <c r="I1910" s="7" t="s">
        <v>176</v>
      </c>
      <c r="J1910" s="8">
        <v>1.2989451658083786</v>
      </c>
      <c r="K1910" s="8">
        <v>1.1516122714136285</v>
      </c>
      <c r="L1910" s="8">
        <v>0.15006534138717417</v>
      </c>
      <c r="M1910" s="8">
        <v>294.40407415187457</v>
      </c>
      <c r="N1910" s="8">
        <v>65.691062174796301</v>
      </c>
      <c r="O1910" s="8">
        <v>32.054548171303068</v>
      </c>
      <c r="P1910" s="8">
        <v>0.45816961808208195</v>
      </c>
      <c r="Q1910" t="s">
        <v>26</v>
      </c>
    </row>
    <row r="1911" spans="1:17" x14ac:dyDescent="0.25">
      <c r="A1911" s="7" t="s">
        <v>162</v>
      </c>
      <c r="B1911" s="7" t="s">
        <v>18</v>
      </c>
      <c r="C1911" s="7" t="s">
        <v>19</v>
      </c>
      <c r="D1911" s="7"/>
      <c r="E1911" s="7"/>
      <c r="F1911" s="7" t="s">
        <v>31</v>
      </c>
      <c r="G1911" s="7" t="s">
        <v>32</v>
      </c>
      <c r="H1911" s="7" t="s">
        <v>172</v>
      </c>
      <c r="I1911" s="7" t="s">
        <v>177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t="s">
        <v>26</v>
      </c>
    </row>
    <row r="1912" spans="1:17" x14ac:dyDescent="0.25">
      <c r="A1912" s="7" t="s">
        <v>162</v>
      </c>
      <c r="B1912" s="7" t="s">
        <v>18</v>
      </c>
      <c r="C1912" s="7" t="s">
        <v>19</v>
      </c>
      <c r="D1912" s="7"/>
      <c r="E1912" s="7"/>
      <c r="F1912" s="7" t="s">
        <v>31</v>
      </c>
      <c r="G1912" s="7" t="s">
        <v>32</v>
      </c>
      <c r="H1912" s="7" t="s">
        <v>172</v>
      </c>
      <c r="I1912" s="7" t="s">
        <v>178</v>
      </c>
      <c r="J1912" s="8">
        <v>0.63928409976617306</v>
      </c>
      <c r="K1912" s="8">
        <v>0.58813211223694473</v>
      </c>
      <c r="L1912" s="8">
        <v>9.8558067030397514E-3</v>
      </c>
      <c r="M1912" s="8">
        <v>16.191938230709273</v>
      </c>
      <c r="N1912" s="8">
        <v>8.9703080670303983</v>
      </c>
      <c r="O1912" s="8">
        <v>11.538736554949338</v>
      </c>
      <c r="P1912" s="8">
        <v>1.760015588464536E-2</v>
      </c>
      <c r="Q1912" t="s">
        <v>137</v>
      </c>
    </row>
    <row r="1913" spans="1:17" x14ac:dyDescent="0.25">
      <c r="A1913" s="7" t="s">
        <v>162</v>
      </c>
      <c r="B1913" s="7" t="s">
        <v>18</v>
      </c>
      <c r="C1913" s="7" t="s">
        <v>19</v>
      </c>
      <c r="D1913" s="7"/>
      <c r="E1913" s="7"/>
      <c r="F1913" s="7" t="s">
        <v>31</v>
      </c>
      <c r="G1913" s="7" t="s">
        <v>32</v>
      </c>
      <c r="H1913" s="7" t="s">
        <v>172</v>
      </c>
      <c r="I1913" s="7" t="s">
        <v>179</v>
      </c>
      <c r="J1913" s="8">
        <v>15.529206106658725</v>
      </c>
      <c r="K1913" s="8">
        <v>14.274000037766848</v>
      </c>
      <c r="L1913" s="8">
        <v>0.48928739098838686</v>
      </c>
      <c r="M1913" s="8">
        <v>885.05454183187373</v>
      </c>
      <c r="N1913" s="8">
        <v>291.48200303152629</v>
      </c>
      <c r="O1913" s="8">
        <v>523.06882621778993</v>
      </c>
      <c r="P1913" s="8">
        <v>1.1136121531965721</v>
      </c>
      <c r="Q1913" t="s">
        <v>137</v>
      </c>
    </row>
    <row r="1914" spans="1:17" x14ac:dyDescent="0.25">
      <c r="A1914" s="7" t="s">
        <v>162</v>
      </c>
      <c r="B1914" s="7" t="s">
        <v>18</v>
      </c>
      <c r="C1914" s="7" t="s">
        <v>19</v>
      </c>
      <c r="D1914" s="7"/>
      <c r="E1914" s="7"/>
      <c r="F1914" s="7" t="s">
        <v>31</v>
      </c>
      <c r="G1914" s="7" t="s">
        <v>32</v>
      </c>
      <c r="H1914" s="7" t="s">
        <v>172</v>
      </c>
      <c r="I1914" s="7" t="s">
        <v>180</v>
      </c>
      <c r="J1914" s="8">
        <v>9.5335599737819567</v>
      </c>
      <c r="K1914" s="8">
        <v>8.7705143106838523</v>
      </c>
      <c r="L1914" s="8">
        <v>0.1992479790255626</v>
      </c>
      <c r="M1914" s="8">
        <v>382.2954135896876</v>
      </c>
      <c r="N1914" s="8">
        <v>168.00317587939693</v>
      </c>
      <c r="O1914" s="8">
        <v>315.37659340179152</v>
      </c>
      <c r="P1914" s="8">
        <v>0.47187459034301943</v>
      </c>
      <c r="Q1914" t="s">
        <v>137</v>
      </c>
    </row>
    <row r="1915" spans="1:17" x14ac:dyDescent="0.25">
      <c r="A1915" s="7" t="s">
        <v>162</v>
      </c>
      <c r="B1915" s="7" t="s">
        <v>18</v>
      </c>
      <c r="C1915" s="7" t="s">
        <v>19</v>
      </c>
      <c r="D1915" s="7"/>
      <c r="E1915" s="7"/>
      <c r="F1915" s="7" t="s">
        <v>31</v>
      </c>
      <c r="G1915" s="7" t="s">
        <v>32</v>
      </c>
      <c r="H1915" s="7" t="s">
        <v>172</v>
      </c>
      <c r="I1915" s="7" t="s">
        <v>181</v>
      </c>
      <c r="J1915" s="8">
        <v>6.280006643523345</v>
      </c>
      <c r="K1915" s="8">
        <v>5.5764654021144935</v>
      </c>
      <c r="L1915" s="8">
        <v>0.38800974666959009</v>
      </c>
      <c r="M1915" s="8">
        <v>1018.3591266225199</v>
      </c>
      <c r="N1915" s="8">
        <v>213.19927700317828</v>
      </c>
      <c r="O1915" s="8">
        <v>116.88732030494074</v>
      </c>
      <c r="P1915" s="8">
        <v>1.3514140572362916</v>
      </c>
      <c r="Q1915" t="s">
        <v>26</v>
      </c>
    </row>
    <row r="1916" spans="1:17" x14ac:dyDescent="0.25">
      <c r="A1916" s="7" t="s">
        <v>162</v>
      </c>
      <c r="B1916" s="7" t="s">
        <v>18</v>
      </c>
      <c r="C1916" s="7" t="s">
        <v>19</v>
      </c>
      <c r="D1916" s="7"/>
      <c r="E1916" s="7"/>
      <c r="F1916" s="7" t="s">
        <v>33</v>
      </c>
      <c r="G1916" s="7" t="s">
        <v>34</v>
      </c>
      <c r="H1916" s="7" t="s">
        <v>172</v>
      </c>
      <c r="I1916" s="7" t="s">
        <v>173</v>
      </c>
      <c r="J1916" s="8">
        <v>6.0462085308056867E-3</v>
      </c>
      <c r="K1916" s="8">
        <v>5.3486045286993151E-3</v>
      </c>
      <c r="L1916" s="8">
        <v>1.700236966824645E-3</v>
      </c>
      <c r="M1916" s="8">
        <v>6.1985073723012114</v>
      </c>
      <c r="N1916" s="8">
        <v>0.26194554151307708</v>
      </c>
      <c r="O1916" s="8">
        <v>0.47280779357556596</v>
      </c>
      <c r="P1916" s="8">
        <v>6.0987361769352299E-3</v>
      </c>
      <c r="Q1916" t="s">
        <v>26</v>
      </c>
    </row>
    <row r="1917" spans="1:17" x14ac:dyDescent="0.25">
      <c r="A1917" s="7" t="s">
        <v>162</v>
      </c>
      <c r="B1917" s="7" t="s">
        <v>18</v>
      </c>
      <c r="C1917" s="7" t="s">
        <v>19</v>
      </c>
      <c r="D1917" s="7"/>
      <c r="E1917" s="7"/>
      <c r="F1917" s="7" t="s">
        <v>33</v>
      </c>
      <c r="G1917" s="7" t="s">
        <v>34</v>
      </c>
      <c r="H1917" s="7" t="s">
        <v>172</v>
      </c>
      <c r="I1917" s="7" t="s">
        <v>174</v>
      </c>
      <c r="J1917" s="8">
        <v>1.1615914292594745</v>
      </c>
      <c r="K1917" s="8">
        <v>1.027578802030773</v>
      </c>
      <c r="L1917" s="8">
        <v>6.125994182774154E-2</v>
      </c>
      <c r="M1917" s="8">
        <v>159.70641783671797</v>
      </c>
      <c r="N1917" s="8">
        <v>42.558222892895166</v>
      </c>
      <c r="O1917" s="8">
        <v>14.070184737120893</v>
      </c>
      <c r="P1917" s="8">
        <v>0.23324002270436892</v>
      </c>
      <c r="Q1917" t="s">
        <v>26</v>
      </c>
    </row>
    <row r="1918" spans="1:17" x14ac:dyDescent="0.25">
      <c r="A1918" s="7" t="s">
        <v>162</v>
      </c>
      <c r="B1918" s="7" t="s">
        <v>18</v>
      </c>
      <c r="C1918" s="7" t="s">
        <v>19</v>
      </c>
      <c r="D1918" s="7"/>
      <c r="E1918" s="7"/>
      <c r="F1918" s="7" t="s">
        <v>33</v>
      </c>
      <c r="G1918" s="7" t="s">
        <v>34</v>
      </c>
      <c r="H1918" s="7" t="s">
        <v>172</v>
      </c>
      <c r="I1918" s="7" t="s">
        <v>175</v>
      </c>
      <c r="J1918" s="8">
        <v>2.1162263143848413E-2</v>
      </c>
      <c r="K1918" s="8">
        <v>1.8721643981852148E-2</v>
      </c>
      <c r="L1918" s="8">
        <v>3.6549239391513214E-3</v>
      </c>
      <c r="M1918" s="8">
        <v>9.2091173016784218</v>
      </c>
      <c r="N1918" s="8">
        <v>4.527813626481775</v>
      </c>
      <c r="O1918" s="8">
        <v>0.4240187705720132</v>
      </c>
      <c r="P1918" s="8">
        <v>1.0245976940088037E-2</v>
      </c>
      <c r="Q1918" t="s">
        <v>26</v>
      </c>
    </row>
    <row r="1919" spans="1:17" x14ac:dyDescent="0.25">
      <c r="A1919" s="7" t="s">
        <v>162</v>
      </c>
      <c r="B1919" s="7" t="s">
        <v>18</v>
      </c>
      <c r="C1919" s="7" t="s">
        <v>19</v>
      </c>
      <c r="D1919" s="7"/>
      <c r="E1919" s="7"/>
      <c r="F1919" s="7" t="s">
        <v>33</v>
      </c>
      <c r="G1919" s="7" t="s">
        <v>34</v>
      </c>
      <c r="H1919" s="7" t="s">
        <v>172</v>
      </c>
      <c r="I1919" s="7" t="s">
        <v>176</v>
      </c>
      <c r="J1919" s="8">
        <v>0.27219045294240723</v>
      </c>
      <c r="K1919" s="8">
        <v>0.24084255345189365</v>
      </c>
      <c r="L1919" s="8">
        <v>3.2960875301422062E-2</v>
      </c>
      <c r="M1919" s="8">
        <v>64.793144256651019</v>
      </c>
      <c r="N1919" s="8">
        <v>14.375832272141031</v>
      </c>
      <c r="O1919" s="8">
        <v>7.0568769478735733</v>
      </c>
      <c r="P1919" s="8">
        <v>0.10037805774066819</v>
      </c>
      <c r="Q1919" t="s">
        <v>26</v>
      </c>
    </row>
    <row r="1920" spans="1:17" x14ac:dyDescent="0.25">
      <c r="A1920" s="7" t="s">
        <v>162</v>
      </c>
      <c r="B1920" s="7" t="s">
        <v>18</v>
      </c>
      <c r="C1920" s="7" t="s">
        <v>19</v>
      </c>
      <c r="D1920" s="7"/>
      <c r="E1920" s="7"/>
      <c r="F1920" s="7" t="s">
        <v>33</v>
      </c>
      <c r="G1920" s="7" t="s">
        <v>34</v>
      </c>
      <c r="H1920" s="7" t="s">
        <v>172</v>
      </c>
      <c r="I1920" s="7" t="s">
        <v>177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t="s">
        <v>26</v>
      </c>
    </row>
    <row r="1921" spans="1:17" x14ac:dyDescent="0.25">
      <c r="A1921" s="7" t="s">
        <v>162</v>
      </c>
      <c r="B1921" s="7" t="s">
        <v>18</v>
      </c>
      <c r="C1921" s="7" t="s">
        <v>19</v>
      </c>
      <c r="D1921" s="7"/>
      <c r="E1921" s="7"/>
      <c r="F1921" s="7" t="s">
        <v>33</v>
      </c>
      <c r="G1921" s="7" t="s">
        <v>34</v>
      </c>
      <c r="H1921" s="7" t="s">
        <v>172</v>
      </c>
      <c r="I1921" s="7" t="s">
        <v>178</v>
      </c>
      <c r="J1921" s="8">
        <v>7.1031566640685911E-2</v>
      </c>
      <c r="K1921" s="8">
        <v>6.5348012470771641E-2</v>
      </c>
      <c r="L1921" s="8">
        <v>1.0950896336710835E-3</v>
      </c>
      <c r="M1921" s="8">
        <v>1.7991042478565862</v>
      </c>
      <c r="N1921" s="8">
        <v>0.99670089633671088</v>
      </c>
      <c r="O1921" s="8">
        <v>1.2820818394388154</v>
      </c>
      <c r="P1921" s="8">
        <v>1.9555728760717065E-3</v>
      </c>
      <c r="Q1921" t="s">
        <v>137</v>
      </c>
    </row>
    <row r="1922" spans="1:17" x14ac:dyDescent="0.25">
      <c r="A1922" s="7" t="s">
        <v>162</v>
      </c>
      <c r="B1922" s="7" t="s">
        <v>18</v>
      </c>
      <c r="C1922" s="7" t="s">
        <v>19</v>
      </c>
      <c r="D1922" s="7"/>
      <c r="E1922" s="7"/>
      <c r="F1922" s="7" t="s">
        <v>33</v>
      </c>
      <c r="G1922" s="7" t="s">
        <v>34</v>
      </c>
      <c r="H1922" s="7" t="s">
        <v>172</v>
      </c>
      <c r="I1922" s="7" t="s">
        <v>179</v>
      </c>
      <c r="J1922" s="8">
        <v>0.96839967868838972</v>
      </c>
      <c r="K1922" s="8">
        <v>0.88898837505379402</v>
      </c>
      <c r="L1922" s="8">
        <v>3.8201302140945206E-2</v>
      </c>
      <c r="M1922" s="8">
        <v>95.053159687879244</v>
      </c>
      <c r="N1922" s="8">
        <v>18.699476293021355</v>
      </c>
      <c r="O1922" s="8">
        <v>43.368487795108372</v>
      </c>
      <c r="P1922" s="8">
        <v>8.122576316157426E-2</v>
      </c>
      <c r="Q1922" t="s">
        <v>137</v>
      </c>
    </row>
    <row r="1923" spans="1:17" x14ac:dyDescent="0.25">
      <c r="A1923" s="7" t="s">
        <v>162</v>
      </c>
      <c r="B1923" s="7" t="s">
        <v>18</v>
      </c>
      <c r="C1923" s="7" t="s">
        <v>19</v>
      </c>
      <c r="D1923" s="7"/>
      <c r="E1923" s="7"/>
      <c r="F1923" s="7" t="s">
        <v>33</v>
      </c>
      <c r="G1923" s="7" t="s">
        <v>34</v>
      </c>
      <c r="H1923" s="7" t="s">
        <v>172</v>
      </c>
      <c r="I1923" s="7" t="s">
        <v>180</v>
      </c>
      <c r="J1923" s="8">
        <v>0.46130128905396561</v>
      </c>
      <c r="K1923" s="8">
        <v>0.424379724710509</v>
      </c>
      <c r="L1923" s="8">
        <v>9.6410312431723846E-3</v>
      </c>
      <c r="M1923" s="8">
        <v>18.498165173694559</v>
      </c>
      <c r="N1923" s="8">
        <v>8.1291859296482389</v>
      </c>
      <c r="O1923" s="8">
        <v>15.260157745247978</v>
      </c>
      <c r="P1923" s="8">
        <v>2.2832641468210617E-2</v>
      </c>
      <c r="Q1923" t="s">
        <v>137</v>
      </c>
    </row>
    <row r="1924" spans="1:17" x14ac:dyDescent="0.25">
      <c r="A1924" s="7" t="s">
        <v>162</v>
      </c>
      <c r="B1924" s="7" t="s">
        <v>18</v>
      </c>
      <c r="C1924" s="7" t="s">
        <v>19</v>
      </c>
      <c r="D1924" s="7"/>
      <c r="E1924" s="7"/>
      <c r="F1924" s="7" t="s">
        <v>33</v>
      </c>
      <c r="G1924" s="7" t="s">
        <v>34</v>
      </c>
      <c r="H1924" s="7" t="s">
        <v>172</v>
      </c>
      <c r="I1924" s="7" t="s">
        <v>181</v>
      </c>
      <c r="J1924" s="8">
        <v>1.5326957629494229</v>
      </c>
      <c r="K1924" s="8">
        <v>1.3601486738373363</v>
      </c>
      <c r="L1924" s="8">
        <v>9.6407875807412377E-2</v>
      </c>
      <c r="M1924" s="8">
        <v>258.72908817879619</v>
      </c>
      <c r="N1924" s="8">
        <v>53.699726862574224</v>
      </c>
      <c r="O1924" s="8">
        <v>30.1620990943312</v>
      </c>
      <c r="P1924" s="8">
        <v>0.33287616270083792</v>
      </c>
      <c r="Q1924" t="s">
        <v>26</v>
      </c>
    </row>
    <row r="1925" spans="1:17" x14ac:dyDescent="0.25">
      <c r="A1925" s="7" t="s">
        <v>162</v>
      </c>
      <c r="B1925" s="7" t="s">
        <v>18</v>
      </c>
      <c r="C1925" s="7" t="s">
        <v>19</v>
      </c>
      <c r="D1925" s="7" t="s">
        <v>20</v>
      </c>
      <c r="E1925" s="7" t="s">
        <v>21</v>
      </c>
      <c r="F1925" s="7" t="s">
        <v>35</v>
      </c>
      <c r="G1925" s="7" t="s">
        <v>36</v>
      </c>
      <c r="H1925" s="7" t="s">
        <v>172</v>
      </c>
      <c r="I1925" s="7" t="s">
        <v>173</v>
      </c>
      <c r="J1925" s="8">
        <v>1.8026338862559241</v>
      </c>
      <c r="K1925" s="8">
        <v>1.5946482359136391</v>
      </c>
      <c r="L1925" s="8">
        <v>0.50691350710900485</v>
      </c>
      <c r="M1925" s="8">
        <v>1848.0406979989468</v>
      </c>
      <c r="N1925" s="8">
        <v>78.097192162541702</v>
      </c>
      <c r="O1925" s="8">
        <v>140.96426645602946</v>
      </c>
      <c r="P1925" s="8">
        <v>1.8182946287519746</v>
      </c>
      <c r="Q1925" t="s">
        <v>26</v>
      </c>
    </row>
    <row r="1926" spans="1:17" x14ac:dyDescent="0.25">
      <c r="A1926" s="7" t="s">
        <v>162</v>
      </c>
      <c r="B1926" s="7" t="s">
        <v>18</v>
      </c>
      <c r="C1926" s="7" t="s">
        <v>19</v>
      </c>
      <c r="D1926" s="7" t="s">
        <v>20</v>
      </c>
      <c r="E1926" s="7" t="s">
        <v>21</v>
      </c>
      <c r="F1926" s="7" t="s">
        <v>35</v>
      </c>
      <c r="G1926" s="7" t="s">
        <v>36</v>
      </c>
      <c r="H1926" s="7" t="s">
        <v>172</v>
      </c>
      <c r="I1926" s="7" t="s">
        <v>174</v>
      </c>
      <c r="J1926" s="8">
        <v>79.563168808022382</v>
      </c>
      <c r="K1926" s="8">
        <v>70.384465368337118</v>
      </c>
      <c r="L1926" s="8">
        <v>4.1968388724835304</v>
      </c>
      <c r="M1926" s="8">
        <v>10943.894597692111</v>
      </c>
      <c r="N1926" s="8">
        <v>2916.5350512579062</v>
      </c>
      <c r="O1926" s="8">
        <v>963.61976169467721</v>
      </c>
      <c r="P1926" s="8">
        <v>15.977056606792802</v>
      </c>
      <c r="Q1926" t="s">
        <v>26</v>
      </c>
    </row>
    <row r="1927" spans="1:17" x14ac:dyDescent="0.25">
      <c r="A1927" s="7" t="s">
        <v>162</v>
      </c>
      <c r="B1927" s="7" t="s">
        <v>18</v>
      </c>
      <c r="C1927" s="7" t="s">
        <v>19</v>
      </c>
      <c r="D1927" s="7" t="s">
        <v>20</v>
      </c>
      <c r="E1927" s="7" t="s">
        <v>21</v>
      </c>
      <c r="F1927" s="7" t="s">
        <v>35</v>
      </c>
      <c r="G1927" s="7" t="s">
        <v>36</v>
      </c>
      <c r="H1927" s="7" t="s">
        <v>172</v>
      </c>
      <c r="I1927" s="7" t="s">
        <v>175</v>
      </c>
      <c r="J1927" s="8">
        <v>2.8569055244195352</v>
      </c>
      <c r="K1927" s="8">
        <v>2.5274219375500402</v>
      </c>
      <c r="L1927" s="8">
        <v>0.49341473178542838</v>
      </c>
      <c r="M1927" s="8">
        <v>1243.230835726587</v>
      </c>
      <c r="N1927" s="8">
        <v>611.25483957503957</v>
      </c>
      <c r="O1927" s="8">
        <v>57.242534027221787</v>
      </c>
      <c r="P1927" s="8">
        <v>1.383206886911885</v>
      </c>
      <c r="Q1927" t="s">
        <v>26</v>
      </c>
    </row>
    <row r="1928" spans="1:17" x14ac:dyDescent="0.25">
      <c r="A1928" s="7" t="s">
        <v>162</v>
      </c>
      <c r="B1928" s="7" t="s">
        <v>18</v>
      </c>
      <c r="C1928" s="7" t="s">
        <v>19</v>
      </c>
      <c r="D1928" s="7" t="s">
        <v>20</v>
      </c>
      <c r="E1928" s="7" t="s">
        <v>21</v>
      </c>
      <c r="F1928" s="7" t="s">
        <v>35</v>
      </c>
      <c r="G1928" s="7" t="s">
        <v>36</v>
      </c>
      <c r="H1928" s="7" t="s">
        <v>172</v>
      </c>
      <c r="I1928" s="7" t="s">
        <v>176</v>
      </c>
      <c r="J1928" s="8">
        <v>12.65444818404136</v>
      </c>
      <c r="K1928" s="8">
        <v>11.215376572633582</v>
      </c>
      <c r="L1928" s="8">
        <v>1.4738894864278127</v>
      </c>
      <c r="M1928" s="8">
        <v>2892.6034871046254</v>
      </c>
      <c r="N1928" s="8">
        <v>644.81161457774988</v>
      </c>
      <c r="O1928" s="8">
        <v>314.95707423630154</v>
      </c>
      <c r="P1928" s="8">
        <v>4.4979657569517597</v>
      </c>
      <c r="Q1928" t="s">
        <v>26</v>
      </c>
    </row>
    <row r="1929" spans="1:17" x14ac:dyDescent="0.25">
      <c r="A1929" s="7" t="s">
        <v>162</v>
      </c>
      <c r="B1929" s="7" t="s">
        <v>18</v>
      </c>
      <c r="C1929" s="7" t="s">
        <v>19</v>
      </c>
      <c r="D1929" s="7" t="s">
        <v>20</v>
      </c>
      <c r="E1929" s="7" t="s">
        <v>21</v>
      </c>
      <c r="F1929" s="7" t="s">
        <v>35</v>
      </c>
      <c r="G1929" s="7" t="s">
        <v>36</v>
      </c>
      <c r="H1929" s="7" t="s">
        <v>172</v>
      </c>
      <c r="I1929" s="7" t="s">
        <v>177</v>
      </c>
      <c r="J1929" s="8">
        <v>1.6378773819029326E-2</v>
      </c>
      <c r="K1929" s="8">
        <v>1.445505591015981E-2</v>
      </c>
      <c r="L1929" s="8">
        <v>1.3788537923207869E-3</v>
      </c>
      <c r="M1929" s="8">
        <v>2.5825984832767839</v>
      </c>
      <c r="N1929" s="8">
        <v>0.648554368566301</v>
      </c>
      <c r="O1929" s="8">
        <v>0.22692691583553512</v>
      </c>
      <c r="P1929" s="8">
        <v>5.080385852090032E-3</v>
      </c>
      <c r="Q1929" t="s">
        <v>26</v>
      </c>
    </row>
    <row r="1930" spans="1:17" x14ac:dyDescent="0.25">
      <c r="A1930" s="7" t="s">
        <v>162</v>
      </c>
      <c r="B1930" s="7" t="s">
        <v>18</v>
      </c>
      <c r="C1930" s="7" t="s">
        <v>19</v>
      </c>
      <c r="D1930" s="7" t="s">
        <v>20</v>
      </c>
      <c r="E1930" s="7" t="s">
        <v>21</v>
      </c>
      <c r="F1930" s="7" t="s">
        <v>35</v>
      </c>
      <c r="G1930" s="7" t="s">
        <v>36</v>
      </c>
      <c r="H1930" s="7" t="s">
        <v>172</v>
      </c>
      <c r="I1930" s="7" t="s">
        <v>178</v>
      </c>
      <c r="J1930" s="8">
        <v>26.920963756819958</v>
      </c>
      <c r="K1930" s="8">
        <v>24.766896726422452</v>
      </c>
      <c r="L1930" s="8">
        <v>0.41503897116134059</v>
      </c>
      <c r="M1930" s="8">
        <v>681.86050993764627</v>
      </c>
      <c r="N1930" s="8">
        <v>377.74963971161338</v>
      </c>
      <c r="O1930" s="8">
        <v>485.90901714731092</v>
      </c>
      <c r="P1930" s="8">
        <v>0.74116212003117676</v>
      </c>
      <c r="Q1930" t="s">
        <v>137</v>
      </c>
    </row>
    <row r="1931" spans="1:17" x14ac:dyDescent="0.25">
      <c r="A1931" s="7" t="s">
        <v>162</v>
      </c>
      <c r="B1931" s="7" t="s">
        <v>18</v>
      </c>
      <c r="C1931" s="7" t="s">
        <v>19</v>
      </c>
      <c r="D1931" s="7" t="s">
        <v>20</v>
      </c>
      <c r="E1931" s="7" t="s">
        <v>21</v>
      </c>
      <c r="F1931" s="7" t="s">
        <v>35</v>
      </c>
      <c r="G1931" s="7" t="s">
        <v>36</v>
      </c>
      <c r="H1931" s="7" t="s">
        <v>172</v>
      </c>
      <c r="I1931" s="7" t="s">
        <v>179</v>
      </c>
      <c r="J1931" s="8">
        <v>36.343227575637883</v>
      </c>
      <c r="K1931" s="8">
        <v>33.405675642172369</v>
      </c>
      <c r="L1931" s="8">
        <v>1.1449163724856002</v>
      </c>
      <c r="M1931" s="8">
        <v>2081.1380796830745</v>
      </c>
      <c r="N1931" s="8">
        <v>683.32093691025455</v>
      </c>
      <c r="O1931" s="8">
        <v>1223.9078754179804</v>
      </c>
      <c r="P1931" s="8">
        <v>2.6531486398958593</v>
      </c>
      <c r="Q1931" t="s">
        <v>137</v>
      </c>
    </row>
    <row r="1932" spans="1:17" x14ac:dyDescent="0.25">
      <c r="A1932" s="7" t="s">
        <v>162</v>
      </c>
      <c r="B1932" s="7" t="s">
        <v>18</v>
      </c>
      <c r="C1932" s="7" t="s">
        <v>19</v>
      </c>
      <c r="D1932" s="7" t="s">
        <v>20</v>
      </c>
      <c r="E1932" s="7" t="s">
        <v>21</v>
      </c>
      <c r="F1932" s="7" t="s">
        <v>35</v>
      </c>
      <c r="G1932" s="7" t="s">
        <v>36</v>
      </c>
      <c r="H1932" s="7" t="s">
        <v>172</v>
      </c>
      <c r="I1932" s="7" t="s">
        <v>180</v>
      </c>
      <c r="J1932" s="8">
        <v>121.52726181632802</v>
      </c>
      <c r="K1932" s="8">
        <v>111.80048080984632</v>
      </c>
      <c r="L1932" s="8">
        <v>2.53987611972908</v>
      </c>
      <c r="M1932" s="8">
        <v>4873.238847425534</v>
      </c>
      <c r="N1932" s="8">
        <v>2141.588871021775</v>
      </c>
      <c r="O1932" s="8">
        <v>4020.2037793314389</v>
      </c>
      <c r="P1932" s="8">
        <v>6.0151325467919312</v>
      </c>
      <c r="Q1932" t="s">
        <v>137</v>
      </c>
    </row>
    <row r="1933" spans="1:17" x14ac:dyDescent="0.25">
      <c r="A1933" s="7" t="s">
        <v>162</v>
      </c>
      <c r="B1933" s="7" t="s">
        <v>18</v>
      </c>
      <c r="C1933" s="7" t="s">
        <v>19</v>
      </c>
      <c r="D1933" s="7" t="s">
        <v>20</v>
      </c>
      <c r="E1933" s="7" t="s">
        <v>21</v>
      </c>
      <c r="F1933" s="7" t="s">
        <v>35</v>
      </c>
      <c r="G1933" s="7" t="s">
        <v>36</v>
      </c>
      <c r="H1933" s="7" t="s">
        <v>172</v>
      </c>
      <c r="I1933" s="7" t="s">
        <v>181</v>
      </c>
      <c r="J1933" s="8">
        <v>37.953855606920619</v>
      </c>
      <c r="K1933" s="8">
        <v>33.707960021931257</v>
      </c>
      <c r="L1933" s="8">
        <v>2.3310076045879828</v>
      </c>
      <c r="M1933" s="8">
        <v>6020.7321179640476</v>
      </c>
      <c r="N1933" s="8">
        <v>1267.6076019193811</v>
      </c>
      <c r="O1933" s="8">
        <v>682.80537890885239</v>
      </c>
      <c r="P1933" s="8">
        <v>8.1780316546813836</v>
      </c>
      <c r="Q1933" t="s">
        <v>26</v>
      </c>
    </row>
    <row r="1934" spans="1:17" x14ac:dyDescent="0.25">
      <c r="A1934" s="7" t="s">
        <v>162</v>
      </c>
      <c r="B1934" s="7" t="s">
        <v>18</v>
      </c>
      <c r="C1934" s="7" t="s">
        <v>19</v>
      </c>
      <c r="D1934" s="7"/>
      <c r="E1934" s="7"/>
      <c r="F1934" s="7" t="s">
        <v>37</v>
      </c>
      <c r="G1934" s="7" t="s">
        <v>38</v>
      </c>
      <c r="H1934" s="7" t="s">
        <v>172</v>
      </c>
      <c r="I1934" s="7" t="s">
        <v>173</v>
      </c>
      <c r="J1934" s="8">
        <v>7.3418246445497619E-3</v>
      </c>
      <c r="K1934" s="8">
        <v>6.4947340705634547E-3</v>
      </c>
      <c r="L1934" s="8">
        <v>2.0645734597156402E-3</v>
      </c>
      <c r="M1934" s="8">
        <v>7.5267589520800424</v>
      </c>
      <c r="N1934" s="8">
        <v>0.31807672898016504</v>
      </c>
      <c r="O1934" s="8">
        <v>0.57412374934175869</v>
      </c>
      <c r="P1934" s="8">
        <v>7.4056082148499227E-3</v>
      </c>
      <c r="Q1934" t="s">
        <v>26</v>
      </c>
    </row>
    <row r="1935" spans="1:17" x14ac:dyDescent="0.25">
      <c r="A1935" s="7" t="s">
        <v>162</v>
      </c>
      <c r="B1935" s="7" t="s">
        <v>18</v>
      </c>
      <c r="C1935" s="7" t="s">
        <v>19</v>
      </c>
      <c r="D1935" s="7"/>
      <c r="E1935" s="7"/>
      <c r="F1935" s="7" t="s">
        <v>37</v>
      </c>
      <c r="G1935" s="7" t="s">
        <v>38</v>
      </c>
      <c r="H1935" s="7" t="s">
        <v>172</v>
      </c>
      <c r="I1935" s="7" t="s">
        <v>174</v>
      </c>
      <c r="J1935" s="8">
        <v>0.76132935189705864</v>
      </c>
      <c r="K1935" s="8">
        <v>0.67349489989951483</v>
      </c>
      <c r="L1935" s="8">
        <v>4.0150943467875594E-2</v>
      </c>
      <c r="M1935" s="8">
        <v>104.67465627130494</v>
      </c>
      <c r="N1935" s="8">
        <v>27.893477376631701</v>
      </c>
      <c r="O1935" s="8">
        <v>9.2218695465178868</v>
      </c>
      <c r="P1935" s="8">
        <v>0.15286999443098206</v>
      </c>
      <c r="Q1935" t="s">
        <v>26</v>
      </c>
    </row>
    <row r="1936" spans="1:17" x14ac:dyDescent="0.25">
      <c r="A1936" s="7" t="s">
        <v>162</v>
      </c>
      <c r="B1936" s="7" t="s">
        <v>18</v>
      </c>
      <c r="C1936" s="7" t="s">
        <v>19</v>
      </c>
      <c r="D1936" s="7"/>
      <c r="E1936" s="7"/>
      <c r="F1936" s="7" t="s">
        <v>37</v>
      </c>
      <c r="G1936" s="7" t="s">
        <v>38</v>
      </c>
      <c r="H1936" s="7" t="s">
        <v>172</v>
      </c>
      <c r="I1936" s="7" t="s">
        <v>175</v>
      </c>
      <c r="J1936" s="8">
        <v>2.8216350858464547E-2</v>
      </c>
      <c r="K1936" s="8">
        <v>2.4962191975802867E-2</v>
      </c>
      <c r="L1936" s="8">
        <v>4.873231918868428E-3</v>
      </c>
      <c r="M1936" s="8">
        <v>12.278823068904559</v>
      </c>
      <c r="N1936" s="8">
        <v>6.0370848353090336</v>
      </c>
      <c r="O1936" s="8">
        <v>0.5653583607626842</v>
      </c>
      <c r="P1936" s="8">
        <v>1.366130258678405E-2</v>
      </c>
      <c r="Q1936" t="s">
        <v>26</v>
      </c>
    </row>
    <row r="1937" spans="1:17" x14ac:dyDescent="0.25">
      <c r="A1937" s="7" t="s">
        <v>162</v>
      </c>
      <c r="B1937" s="7" t="s">
        <v>18</v>
      </c>
      <c r="C1937" s="7" t="s">
        <v>19</v>
      </c>
      <c r="D1937" s="7"/>
      <c r="E1937" s="7"/>
      <c r="F1937" s="7" t="s">
        <v>37</v>
      </c>
      <c r="G1937" s="7" t="s">
        <v>38</v>
      </c>
      <c r="H1937" s="7" t="s">
        <v>172</v>
      </c>
      <c r="I1937" s="7" t="s">
        <v>176</v>
      </c>
      <c r="J1937" s="8">
        <v>0.12752499810399937</v>
      </c>
      <c r="K1937" s="8">
        <v>0.11283807290189476</v>
      </c>
      <c r="L1937" s="8">
        <v>1.5442626715527714E-2</v>
      </c>
      <c r="M1937" s="8">
        <v>30.35648572225967</v>
      </c>
      <c r="N1937" s="8">
        <v>6.7352765809023465</v>
      </c>
      <c r="O1937" s="8">
        <v>3.3062446153765359</v>
      </c>
      <c r="P1937" s="8">
        <v>4.7028510679507009E-2</v>
      </c>
      <c r="Q1937" t="s">
        <v>26</v>
      </c>
    </row>
    <row r="1938" spans="1:17" x14ac:dyDescent="0.25">
      <c r="A1938" s="7" t="s">
        <v>162</v>
      </c>
      <c r="B1938" s="7" t="s">
        <v>18</v>
      </c>
      <c r="C1938" s="7" t="s">
        <v>19</v>
      </c>
      <c r="D1938" s="7"/>
      <c r="E1938" s="7"/>
      <c r="F1938" s="7" t="s">
        <v>37</v>
      </c>
      <c r="G1938" s="7" t="s">
        <v>38</v>
      </c>
      <c r="H1938" s="7" t="s">
        <v>172</v>
      </c>
      <c r="I1938" s="7" t="s">
        <v>177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t="s">
        <v>26</v>
      </c>
    </row>
    <row r="1939" spans="1:17" x14ac:dyDescent="0.25">
      <c r="A1939" s="7" t="s">
        <v>162</v>
      </c>
      <c r="B1939" s="7" t="s">
        <v>18</v>
      </c>
      <c r="C1939" s="7" t="s">
        <v>19</v>
      </c>
      <c r="D1939" s="7"/>
      <c r="E1939" s="7"/>
      <c r="F1939" s="7" t="s">
        <v>37</v>
      </c>
      <c r="G1939" s="7" t="s">
        <v>38</v>
      </c>
      <c r="H1939" s="7" t="s">
        <v>172</v>
      </c>
      <c r="I1939" s="7" t="s">
        <v>178</v>
      </c>
      <c r="J1939" s="8">
        <v>0.21309469992205773</v>
      </c>
      <c r="K1939" s="8">
        <v>0.19604403741231494</v>
      </c>
      <c r="L1939" s="8">
        <v>3.2852689010132506E-3</v>
      </c>
      <c r="M1939" s="8">
        <v>5.3973127435697581</v>
      </c>
      <c r="N1939" s="8">
        <v>2.9901026890101323</v>
      </c>
      <c r="O1939" s="8">
        <v>3.8462455183164463</v>
      </c>
      <c r="P1939" s="8">
        <v>5.8667186282151187E-3</v>
      </c>
      <c r="Q1939" t="s">
        <v>137</v>
      </c>
    </row>
    <row r="1940" spans="1:17" x14ac:dyDescent="0.25">
      <c r="A1940" s="7" t="s">
        <v>162</v>
      </c>
      <c r="B1940" s="7" t="s">
        <v>18</v>
      </c>
      <c r="C1940" s="7" t="s">
        <v>19</v>
      </c>
      <c r="D1940" s="7"/>
      <c r="E1940" s="7"/>
      <c r="F1940" s="7" t="s">
        <v>37</v>
      </c>
      <c r="G1940" s="7" t="s">
        <v>38</v>
      </c>
      <c r="H1940" s="7" t="s">
        <v>172</v>
      </c>
      <c r="I1940" s="7" t="s">
        <v>179</v>
      </c>
      <c r="J1940" s="8">
        <v>0.30832187444610215</v>
      </c>
      <c r="K1940" s="8">
        <v>0.28325253149779944</v>
      </c>
      <c r="L1940" s="8">
        <v>1.0716081564744165E-2</v>
      </c>
      <c r="M1940" s="8">
        <v>22.673371370862647</v>
      </c>
      <c r="N1940" s="8">
        <v>5.8319241971977718</v>
      </c>
      <c r="O1940" s="8">
        <v>11.785456727484144</v>
      </c>
      <c r="P1940" s="8">
        <v>2.3175448798360913E-2</v>
      </c>
      <c r="Q1940" t="s">
        <v>137</v>
      </c>
    </row>
    <row r="1941" spans="1:17" x14ac:dyDescent="0.25">
      <c r="A1941" s="7" t="s">
        <v>162</v>
      </c>
      <c r="B1941" s="7" t="s">
        <v>18</v>
      </c>
      <c r="C1941" s="7" t="s">
        <v>19</v>
      </c>
      <c r="D1941" s="7"/>
      <c r="E1941" s="7"/>
      <c r="F1941" s="7" t="s">
        <v>37</v>
      </c>
      <c r="G1941" s="7" t="s">
        <v>38</v>
      </c>
      <c r="H1941" s="7" t="s">
        <v>172</v>
      </c>
      <c r="I1941" s="7" t="s">
        <v>180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t="s">
        <v>137</v>
      </c>
    </row>
    <row r="1942" spans="1:17" x14ac:dyDescent="0.25">
      <c r="A1942" s="7" t="s">
        <v>162</v>
      </c>
      <c r="B1942" s="7" t="s">
        <v>18</v>
      </c>
      <c r="C1942" s="7" t="s">
        <v>19</v>
      </c>
      <c r="D1942" s="7"/>
      <c r="E1942" s="7"/>
      <c r="F1942" s="7" t="s">
        <v>37</v>
      </c>
      <c r="G1942" s="7" t="s">
        <v>38</v>
      </c>
      <c r="H1942" s="7" t="s">
        <v>172</v>
      </c>
      <c r="I1942" s="7" t="s">
        <v>181</v>
      </c>
      <c r="J1942" s="8">
        <v>1.01494630337461</v>
      </c>
      <c r="K1942" s="8">
        <v>0.8999152699068047</v>
      </c>
      <c r="L1942" s="8">
        <v>6.5963095688924042E-2</v>
      </c>
      <c r="M1942" s="8">
        <v>173.39866908320465</v>
      </c>
      <c r="N1942" s="8">
        <v>35.918497608166824</v>
      </c>
      <c r="O1942" s="8">
        <v>19.934840552355322</v>
      </c>
      <c r="P1942" s="8">
        <v>0.22776364272628577</v>
      </c>
      <c r="Q1942" t="s">
        <v>26</v>
      </c>
    </row>
    <row r="1943" spans="1:17" x14ac:dyDescent="0.25">
      <c r="A1943" s="7" t="s">
        <v>162</v>
      </c>
      <c r="B1943" s="7" t="s">
        <v>18</v>
      </c>
      <c r="C1943" s="7" t="s">
        <v>19</v>
      </c>
      <c r="D1943" s="7"/>
      <c r="E1943" s="7"/>
      <c r="F1943" s="7" t="s">
        <v>39</v>
      </c>
      <c r="G1943" s="7" t="s">
        <v>40</v>
      </c>
      <c r="H1943" s="7" t="s">
        <v>172</v>
      </c>
      <c r="I1943" s="7" t="s">
        <v>173</v>
      </c>
      <c r="J1943" s="8">
        <v>1.7274881516587677E-3</v>
      </c>
      <c r="K1943" s="8">
        <v>1.5281727224855188E-3</v>
      </c>
      <c r="L1943" s="8">
        <v>4.8578199052132709E-4</v>
      </c>
      <c r="M1943" s="8">
        <v>1.7710021063717745</v>
      </c>
      <c r="N1943" s="8">
        <v>7.4841583289450606E-2</v>
      </c>
      <c r="O1943" s="8">
        <v>0.13508794102159027</v>
      </c>
      <c r="P1943" s="8">
        <v>1.7424960505529228E-3</v>
      </c>
      <c r="Q1943" t="s">
        <v>26</v>
      </c>
    </row>
    <row r="1944" spans="1:17" x14ac:dyDescent="0.25">
      <c r="A1944" s="7" t="s">
        <v>162</v>
      </c>
      <c r="B1944" s="7" t="s">
        <v>18</v>
      </c>
      <c r="C1944" s="7" t="s">
        <v>19</v>
      </c>
      <c r="D1944" s="7"/>
      <c r="E1944" s="7"/>
      <c r="F1944" s="7" t="s">
        <v>39</v>
      </c>
      <c r="G1944" s="7" t="s">
        <v>40</v>
      </c>
      <c r="H1944" s="7" t="s">
        <v>172</v>
      </c>
      <c r="I1944" s="7" t="s">
        <v>174</v>
      </c>
      <c r="J1944" s="8">
        <v>0.28742855407034029</v>
      </c>
      <c r="K1944" s="8">
        <v>0.25426796532867796</v>
      </c>
      <c r="L1944" s="8">
        <v>1.5158390513612941E-2</v>
      </c>
      <c r="M1944" s="8">
        <v>39.518356969821838</v>
      </c>
      <c r="N1944" s="8">
        <v>10.530766809898394</v>
      </c>
      <c r="O1944" s="8">
        <v>3.4815794543796073</v>
      </c>
      <c r="P1944" s="8">
        <v>5.7713788849138317E-2</v>
      </c>
      <c r="Q1944" t="s">
        <v>26</v>
      </c>
    </row>
    <row r="1945" spans="1:17" x14ac:dyDescent="0.25">
      <c r="A1945" s="7" t="s">
        <v>162</v>
      </c>
      <c r="B1945" s="7" t="s">
        <v>18</v>
      </c>
      <c r="C1945" s="7" t="s">
        <v>19</v>
      </c>
      <c r="D1945" s="7"/>
      <c r="E1945" s="7"/>
      <c r="F1945" s="7" t="s">
        <v>39</v>
      </c>
      <c r="G1945" s="7" t="s">
        <v>40</v>
      </c>
      <c r="H1945" s="7" t="s">
        <v>172</v>
      </c>
      <c r="I1945" s="7" t="s">
        <v>175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t="s">
        <v>26</v>
      </c>
    </row>
    <row r="1946" spans="1:17" x14ac:dyDescent="0.25">
      <c r="A1946" s="7" t="s">
        <v>162</v>
      </c>
      <c r="B1946" s="7" t="s">
        <v>18</v>
      </c>
      <c r="C1946" s="7" t="s">
        <v>19</v>
      </c>
      <c r="D1946" s="7"/>
      <c r="E1946" s="7"/>
      <c r="F1946" s="7" t="s">
        <v>39</v>
      </c>
      <c r="G1946" s="7" t="s">
        <v>40</v>
      </c>
      <c r="H1946" s="7" t="s">
        <v>172</v>
      </c>
      <c r="I1946" s="7" t="s">
        <v>176</v>
      </c>
      <c r="J1946" s="8">
        <v>5.1421370203225548E-2</v>
      </c>
      <c r="K1946" s="8">
        <v>4.5499222944312405E-2</v>
      </c>
      <c r="L1946" s="8">
        <v>6.2268656110998849E-3</v>
      </c>
      <c r="M1946" s="8">
        <v>12.240518436395028</v>
      </c>
      <c r="N1946" s="8">
        <v>2.7158373310090114</v>
      </c>
      <c r="O1946" s="8">
        <v>1.3331631513615061</v>
      </c>
      <c r="P1946" s="8">
        <v>1.8963109144962506E-2</v>
      </c>
      <c r="Q1946" t="s">
        <v>26</v>
      </c>
    </row>
    <row r="1947" spans="1:17" x14ac:dyDescent="0.25">
      <c r="A1947" s="7" t="s">
        <v>162</v>
      </c>
      <c r="B1947" s="7" t="s">
        <v>18</v>
      </c>
      <c r="C1947" s="7" t="s">
        <v>19</v>
      </c>
      <c r="D1947" s="7"/>
      <c r="E1947" s="7"/>
      <c r="F1947" s="7" t="s">
        <v>39</v>
      </c>
      <c r="G1947" s="7" t="s">
        <v>40</v>
      </c>
      <c r="H1947" s="7" t="s">
        <v>172</v>
      </c>
      <c r="I1947" s="7" t="s">
        <v>177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t="s">
        <v>26</v>
      </c>
    </row>
    <row r="1948" spans="1:17" x14ac:dyDescent="0.25">
      <c r="A1948" s="7" t="s">
        <v>162</v>
      </c>
      <c r="B1948" s="7" t="s">
        <v>18</v>
      </c>
      <c r="C1948" s="7" t="s">
        <v>19</v>
      </c>
      <c r="D1948" s="7"/>
      <c r="E1948" s="7"/>
      <c r="F1948" s="7" t="s">
        <v>39</v>
      </c>
      <c r="G1948" s="7" t="s">
        <v>40</v>
      </c>
      <c r="H1948" s="7" t="s">
        <v>172</v>
      </c>
      <c r="I1948" s="7" t="s">
        <v>178</v>
      </c>
      <c r="J1948" s="8">
        <v>0.28412626656274365</v>
      </c>
      <c r="K1948" s="8">
        <v>0.26139204988308656</v>
      </c>
      <c r="L1948" s="8">
        <v>4.3803585346843341E-3</v>
      </c>
      <c r="M1948" s="8">
        <v>7.1964169914263447</v>
      </c>
      <c r="N1948" s="8">
        <v>3.9868035853468435</v>
      </c>
      <c r="O1948" s="8">
        <v>5.1283273577552615</v>
      </c>
      <c r="P1948" s="8">
        <v>7.8222915042868262E-3</v>
      </c>
      <c r="Q1948" t="s">
        <v>137</v>
      </c>
    </row>
    <row r="1949" spans="1:17" x14ac:dyDescent="0.25">
      <c r="A1949" s="7" t="s">
        <v>162</v>
      </c>
      <c r="B1949" s="7" t="s">
        <v>18</v>
      </c>
      <c r="C1949" s="7" t="s">
        <v>19</v>
      </c>
      <c r="D1949" s="7"/>
      <c r="E1949" s="7"/>
      <c r="F1949" s="7" t="s">
        <v>39</v>
      </c>
      <c r="G1949" s="7" t="s">
        <v>40</v>
      </c>
      <c r="H1949" s="7" t="s">
        <v>172</v>
      </c>
      <c r="I1949" s="7" t="s">
        <v>179</v>
      </c>
      <c r="J1949" s="8">
        <v>5.1513511375341665E-2</v>
      </c>
      <c r="K1949" s="8">
        <v>4.7186027908743849E-2</v>
      </c>
      <c r="L1949" s="8">
        <v>2.7304369289397569E-3</v>
      </c>
      <c r="M1949" s="8">
        <v>8.6564252501766976</v>
      </c>
      <c r="N1949" s="8">
        <v>1.0370492609564286</v>
      </c>
      <c r="O1949" s="8">
        <v>3.283259744340421</v>
      </c>
      <c r="P1949" s="8">
        <v>5.2875865303991104E-3</v>
      </c>
      <c r="Q1949" t="s">
        <v>137</v>
      </c>
    </row>
    <row r="1950" spans="1:17" x14ac:dyDescent="0.25">
      <c r="A1950" s="7" t="s">
        <v>162</v>
      </c>
      <c r="B1950" s="7" t="s">
        <v>18</v>
      </c>
      <c r="C1950" s="7" t="s">
        <v>19</v>
      </c>
      <c r="D1950" s="7"/>
      <c r="E1950" s="7"/>
      <c r="F1950" s="7" t="s">
        <v>39</v>
      </c>
      <c r="G1950" s="7" t="s">
        <v>40</v>
      </c>
      <c r="H1950" s="7" t="s">
        <v>172</v>
      </c>
      <c r="I1950" s="7" t="s">
        <v>180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t="s">
        <v>137</v>
      </c>
    </row>
    <row r="1951" spans="1:17" x14ac:dyDescent="0.25">
      <c r="A1951" s="7" t="s">
        <v>162</v>
      </c>
      <c r="B1951" s="7" t="s">
        <v>18</v>
      </c>
      <c r="C1951" s="7" t="s">
        <v>19</v>
      </c>
      <c r="D1951" s="7"/>
      <c r="E1951" s="7"/>
      <c r="F1951" s="7" t="s">
        <v>39</v>
      </c>
      <c r="G1951" s="7" t="s">
        <v>40</v>
      </c>
      <c r="H1951" s="7" t="s">
        <v>172</v>
      </c>
      <c r="I1951" s="7" t="s">
        <v>181</v>
      </c>
      <c r="J1951" s="8">
        <v>0.30646552339136235</v>
      </c>
      <c r="K1951" s="8">
        <v>0.27101231623481975</v>
      </c>
      <c r="L1951" s="8">
        <v>2.1004130056190506E-2</v>
      </c>
      <c r="M1951" s="8">
        <v>56.137438530675453</v>
      </c>
      <c r="N1951" s="8">
        <v>11.547774922620967</v>
      </c>
      <c r="O1951" s="8">
        <v>6.5170341487946928</v>
      </c>
      <c r="P1951" s="8">
        <v>7.23971857753508E-2</v>
      </c>
      <c r="Q1951" t="s">
        <v>26</v>
      </c>
    </row>
    <row r="1952" spans="1:17" x14ac:dyDescent="0.25">
      <c r="A1952" s="7" t="s">
        <v>162</v>
      </c>
      <c r="B1952" s="7" t="s">
        <v>18</v>
      </c>
      <c r="C1952" s="7" t="s">
        <v>19</v>
      </c>
      <c r="D1952" s="7" t="s">
        <v>20</v>
      </c>
      <c r="E1952" s="7" t="s">
        <v>21</v>
      </c>
      <c r="F1952" s="7" t="s">
        <v>41</v>
      </c>
      <c r="G1952" s="7" t="s">
        <v>42</v>
      </c>
      <c r="H1952" s="7" t="s">
        <v>172</v>
      </c>
      <c r="I1952" s="7" t="s">
        <v>173</v>
      </c>
      <c r="J1952" s="8">
        <v>0.46685367298578201</v>
      </c>
      <c r="K1952" s="8">
        <v>0.41298867825171143</v>
      </c>
      <c r="L1952" s="8">
        <v>0.13128258293838865</v>
      </c>
      <c r="M1952" s="8">
        <v>478.61331924697214</v>
      </c>
      <c r="N1952" s="8">
        <v>20.225937883974023</v>
      </c>
      <c r="O1952" s="8">
        <v>36.507516061084765</v>
      </c>
      <c r="P1952" s="8">
        <v>0.47090955766192738</v>
      </c>
      <c r="Q1952" t="s">
        <v>26</v>
      </c>
    </row>
    <row r="1953" spans="1:17" x14ac:dyDescent="0.25">
      <c r="A1953" s="7" t="s">
        <v>162</v>
      </c>
      <c r="B1953" s="7" t="s">
        <v>18</v>
      </c>
      <c r="C1953" s="7" t="s">
        <v>19</v>
      </c>
      <c r="D1953" s="7" t="s">
        <v>20</v>
      </c>
      <c r="E1953" s="7" t="s">
        <v>21</v>
      </c>
      <c r="F1953" s="7" t="s">
        <v>41</v>
      </c>
      <c r="G1953" s="7" t="s">
        <v>42</v>
      </c>
      <c r="H1953" s="7" t="s">
        <v>172</v>
      </c>
      <c r="I1953" s="7" t="s">
        <v>174</v>
      </c>
      <c r="J1953" s="8">
        <v>15.413296737445529</v>
      </c>
      <c r="K1953" s="8">
        <v>13.635152020708659</v>
      </c>
      <c r="L1953" s="8">
        <v>0.8130122517421785</v>
      </c>
      <c r="M1953" s="8">
        <v>2120.0024031852786</v>
      </c>
      <c r="N1953" s="8">
        <v>564.97371992742058</v>
      </c>
      <c r="O1953" s="8">
        <v>186.67855269598638</v>
      </c>
      <c r="P1953" s="8">
        <v>3.0951147247204176</v>
      </c>
      <c r="Q1953" t="s">
        <v>26</v>
      </c>
    </row>
    <row r="1954" spans="1:17" x14ac:dyDescent="0.25">
      <c r="A1954" s="7" t="s">
        <v>162</v>
      </c>
      <c r="B1954" s="7" t="s">
        <v>18</v>
      </c>
      <c r="C1954" s="7" t="s">
        <v>19</v>
      </c>
      <c r="D1954" s="7" t="s">
        <v>20</v>
      </c>
      <c r="E1954" s="7" t="s">
        <v>21</v>
      </c>
      <c r="F1954" s="7" t="s">
        <v>41</v>
      </c>
      <c r="G1954" s="7" t="s">
        <v>42</v>
      </c>
      <c r="H1954" s="7" t="s">
        <v>172</v>
      </c>
      <c r="I1954" s="7" t="s">
        <v>175</v>
      </c>
      <c r="J1954" s="8">
        <v>0.39785054710435014</v>
      </c>
      <c r="K1954" s="8">
        <v>0.35196690685882043</v>
      </c>
      <c r="L1954" s="8">
        <v>6.871257005604485E-2</v>
      </c>
      <c r="M1954" s="8">
        <v>173.13140527155431</v>
      </c>
      <c r="N1954" s="8">
        <v>85.122896177857356</v>
      </c>
      <c r="O1954" s="8">
        <v>7.9715528867538481</v>
      </c>
      <c r="P1954" s="8">
        <v>0.19262436647365508</v>
      </c>
      <c r="Q1954" t="s">
        <v>26</v>
      </c>
    </row>
    <row r="1955" spans="1:17" x14ac:dyDescent="0.25">
      <c r="A1955" s="7" t="s">
        <v>162</v>
      </c>
      <c r="B1955" s="7" t="s">
        <v>18</v>
      </c>
      <c r="C1955" s="7" t="s">
        <v>19</v>
      </c>
      <c r="D1955" s="7" t="s">
        <v>20</v>
      </c>
      <c r="E1955" s="7" t="s">
        <v>21</v>
      </c>
      <c r="F1955" s="7" t="s">
        <v>41</v>
      </c>
      <c r="G1955" s="7" t="s">
        <v>42</v>
      </c>
      <c r="H1955" s="7" t="s">
        <v>172</v>
      </c>
      <c r="I1955" s="7" t="s">
        <v>176</v>
      </c>
      <c r="J1955" s="8">
        <v>2.8453910078661795</v>
      </c>
      <c r="K1955" s="8">
        <v>2.5218089420221905</v>
      </c>
      <c r="L1955" s="8">
        <v>0.33141635057320773</v>
      </c>
      <c r="M1955" s="8">
        <v>650.41519308392401</v>
      </c>
      <c r="N1955" s="8">
        <v>144.98362539493866</v>
      </c>
      <c r="O1955" s="8">
        <v>70.82081007456955</v>
      </c>
      <c r="P1955" s="8">
        <v>1.0114038231370084</v>
      </c>
      <c r="Q1955" t="s">
        <v>26</v>
      </c>
    </row>
    <row r="1956" spans="1:17" x14ac:dyDescent="0.25">
      <c r="A1956" s="7" t="s">
        <v>162</v>
      </c>
      <c r="B1956" s="7" t="s">
        <v>18</v>
      </c>
      <c r="C1956" s="7" t="s">
        <v>19</v>
      </c>
      <c r="D1956" s="7" t="s">
        <v>20</v>
      </c>
      <c r="E1956" s="7" t="s">
        <v>21</v>
      </c>
      <c r="F1956" s="7" t="s">
        <v>41</v>
      </c>
      <c r="G1956" s="7" t="s">
        <v>42</v>
      </c>
      <c r="H1956" s="7" t="s">
        <v>172</v>
      </c>
      <c r="I1956" s="7" t="s">
        <v>177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t="s">
        <v>26</v>
      </c>
    </row>
    <row r="1957" spans="1:17" x14ac:dyDescent="0.25">
      <c r="A1957" s="7" t="s">
        <v>162</v>
      </c>
      <c r="B1957" s="7" t="s">
        <v>18</v>
      </c>
      <c r="C1957" s="7" t="s">
        <v>19</v>
      </c>
      <c r="D1957" s="7" t="s">
        <v>20</v>
      </c>
      <c r="E1957" s="7" t="s">
        <v>21</v>
      </c>
      <c r="F1957" s="7" t="s">
        <v>41</v>
      </c>
      <c r="G1957" s="7" t="s">
        <v>42</v>
      </c>
      <c r="H1957" s="7" t="s">
        <v>172</v>
      </c>
      <c r="I1957" s="7" t="s">
        <v>178</v>
      </c>
      <c r="J1957" s="8">
        <v>4.0487992985190964</v>
      </c>
      <c r="K1957" s="8">
        <v>3.724836710833983</v>
      </c>
      <c r="L1957" s="8">
        <v>6.2420109119251763E-2</v>
      </c>
      <c r="M1957" s="8">
        <v>102.54894212782543</v>
      </c>
      <c r="N1957" s="8">
        <v>56.811951091192519</v>
      </c>
      <c r="O1957" s="8">
        <v>73.078664848012465</v>
      </c>
      <c r="P1957" s="8">
        <v>0.11146765393608728</v>
      </c>
      <c r="Q1957" t="s">
        <v>137</v>
      </c>
    </row>
    <row r="1958" spans="1:17" x14ac:dyDescent="0.25">
      <c r="A1958" s="7" t="s">
        <v>162</v>
      </c>
      <c r="B1958" s="7" t="s">
        <v>18</v>
      </c>
      <c r="C1958" s="7" t="s">
        <v>19</v>
      </c>
      <c r="D1958" s="7" t="s">
        <v>20</v>
      </c>
      <c r="E1958" s="7" t="s">
        <v>21</v>
      </c>
      <c r="F1958" s="7" t="s">
        <v>41</v>
      </c>
      <c r="G1958" s="7" t="s">
        <v>42</v>
      </c>
      <c r="H1958" s="7" t="s">
        <v>172</v>
      </c>
      <c r="I1958" s="7" t="s">
        <v>179</v>
      </c>
      <c r="J1958" s="8">
        <v>14.093660532402689</v>
      </c>
      <c r="K1958" s="8">
        <v>12.951563979913994</v>
      </c>
      <c r="L1958" s="8">
        <v>0.46383401705812305</v>
      </c>
      <c r="M1958" s="8">
        <v>907.60744489876595</v>
      </c>
      <c r="N1958" s="8">
        <v>266.35420806629918</v>
      </c>
      <c r="O1958" s="8">
        <v>502.36446902328373</v>
      </c>
      <c r="P1958" s="8">
        <v>1.0504756024773831</v>
      </c>
      <c r="Q1958" t="s">
        <v>137</v>
      </c>
    </row>
    <row r="1959" spans="1:17" x14ac:dyDescent="0.25">
      <c r="A1959" s="7" t="s">
        <v>162</v>
      </c>
      <c r="B1959" s="7" t="s">
        <v>18</v>
      </c>
      <c r="C1959" s="7" t="s">
        <v>19</v>
      </c>
      <c r="D1959" s="7" t="s">
        <v>20</v>
      </c>
      <c r="E1959" s="7" t="s">
        <v>21</v>
      </c>
      <c r="F1959" s="7" t="s">
        <v>41</v>
      </c>
      <c r="G1959" s="7" t="s">
        <v>42</v>
      </c>
      <c r="H1959" s="7" t="s">
        <v>172</v>
      </c>
      <c r="I1959" s="7" t="s">
        <v>180</v>
      </c>
      <c r="J1959" s="8">
        <v>29.241376156143041</v>
      </c>
      <c r="K1959" s="8">
        <v>26.900959216371714</v>
      </c>
      <c r="L1959" s="8">
        <v>0.61113425824776058</v>
      </c>
      <c r="M1959" s="8">
        <v>1172.5781368436385</v>
      </c>
      <c r="N1959" s="8">
        <v>515.30006365159124</v>
      </c>
      <c r="O1959" s="8">
        <v>967.3244437404411</v>
      </c>
      <c r="P1959" s="8">
        <v>1.4473357730682399</v>
      </c>
      <c r="Q1959" t="s">
        <v>137</v>
      </c>
    </row>
    <row r="1960" spans="1:17" x14ac:dyDescent="0.25">
      <c r="A1960" s="7" t="s">
        <v>162</v>
      </c>
      <c r="B1960" s="7" t="s">
        <v>18</v>
      </c>
      <c r="C1960" s="7" t="s">
        <v>19</v>
      </c>
      <c r="D1960" s="7" t="s">
        <v>20</v>
      </c>
      <c r="E1960" s="7" t="s">
        <v>21</v>
      </c>
      <c r="F1960" s="7" t="s">
        <v>41</v>
      </c>
      <c r="G1960" s="7" t="s">
        <v>42</v>
      </c>
      <c r="H1960" s="7" t="s">
        <v>172</v>
      </c>
      <c r="I1960" s="7" t="s">
        <v>181</v>
      </c>
      <c r="J1960" s="8">
        <v>11.46722006279839</v>
      </c>
      <c r="K1960" s="8">
        <v>10.185272546429898</v>
      </c>
      <c r="L1960" s="8">
        <v>0.70110037430603489</v>
      </c>
      <c r="M1960" s="8">
        <v>1843.8244970319465</v>
      </c>
      <c r="N1960" s="8">
        <v>386.85953821697979</v>
      </c>
      <c r="O1960" s="8">
        <v>211.74017240974135</v>
      </c>
      <c r="P1960" s="8">
        <v>2.4512468933584679</v>
      </c>
      <c r="Q1960" t="s">
        <v>26</v>
      </c>
    </row>
    <row r="1961" spans="1:17" x14ac:dyDescent="0.25">
      <c r="A1961" s="7" t="s">
        <v>162</v>
      </c>
      <c r="B1961" s="7" t="s">
        <v>18</v>
      </c>
      <c r="C1961" s="7" t="s">
        <v>19</v>
      </c>
      <c r="D1961" s="7"/>
      <c r="E1961" s="7"/>
      <c r="F1961" s="7" t="s">
        <v>45</v>
      </c>
      <c r="G1961" s="7" t="s">
        <v>46</v>
      </c>
      <c r="H1961" s="7" t="s">
        <v>172</v>
      </c>
      <c r="I1961" s="7" t="s">
        <v>173</v>
      </c>
      <c r="J1961" s="8">
        <v>6.4780805687203796E-3</v>
      </c>
      <c r="K1961" s="8">
        <v>5.7306477093206952E-3</v>
      </c>
      <c r="L1961" s="8">
        <v>1.8216824644549767E-3</v>
      </c>
      <c r="M1961" s="8">
        <v>6.6412578988941551</v>
      </c>
      <c r="N1961" s="8">
        <v>0.2806559373354397</v>
      </c>
      <c r="O1961" s="8">
        <v>0.5065797788309635</v>
      </c>
      <c r="P1961" s="8">
        <v>6.5343601895734606E-3</v>
      </c>
      <c r="Q1961" t="s">
        <v>26</v>
      </c>
    </row>
    <row r="1962" spans="1:17" x14ac:dyDescent="0.25">
      <c r="A1962" s="7" t="s">
        <v>162</v>
      </c>
      <c r="B1962" s="7" t="s">
        <v>18</v>
      </c>
      <c r="C1962" s="7" t="s">
        <v>19</v>
      </c>
      <c r="D1962" s="7"/>
      <c r="E1962" s="7"/>
      <c r="F1962" s="7" t="s">
        <v>45</v>
      </c>
      <c r="G1962" s="7" t="s">
        <v>46</v>
      </c>
      <c r="H1962" s="7" t="s">
        <v>172</v>
      </c>
      <c r="I1962" s="7" t="s">
        <v>174</v>
      </c>
      <c r="J1962" s="8">
        <v>0.87653831778475677</v>
      </c>
      <c r="K1962" s="8">
        <v>0.77541222484530714</v>
      </c>
      <c r="L1962" s="8">
        <v>4.6226827268786568E-2</v>
      </c>
      <c r="M1962" s="8">
        <v>120.5146588583823</v>
      </c>
      <c r="N1962" s="8">
        <v>32.114487213657085</v>
      </c>
      <c r="O1962" s="8">
        <v>10.617378666661777</v>
      </c>
      <c r="P1962" s="8">
        <v>0.17600320731679372</v>
      </c>
      <c r="Q1962" t="s">
        <v>26</v>
      </c>
    </row>
    <row r="1963" spans="1:17" x14ac:dyDescent="0.25">
      <c r="A1963" s="7" t="s">
        <v>162</v>
      </c>
      <c r="B1963" s="7" t="s">
        <v>18</v>
      </c>
      <c r="C1963" s="7" t="s">
        <v>19</v>
      </c>
      <c r="D1963" s="7"/>
      <c r="E1963" s="7"/>
      <c r="F1963" s="7" t="s">
        <v>45</v>
      </c>
      <c r="G1963" s="7" t="s">
        <v>46</v>
      </c>
      <c r="H1963" s="7" t="s">
        <v>172</v>
      </c>
      <c r="I1963" s="7" t="s">
        <v>175</v>
      </c>
      <c r="J1963" s="8">
        <v>3.1037985944311001E-2</v>
      </c>
      <c r="K1963" s="8">
        <v>2.7458411173383157E-2</v>
      </c>
      <c r="L1963" s="8">
        <v>5.3605551107552716E-3</v>
      </c>
      <c r="M1963" s="8">
        <v>13.50670537579502</v>
      </c>
      <c r="N1963" s="8">
        <v>6.6407933188399371</v>
      </c>
      <c r="O1963" s="8">
        <v>0.62189419683895275</v>
      </c>
      <c r="P1963" s="8">
        <v>1.5027432845462452E-2</v>
      </c>
      <c r="Q1963" t="s">
        <v>26</v>
      </c>
    </row>
    <row r="1964" spans="1:17" x14ac:dyDescent="0.25">
      <c r="A1964" s="7" t="s">
        <v>162</v>
      </c>
      <c r="B1964" s="7" t="s">
        <v>18</v>
      </c>
      <c r="C1964" s="7" t="s">
        <v>19</v>
      </c>
      <c r="D1964" s="7"/>
      <c r="E1964" s="7"/>
      <c r="F1964" s="7" t="s">
        <v>45</v>
      </c>
      <c r="G1964" s="7" t="s">
        <v>46</v>
      </c>
      <c r="H1964" s="7" t="s">
        <v>172</v>
      </c>
      <c r="I1964" s="7" t="s">
        <v>176</v>
      </c>
      <c r="J1964" s="8">
        <v>0.12889623464275204</v>
      </c>
      <c r="K1964" s="8">
        <v>0.11405138551374309</v>
      </c>
      <c r="L1964" s="8">
        <v>1.5608676465157043E-2</v>
      </c>
      <c r="M1964" s="8">
        <v>30.682899547230207</v>
      </c>
      <c r="N1964" s="8">
        <v>6.8076989097292531</v>
      </c>
      <c r="O1964" s="8">
        <v>3.3417956327461753</v>
      </c>
      <c r="P1964" s="8">
        <v>4.7534193590039353E-2</v>
      </c>
      <c r="Q1964" t="s">
        <v>26</v>
      </c>
    </row>
    <row r="1965" spans="1:17" x14ac:dyDescent="0.25">
      <c r="A1965" s="7" t="s">
        <v>162</v>
      </c>
      <c r="B1965" s="7" t="s">
        <v>18</v>
      </c>
      <c r="C1965" s="7" t="s">
        <v>19</v>
      </c>
      <c r="D1965" s="7"/>
      <c r="E1965" s="7"/>
      <c r="F1965" s="7" t="s">
        <v>45</v>
      </c>
      <c r="G1965" s="7" t="s">
        <v>46</v>
      </c>
      <c r="H1965" s="7" t="s">
        <v>172</v>
      </c>
      <c r="I1965" s="7" t="s">
        <v>177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t="s">
        <v>26</v>
      </c>
    </row>
    <row r="1966" spans="1:17" x14ac:dyDescent="0.25">
      <c r="A1966" s="7" t="s">
        <v>162</v>
      </c>
      <c r="B1966" s="7" t="s">
        <v>18</v>
      </c>
      <c r="C1966" s="7" t="s">
        <v>19</v>
      </c>
      <c r="D1966" s="7"/>
      <c r="E1966" s="7"/>
      <c r="F1966" s="7" t="s">
        <v>45</v>
      </c>
      <c r="G1966" s="7" t="s">
        <v>46</v>
      </c>
      <c r="H1966" s="7" t="s">
        <v>172</v>
      </c>
      <c r="I1966" s="7" t="s">
        <v>178</v>
      </c>
      <c r="J1966" s="8">
        <v>0.78134723304754483</v>
      </c>
      <c r="K1966" s="8">
        <v>0.71882813717848804</v>
      </c>
      <c r="L1966" s="8">
        <v>1.2045985970381916E-2</v>
      </c>
      <c r="M1966" s="8">
        <v>19.790146726422449</v>
      </c>
      <c r="N1966" s="8">
        <v>10.963709859703819</v>
      </c>
      <c r="O1966" s="8">
        <v>14.10290023382697</v>
      </c>
      <c r="P1966" s="8">
        <v>2.1511301636788778E-2</v>
      </c>
      <c r="Q1966" t="s">
        <v>137</v>
      </c>
    </row>
    <row r="1967" spans="1:17" x14ac:dyDescent="0.25">
      <c r="A1967" s="7" t="s">
        <v>162</v>
      </c>
      <c r="B1967" s="7" t="s">
        <v>18</v>
      </c>
      <c r="C1967" s="7" t="s">
        <v>19</v>
      </c>
      <c r="D1967" s="7"/>
      <c r="E1967" s="7"/>
      <c r="F1967" s="7" t="s">
        <v>45</v>
      </c>
      <c r="G1967" s="7" t="s">
        <v>46</v>
      </c>
      <c r="H1967" s="7" t="s">
        <v>172</v>
      </c>
      <c r="I1967" s="7" t="s">
        <v>179</v>
      </c>
      <c r="J1967" s="8">
        <v>1.5357169390097067</v>
      </c>
      <c r="K1967" s="8">
        <v>1.4110500686203227</v>
      </c>
      <c r="L1967" s="8">
        <v>5.2017794829639877E-2</v>
      </c>
      <c r="M1967" s="8">
        <v>105.90165846424969</v>
      </c>
      <c r="N1967" s="8">
        <v>28.957644097317967</v>
      </c>
      <c r="O1967" s="8">
        <v>56.803787723925481</v>
      </c>
      <c r="P1967" s="8">
        <v>0.1133897187364194</v>
      </c>
      <c r="Q1967" t="s">
        <v>137</v>
      </c>
    </row>
    <row r="1968" spans="1:17" x14ac:dyDescent="0.25">
      <c r="A1968" s="7" t="s">
        <v>162</v>
      </c>
      <c r="B1968" s="7" t="s">
        <v>18</v>
      </c>
      <c r="C1968" s="7" t="s">
        <v>19</v>
      </c>
      <c r="D1968" s="7"/>
      <c r="E1968" s="7"/>
      <c r="F1968" s="7" t="s">
        <v>45</v>
      </c>
      <c r="G1968" s="7" t="s">
        <v>46</v>
      </c>
      <c r="H1968" s="7" t="s">
        <v>172</v>
      </c>
      <c r="I1968" s="7" t="s">
        <v>180</v>
      </c>
      <c r="J1968" s="8">
        <v>2.4859013910130368</v>
      </c>
      <c r="K1968" s="8">
        <v>2.2869351831621878</v>
      </c>
      <c r="L1968" s="8">
        <v>5.1954446143762288E-2</v>
      </c>
      <c r="M1968" s="8">
        <v>99.684556769354032</v>
      </c>
      <c r="N1968" s="8">
        <v>43.80727973199329</v>
      </c>
      <c r="O1968" s="8">
        <v>82.235294516058545</v>
      </c>
      <c r="P1968" s="8">
        <v>0.12304256791202388</v>
      </c>
      <c r="Q1968" t="s">
        <v>137</v>
      </c>
    </row>
    <row r="1969" spans="1:17" x14ac:dyDescent="0.25">
      <c r="A1969" s="7" t="s">
        <v>162</v>
      </c>
      <c r="B1969" s="7" t="s">
        <v>18</v>
      </c>
      <c r="C1969" s="7" t="s">
        <v>19</v>
      </c>
      <c r="D1969" s="7"/>
      <c r="E1969" s="7"/>
      <c r="F1969" s="7" t="s">
        <v>45</v>
      </c>
      <c r="G1969" s="7" t="s">
        <v>46</v>
      </c>
      <c r="H1969" s="7" t="s">
        <v>172</v>
      </c>
      <c r="I1969" s="7" t="s">
        <v>181</v>
      </c>
      <c r="J1969" s="8">
        <v>1.1191683498164013</v>
      </c>
      <c r="K1969" s="8">
        <v>0.99153762902435805</v>
      </c>
      <c r="L1969" s="8">
        <v>7.4044064804688364E-2</v>
      </c>
      <c r="M1969" s="8">
        <v>195.89740763235275</v>
      </c>
      <c r="N1969" s="8">
        <v>40.455635746809143</v>
      </c>
      <c r="O1969" s="8">
        <v>22.60888459967558</v>
      </c>
      <c r="P1969" s="8">
        <v>0.2554907982839858</v>
      </c>
      <c r="Q1969" t="s">
        <v>26</v>
      </c>
    </row>
    <row r="1970" spans="1:17" x14ac:dyDescent="0.25">
      <c r="A1970" s="7" t="s">
        <v>162</v>
      </c>
      <c r="B1970" s="7" t="s">
        <v>18</v>
      </c>
      <c r="C1970" s="7" t="s">
        <v>19</v>
      </c>
      <c r="D1970" s="7"/>
      <c r="E1970" s="7"/>
      <c r="F1970" s="7" t="s">
        <v>49</v>
      </c>
      <c r="G1970" s="7" t="s">
        <v>50</v>
      </c>
      <c r="H1970" s="7" t="s">
        <v>172</v>
      </c>
      <c r="I1970" s="7" t="s">
        <v>173</v>
      </c>
      <c r="J1970" s="8">
        <v>5.1824644549763026E-3</v>
      </c>
      <c r="K1970" s="8">
        <v>4.5845181674565565E-3</v>
      </c>
      <c r="L1970" s="8">
        <v>1.4573459715639813E-3</v>
      </c>
      <c r="M1970" s="8">
        <v>5.3130063191153241</v>
      </c>
      <c r="N1970" s="8">
        <v>0.2245247498683518</v>
      </c>
      <c r="O1970" s="8">
        <v>0.40526382306477082</v>
      </c>
      <c r="P1970" s="8">
        <v>5.2274881516587686E-3</v>
      </c>
      <c r="Q1970" t="s">
        <v>26</v>
      </c>
    </row>
    <row r="1971" spans="1:17" x14ac:dyDescent="0.25">
      <c r="A1971" s="7" t="s">
        <v>162</v>
      </c>
      <c r="B1971" s="7" t="s">
        <v>18</v>
      </c>
      <c r="C1971" s="7" t="s">
        <v>19</v>
      </c>
      <c r="D1971" s="7"/>
      <c r="E1971" s="7"/>
      <c r="F1971" s="7" t="s">
        <v>49</v>
      </c>
      <c r="G1971" s="7" t="s">
        <v>50</v>
      </c>
      <c r="H1971" s="7" t="s">
        <v>172</v>
      </c>
      <c r="I1971" s="7" t="s">
        <v>174</v>
      </c>
      <c r="J1971" s="8">
        <v>1.0404438568827195</v>
      </c>
      <c r="K1971" s="8">
        <v>0.92040800672695</v>
      </c>
      <c r="L1971" s="8">
        <v>5.4870868140185679E-2</v>
      </c>
      <c r="M1971" s="8">
        <v>143.04992027092536</v>
      </c>
      <c r="N1971" s="8">
        <v>38.119635229218986</v>
      </c>
      <c r="O1971" s="8">
        <v>12.602742157175769</v>
      </c>
      <c r="P1971" s="8">
        <v>0.20891437616464942</v>
      </c>
      <c r="Q1971" t="s">
        <v>26</v>
      </c>
    </row>
    <row r="1972" spans="1:17" x14ac:dyDescent="0.25">
      <c r="A1972" s="7" t="s">
        <v>162</v>
      </c>
      <c r="B1972" s="7" t="s">
        <v>18</v>
      </c>
      <c r="C1972" s="7" t="s">
        <v>19</v>
      </c>
      <c r="D1972" s="7"/>
      <c r="E1972" s="7"/>
      <c r="F1972" s="7" t="s">
        <v>49</v>
      </c>
      <c r="G1972" s="7" t="s">
        <v>50</v>
      </c>
      <c r="H1972" s="7" t="s">
        <v>172</v>
      </c>
      <c r="I1972" s="7" t="s">
        <v>175</v>
      </c>
      <c r="J1972" s="8">
        <v>2.5394715772618093E-2</v>
      </c>
      <c r="K1972" s="8">
        <v>2.2465972778222581E-2</v>
      </c>
      <c r="L1972" s="8">
        <v>4.3859087269815852E-3</v>
      </c>
      <c r="M1972" s="8">
        <v>11.050940762014104</v>
      </c>
      <c r="N1972" s="8">
        <v>5.4333763517781293</v>
      </c>
      <c r="O1972" s="8">
        <v>0.50882252468641576</v>
      </c>
      <c r="P1972" s="8">
        <v>1.2295172328105643E-2</v>
      </c>
      <c r="Q1972" t="s">
        <v>26</v>
      </c>
    </row>
    <row r="1973" spans="1:17" x14ac:dyDescent="0.25">
      <c r="A1973" s="7" t="s">
        <v>162</v>
      </c>
      <c r="B1973" s="7" t="s">
        <v>18</v>
      </c>
      <c r="C1973" s="7" t="s">
        <v>19</v>
      </c>
      <c r="D1973" s="7"/>
      <c r="E1973" s="7"/>
      <c r="F1973" s="7" t="s">
        <v>49</v>
      </c>
      <c r="G1973" s="7" t="s">
        <v>50</v>
      </c>
      <c r="H1973" s="7" t="s">
        <v>172</v>
      </c>
      <c r="I1973" s="7" t="s">
        <v>176</v>
      </c>
      <c r="J1973" s="8">
        <v>0.19608682504163338</v>
      </c>
      <c r="K1973" s="8">
        <v>0.1735037034943113</v>
      </c>
      <c r="L1973" s="8">
        <v>2.3745114196994231E-2</v>
      </c>
      <c r="M1973" s="8">
        <v>46.677176970786384</v>
      </c>
      <c r="N1973" s="8">
        <v>10.356393022247696</v>
      </c>
      <c r="O1973" s="8">
        <v>5.0837954838585437</v>
      </c>
      <c r="P1973" s="8">
        <v>7.2312656206123677E-2</v>
      </c>
      <c r="Q1973" t="s">
        <v>26</v>
      </c>
    </row>
    <row r="1974" spans="1:17" x14ac:dyDescent="0.25">
      <c r="A1974" s="7" t="s">
        <v>162</v>
      </c>
      <c r="B1974" s="7" t="s">
        <v>18</v>
      </c>
      <c r="C1974" s="7" t="s">
        <v>19</v>
      </c>
      <c r="D1974" s="7"/>
      <c r="E1974" s="7"/>
      <c r="F1974" s="7" t="s">
        <v>49</v>
      </c>
      <c r="G1974" s="7" t="s">
        <v>50</v>
      </c>
      <c r="H1974" s="7" t="s">
        <v>172</v>
      </c>
      <c r="I1974" s="7" t="s">
        <v>177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t="s">
        <v>26</v>
      </c>
    </row>
    <row r="1975" spans="1:17" x14ac:dyDescent="0.25">
      <c r="A1975" s="7" t="s">
        <v>162</v>
      </c>
      <c r="B1975" s="7" t="s">
        <v>18</v>
      </c>
      <c r="C1975" s="7" t="s">
        <v>19</v>
      </c>
      <c r="D1975" s="7"/>
      <c r="E1975" s="7"/>
      <c r="F1975" s="7" t="s">
        <v>49</v>
      </c>
      <c r="G1975" s="7" t="s">
        <v>50</v>
      </c>
      <c r="H1975" s="7" t="s">
        <v>172</v>
      </c>
      <c r="I1975" s="7" t="s">
        <v>178</v>
      </c>
      <c r="J1975" s="8">
        <v>0.28412626656274365</v>
      </c>
      <c r="K1975" s="8">
        <v>0.26139204988308656</v>
      </c>
      <c r="L1975" s="8">
        <v>4.3803585346843341E-3</v>
      </c>
      <c r="M1975" s="8">
        <v>7.1964169914263447</v>
      </c>
      <c r="N1975" s="8">
        <v>3.9868035853468435</v>
      </c>
      <c r="O1975" s="8">
        <v>5.1283273577552615</v>
      </c>
      <c r="P1975" s="8">
        <v>7.8222915042868262E-3</v>
      </c>
      <c r="Q1975" t="s">
        <v>137</v>
      </c>
    </row>
    <row r="1976" spans="1:17" x14ac:dyDescent="0.25">
      <c r="A1976" s="7" t="s">
        <v>162</v>
      </c>
      <c r="B1976" s="7" t="s">
        <v>18</v>
      </c>
      <c r="C1976" s="7" t="s">
        <v>19</v>
      </c>
      <c r="D1976" s="7"/>
      <c r="E1976" s="7"/>
      <c r="F1976" s="7" t="s">
        <v>49</v>
      </c>
      <c r="G1976" s="7" t="s">
        <v>50</v>
      </c>
      <c r="H1976" s="7" t="s">
        <v>172</v>
      </c>
      <c r="I1976" s="7" t="s">
        <v>179</v>
      </c>
      <c r="J1976" s="8">
        <v>1.3245296540934837</v>
      </c>
      <c r="K1976" s="8">
        <v>1.2169570040713364</v>
      </c>
      <c r="L1976" s="8">
        <v>4.5199974128694281E-2</v>
      </c>
      <c r="M1976" s="8">
        <v>93.694414763701616</v>
      </c>
      <c r="N1976" s="8">
        <v>25.156338343236467</v>
      </c>
      <c r="O1976" s="8">
        <v>49.461354571626941</v>
      </c>
      <c r="P1976" s="8">
        <v>0.10148801321374439</v>
      </c>
      <c r="Q1976" t="s">
        <v>137</v>
      </c>
    </row>
    <row r="1977" spans="1:17" x14ac:dyDescent="0.25">
      <c r="A1977" s="7" t="s">
        <v>162</v>
      </c>
      <c r="B1977" s="7" t="s">
        <v>18</v>
      </c>
      <c r="C1977" s="7" t="s">
        <v>19</v>
      </c>
      <c r="D1977" s="7"/>
      <c r="E1977" s="7"/>
      <c r="F1977" s="7" t="s">
        <v>49</v>
      </c>
      <c r="G1977" s="7" t="s">
        <v>50</v>
      </c>
      <c r="H1977" s="7" t="s">
        <v>172</v>
      </c>
      <c r="I1977" s="7" t="s">
        <v>180</v>
      </c>
      <c r="J1977" s="8">
        <v>1.9989722525671842</v>
      </c>
      <c r="K1977" s="8">
        <v>1.8389788070788724</v>
      </c>
      <c r="L1977" s="8">
        <v>4.1777802053746996E-2</v>
      </c>
      <c r="M1977" s="8">
        <v>80.158715752676414</v>
      </c>
      <c r="N1977" s="8">
        <v>35.226472361809037</v>
      </c>
      <c r="O1977" s="8">
        <v>66.127350229407895</v>
      </c>
      <c r="P1977" s="8">
        <v>9.8941446362246013E-2</v>
      </c>
      <c r="Q1977" t="s">
        <v>137</v>
      </c>
    </row>
    <row r="1978" spans="1:17" x14ac:dyDescent="0.25">
      <c r="A1978" s="7" t="s">
        <v>162</v>
      </c>
      <c r="B1978" s="7" t="s">
        <v>18</v>
      </c>
      <c r="C1978" s="7" t="s">
        <v>19</v>
      </c>
      <c r="D1978" s="7"/>
      <c r="E1978" s="7"/>
      <c r="F1978" s="7" t="s">
        <v>49</v>
      </c>
      <c r="G1978" s="7" t="s">
        <v>50</v>
      </c>
      <c r="H1978" s="7" t="s">
        <v>172</v>
      </c>
      <c r="I1978" s="7" t="s">
        <v>181</v>
      </c>
      <c r="J1978" s="8">
        <v>2.0822936406827321</v>
      </c>
      <c r="K1978" s="8">
        <v>1.8477970839333462</v>
      </c>
      <c r="L1978" s="8">
        <v>0.13091626724280336</v>
      </c>
      <c r="M1978" s="8">
        <v>350.23703387327004</v>
      </c>
      <c r="N1978" s="8">
        <v>72.775554819659476</v>
      </c>
      <c r="O1978" s="8">
        <v>40.747759446716415</v>
      </c>
      <c r="P1978" s="8">
        <v>0.45212203672779538</v>
      </c>
      <c r="Q1978" t="s">
        <v>26</v>
      </c>
    </row>
    <row r="1979" spans="1:17" x14ac:dyDescent="0.25">
      <c r="A1979" s="7" t="s">
        <v>162</v>
      </c>
      <c r="B1979" s="7" t="s">
        <v>18</v>
      </c>
      <c r="C1979" s="7" t="s">
        <v>19</v>
      </c>
      <c r="D1979" s="7" t="s">
        <v>20</v>
      </c>
      <c r="E1979" s="7" t="s">
        <v>21</v>
      </c>
      <c r="F1979" s="7" t="s">
        <v>47</v>
      </c>
      <c r="G1979" s="7" t="s">
        <v>48</v>
      </c>
      <c r="H1979" s="7" t="s">
        <v>172</v>
      </c>
      <c r="I1979" s="7" t="s">
        <v>173</v>
      </c>
      <c r="J1979" s="8">
        <v>4.405094786729858E-2</v>
      </c>
      <c r="K1979" s="8">
        <v>3.8968404423380738E-2</v>
      </c>
      <c r="L1979" s="8">
        <v>1.2387440758293842E-2</v>
      </c>
      <c r="M1979" s="8">
        <v>45.160553712480258</v>
      </c>
      <c r="N1979" s="8">
        <v>1.9084603738809902</v>
      </c>
      <c r="O1979" s="8">
        <v>3.4447424960505519</v>
      </c>
      <c r="P1979" s="8">
        <v>4.4433649289099528E-2</v>
      </c>
      <c r="Q1979" t="s">
        <v>26</v>
      </c>
    </row>
    <row r="1980" spans="1:17" x14ac:dyDescent="0.25">
      <c r="A1980" s="7" t="s">
        <v>162</v>
      </c>
      <c r="B1980" s="7" t="s">
        <v>18</v>
      </c>
      <c r="C1980" s="7" t="s">
        <v>19</v>
      </c>
      <c r="D1980" s="7" t="s">
        <v>20</v>
      </c>
      <c r="E1980" s="7" t="s">
        <v>21</v>
      </c>
      <c r="F1980" s="7" t="s">
        <v>47</v>
      </c>
      <c r="G1980" s="7" t="s">
        <v>48</v>
      </c>
      <c r="H1980" s="7" t="s">
        <v>172</v>
      </c>
      <c r="I1980" s="7" t="s">
        <v>174</v>
      </c>
      <c r="J1980" s="8">
        <v>3.021562981632008</v>
      </c>
      <c r="K1980" s="8">
        <v>2.672965718165937</v>
      </c>
      <c r="L1980" s="8">
        <v>0.15935101432492277</v>
      </c>
      <c r="M1980" s="8">
        <v>415.43264517035846</v>
      </c>
      <c r="N1980" s="8">
        <v>110.70359819992362</v>
      </c>
      <c r="O1980" s="8">
        <v>36.599744346866615</v>
      </c>
      <c r="P1980" s="8">
        <v>0.60671024310829713</v>
      </c>
      <c r="Q1980" t="s">
        <v>26</v>
      </c>
    </row>
    <row r="1981" spans="1:17" x14ac:dyDescent="0.25">
      <c r="A1981" s="7" t="s">
        <v>162</v>
      </c>
      <c r="B1981" s="7" t="s">
        <v>18</v>
      </c>
      <c r="C1981" s="7" t="s">
        <v>19</v>
      </c>
      <c r="D1981" s="7" t="s">
        <v>20</v>
      </c>
      <c r="E1981" s="7" t="s">
        <v>21</v>
      </c>
      <c r="F1981" s="7" t="s">
        <v>47</v>
      </c>
      <c r="G1981" s="7" t="s">
        <v>48</v>
      </c>
      <c r="H1981" s="7" t="s">
        <v>172</v>
      </c>
      <c r="I1981" s="7" t="s">
        <v>175</v>
      </c>
      <c r="J1981" s="8">
        <v>0.17211974023663376</v>
      </c>
      <c r="K1981" s="8">
        <v>0.15226937105239749</v>
      </c>
      <c r="L1981" s="8">
        <v>2.9726714705097412E-2</v>
      </c>
      <c r="M1981" s="8">
        <v>74.900820720317824</v>
      </c>
      <c r="N1981" s="8">
        <v>36.826217495385102</v>
      </c>
      <c r="O1981" s="8">
        <v>3.4486860006523741</v>
      </c>
      <c r="P1981" s="8">
        <v>8.3333945779382704E-2</v>
      </c>
      <c r="Q1981" t="s">
        <v>26</v>
      </c>
    </row>
    <row r="1982" spans="1:17" x14ac:dyDescent="0.25">
      <c r="A1982" s="7" t="s">
        <v>162</v>
      </c>
      <c r="B1982" s="7" t="s">
        <v>18</v>
      </c>
      <c r="C1982" s="7" t="s">
        <v>19</v>
      </c>
      <c r="D1982" s="7" t="s">
        <v>20</v>
      </c>
      <c r="E1982" s="7" t="s">
        <v>21</v>
      </c>
      <c r="F1982" s="7" t="s">
        <v>47</v>
      </c>
      <c r="G1982" s="7" t="s">
        <v>48</v>
      </c>
      <c r="H1982" s="7" t="s">
        <v>172</v>
      </c>
      <c r="I1982" s="7" t="s">
        <v>176</v>
      </c>
      <c r="J1982" s="8">
        <v>0.46451765599562572</v>
      </c>
      <c r="K1982" s="8">
        <v>0.41163743812915765</v>
      </c>
      <c r="L1982" s="8">
        <v>5.4278820700787739E-2</v>
      </c>
      <c r="M1982" s="8">
        <v>106.5386591492783</v>
      </c>
      <c r="N1982" s="8">
        <v>23.739157851980735</v>
      </c>
      <c r="O1982" s="8">
        <v>11.600774488850538</v>
      </c>
      <c r="P1982" s="8">
        <v>0.1656168535101904</v>
      </c>
      <c r="Q1982" t="s">
        <v>26</v>
      </c>
    </row>
    <row r="1983" spans="1:17" x14ac:dyDescent="0.25">
      <c r="A1983" s="7" t="s">
        <v>162</v>
      </c>
      <c r="B1983" s="7" t="s">
        <v>18</v>
      </c>
      <c r="C1983" s="7" t="s">
        <v>19</v>
      </c>
      <c r="D1983" s="7" t="s">
        <v>20</v>
      </c>
      <c r="E1983" s="7" t="s">
        <v>21</v>
      </c>
      <c r="F1983" s="7" t="s">
        <v>47</v>
      </c>
      <c r="G1983" s="7" t="s">
        <v>48</v>
      </c>
      <c r="H1983" s="7" t="s">
        <v>172</v>
      </c>
      <c r="I1983" s="7" t="s">
        <v>177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t="s">
        <v>26</v>
      </c>
    </row>
    <row r="1984" spans="1:17" x14ac:dyDescent="0.25">
      <c r="A1984" s="7" t="s">
        <v>162</v>
      </c>
      <c r="B1984" s="7" t="s">
        <v>18</v>
      </c>
      <c r="C1984" s="7" t="s">
        <v>19</v>
      </c>
      <c r="D1984" s="7" t="s">
        <v>20</v>
      </c>
      <c r="E1984" s="7" t="s">
        <v>21</v>
      </c>
      <c r="F1984" s="7" t="s">
        <v>47</v>
      </c>
      <c r="G1984" s="7" t="s">
        <v>48</v>
      </c>
      <c r="H1984" s="7" t="s">
        <v>172</v>
      </c>
      <c r="I1984" s="7" t="s">
        <v>178</v>
      </c>
      <c r="J1984" s="8">
        <v>1.0654734996102886</v>
      </c>
      <c r="K1984" s="8">
        <v>0.98022018706157465</v>
      </c>
      <c r="L1984" s="8">
        <v>1.6426344505066252E-2</v>
      </c>
      <c r="M1984" s="8">
        <v>26.986563717848796</v>
      </c>
      <c r="N1984" s="8">
        <v>14.950513445050664</v>
      </c>
      <c r="O1984" s="8">
        <v>19.231227591582229</v>
      </c>
      <c r="P1984" s="8">
        <v>2.9333593141075594E-2</v>
      </c>
      <c r="Q1984" t="s">
        <v>137</v>
      </c>
    </row>
    <row r="1985" spans="1:17" x14ac:dyDescent="0.25">
      <c r="A1985" s="7" t="s">
        <v>162</v>
      </c>
      <c r="B1985" s="7" t="s">
        <v>18</v>
      </c>
      <c r="C1985" s="7" t="s">
        <v>19</v>
      </c>
      <c r="D1985" s="7" t="s">
        <v>20</v>
      </c>
      <c r="E1985" s="7" t="s">
        <v>21</v>
      </c>
      <c r="F1985" s="7" t="s">
        <v>47</v>
      </c>
      <c r="G1985" s="7" t="s">
        <v>48</v>
      </c>
      <c r="H1985" s="7" t="s">
        <v>172</v>
      </c>
      <c r="I1985" s="7" t="s">
        <v>179</v>
      </c>
      <c r="J1985" s="8">
        <v>5.4746199371578914</v>
      </c>
      <c r="K1985" s="8">
        <v>5.0336609341926311</v>
      </c>
      <c r="L1985" s="8">
        <v>0.1620237257215944</v>
      </c>
      <c r="M1985" s="8">
        <v>257.82153343940013</v>
      </c>
      <c r="N1985" s="8">
        <v>102.06542372877792</v>
      </c>
      <c r="O1985" s="8">
        <v>169.76631869890733</v>
      </c>
      <c r="P1985" s="8">
        <v>0.37692911058579637</v>
      </c>
      <c r="Q1985" t="s">
        <v>137</v>
      </c>
    </row>
    <row r="1986" spans="1:17" x14ac:dyDescent="0.25">
      <c r="A1986" s="7" t="s">
        <v>162</v>
      </c>
      <c r="B1986" s="7" t="s">
        <v>18</v>
      </c>
      <c r="C1986" s="7" t="s">
        <v>19</v>
      </c>
      <c r="D1986" s="7" t="s">
        <v>20</v>
      </c>
      <c r="E1986" s="7" t="s">
        <v>21</v>
      </c>
      <c r="F1986" s="7" t="s">
        <v>47</v>
      </c>
      <c r="G1986" s="7" t="s">
        <v>48</v>
      </c>
      <c r="H1986" s="7" t="s">
        <v>172</v>
      </c>
      <c r="I1986" s="7" t="s">
        <v>180</v>
      </c>
      <c r="J1986" s="8">
        <v>17.068147694996728</v>
      </c>
      <c r="K1986" s="8">
        <v>15.702049814288833</v>
      </c>
      <c r="L1986" s="8">
        <v>0.35671815599737822</v>
      </c>
      <c r="M1986" s="8">
        <v>684.43211142669861</v>
      </c>
      <c r="N1986" s="8">
        <v>300.77987939698482</v>
      </c>
      <c r="O1986" s="8">
        <v>564.6258365741752</v>
      </c>
      <c r="P1986" s="8">
        <v>0.84480773432379286</v>
      </c>
      <c r="Q1986" t="s">
        <v>137</v>
      </c>
    </row>
    <row r="1987" spans="1:17" x14ac:dyDescent="0.25">
      <c r="A1987" s="7" t="s">
        <v>162</v>
      </c>
      <c r="B1987" s="7" t="s">
        <v>18</v>
      </c>
      <c r="C1987" s="7" t="s">
        <v>19</v>
      </c>
      <c r="D1987" s="7" t="s">
        <v>20</v>
      </c>
      <c r="E1987" s="7" t="s">
        <v>21</v>
      </c>
      <c r="F1987" s="7" t="s">
        <v>47</v>
      </c>
      <c r="G1987" s="7" t="s">
        <v>48</v>
      </c>
      <c r="H1987" s="7" t="s">
        <v>172</v>
      </c>
      <c r="I1987" s="7" t="s">
        <v>181</v>
      </c>
      <c r="J1987" s="8">
        <v>2.3195644495530834</v>
      </c>
      <c r="K1987" s="8">
        <v>2.0585205602075511</v>
      </c>
      <c r="L1987" s="8">
        <v>0.14610287154217771</v>
      </c>
      <c r="M1987" s="8">
        <v>376.43900041121753</v>
      </c>
      <c r="N1987" s="8">
        <v>78.866997696844464</v>
      </c>
      <c r="O1987" s="8">
        <v>42.670837134944101</v>
      </c>
      <c r="P1987" s="8">
        <v>0.50874257104289378</v>
      </c>
      <c r="Q1987" t="s">
        <v>26</v>
      </c>
    </row>
    <row r="1988" spans="1:17" x14ac:dyDescent="0.25">
      <c r="A1988" s="7" t="s">
        <v>162</v>
      </c>
      <c r="B1988" s="7" t="s">
        <v>18</v>
      </c>
      <c r="C1988" s="7" t="s">
        <v>19</v>
      </c>
      <c r="D1988" s="7"/>
      <c r="E1988" s="7"/>
      <c r="F1988" s="7" t="s">
        <v>51</v>
      </c>
      <c r="G1988" s="7" t="s">
        <v>52</v>
      </c>
      <c r="H1988" s="7" t="s">
        <v>172</v>
      </c>
      <c r="I1988" s="7" t="s">
        <v>173</v>
      </c>
      <c r="J1988" s="8">
        <v>0.27423874407582938</v>
      </c>
      <c r="K1988" s="8">
        <v>0.24259741969457613</v>
      </c>
      <c r="L1988" s="8">
        <v>7.7117890995260674E-2</v>
      </c>
      <c r="M1988" s="8">
        <v>281.14658438651924</v>
      </c>
      <c r="N1988" s="8">
        <v>11.881101347200282</v>
      </c>
      <c r="O1988" s="8">
        <v>21.445210637177457</v>
      </c>
      <c r="P1988" s="8">
        <v>0.27662124802527643</v>
      </c>
      <c r="Q1988" t="s">
        <v>26</v>
      </c>
    </row>
    <row r="1989" spans="1:17" x14ac:dyDescent="0.25">
      <c r="A1989" s="7" t="s">
        <v>162</v>
      </c>
      <c r="B1989" s="7" t="s">
        <v>18</v>
      </c>
      <c r="C1989" s="7" t="s">
        <v>19</v>
      </c>
      <c r="D1989" s="7"/>
      <c r="E1989" s="7"/>
      <c r="F1989" s="7" t="s">
        <v>51</v>
      </c>
      <c r="G1989" s="7" t="s">
        <v>52</v>
      </c>
      <c r="H1989" s="7" t="s">
        <v>172</v>
      </c>
      <c r="I1989" s="7" t="s">
        <v>174</v>
      </c>
      <c r="J1989" s="8">
        <v>1.7210081605286081</v>
      </c>
      <c r="K1989" s="8">
        <v>1.5224557097572498</v>
      </c>
      <c r="L1989" s="8">
        <v>9.0762429149690682E-2</v>
      </c>
      <c r="M1989" s="8">
        <v>236.62024483170188</v>
      </c>
      <c r="N1989" s="8">
        <v>63.05405416339989</v>
      </c>
      <c r="O1989" s="8">
        <v>20.846316650396908</v>
      </c>
      <c r="P1989" s="8">
        <v>0.34556727290248523</v>
      </c>
      <c r="Q1989" t="s">
        <v>26</v>
      </c>
    </row>
    <row r="1990" spans="1:17" x14ac:dyDescent="0.25">
      <c r="A1990" s="7" t="s">
        <v>162</v>
      </c>
      <c r="B1990" s="7" t="s">
        <v>18</v>
      </c>
      <c r="C1990" s="7" t="s">
        <v>19</v>
      </c>
      <c r="D1990" s="7"/>
      <c r="E1990" s="7"/>
      <c r="F1990" s="7" t="s">
        <v>51</v>
      </c>
      <c r="G1990" s="7" t="s">
        <v>52</v>
      </c>
      <c r="H1990" s="7" t="s">
        <v>172</v>
      </c>
      <c r="I1990" s="7" t="s">
        <v>175</v>
      </c>
      <c r="J1990" s="8">
        <v>7.336251223200782E-2</v>
      </c>
      <c r="K1990" s="8">
        <v>6.4901699137087446E-2</v>
      </c>
      <c r="L1990" s="8">
        <v>1.2670402989057913E-2</v>
      </c>
      <c r="M1990" s="8">
        <v>31.924939979151858</v>
      </c>
      <c r="N1990" s="8">
        <v>15.696420571803486</v>
      </c>
      <c r="O1990" s="8">
        <v>1.469931737982979</v>
      </c>
      <c r="P1990" s="8">
        <v>3.5519386725638528E-2</v>
      </c>
      <c r="Q1990" t="s">
        <v>26</v>
      </c>
    </row>
    <row r="1991" spans="1:17" x14ac:dyDescent="0.25">
      <c r="A1991" s="7" t="s">
        <v>162</v>
      </c>
      <c r="B1991" s="7" t="s">
        <v>18</v>
      </c>
      <c r="C1991" s="7" t="s">
        <v>19</v>
      </c>
      <c r="D1991" s="7"/>
      <c r="E1991" s="7"/>
      <c r="F1991" s="7" t="s">
        <v>51</v>
      </c>
      <c r="G1991" s="7" t="s">
        <v>52</v>
      </c>
      <c r="H1991" s="7" t="s">
        <v>172</v>
      </c>
      <c r="I1991" s="7" t="s">
        <v>176</v>
      </c>
      <c r="J1991" s="8">
        <v>0.39423050489139583</v>
      </c>
      <c r="K1991" s="8">
        <v>0.34882737590639507</v>
      </c>
      <c r="L1991" s="8">
        <v>4.7739303018432454E-2</v>
      </c>
      <c r="M1991" s="8">
        <v>93.843974679028562</v>
      </c>
      <c r="N1991" s="8">
        <v>20.821419537735753</v>
      </c>
      <c r="O1991" s="8">
        <v>10.220917493771548</v>
      </c>
      <c r="P1991" s="8">
        <v>0.14538383677804587</v>
      </c>
      <c r="Q1991" t="s">
        <v>26</v>
      </c>
    </row>
    <row r="1992" spans="1:17" x14ac:dyDescent="0.25">
      <c r="A1992" s="7" t="s">
        <v>162</v>
      </c>
      <c r="B1992" s="7" t="s">
        <v>18</v>
      </c>
      <c r="C1992" s="7" t="s">
        <v>19</v>
      </c>
      <c r="D1992" s="7"/>
      <c r="E1992" s="7"/>
      <c r="F1992" s="7" t="s">
        <v>51</v>
      </c>
      <c r="G1992" s="7" t="s">
        <v>52</v>
      </c>
      <c r="H1992" s="7" t="s">
        <v>172</v>
      </c>
      <c r="I1992" s="7" t="s">
        <v>177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t="s">
        <v>26</v>
      </c>
    </row>
    <row r="1993" spans="1:17" x14ac:dyDescent="0.25">
      <c r="A1993" s="7" t="s">
        <v>162</v>
      </c>
      <c r="B1993" s="7" t="s">
        <v>18</v>
      </c>
      <c r="C1993" s="7" t="s">
        <v>19</v>
      </c>
      <c r="D1993" s="7"/>
      <c r="E1993" s="7"/>
      <c r="F1993" s="7" t="s">
        <v>51</v>
      </c>
      <c r="G1993" s="7" t="s">
        <v>52</v>
      </c>
      <c r="H1993" s="7" t="s">
        <v>172</v>
      </c>
      <c r="I1993" s="7" t="s">
        <v>178</v>
      </c>
      <c r="J1993" s="8">
        <v>7.1031566640685911E-2</v>
      </c>
      <c r="K1993" s="8">
        <v>6.5348012470771641E-2</v>
      </c>
      <c r="L1993" s="8">
        <v>1.0950896336710835E-3</v>
      </c>
      <c r="M1993" s="8">
        <v>1.7991042478565862</v>
      </c>
      <c r="N1993" s="8">
        <v>0.99670089633671088</v>
      </c>
      <c r="O1993" s="8">
        <v>1.2820818394388154</v>
      </c>
      <c r="P1993" s="8">
        <v>1.9555728760717065E-3</v>
      </c>
      <c r="Q1993" t="s">
        <v>137</v>
      </c>
    </row>
    <row r="1994" spans="1:17" x14ac:dyDescent="0.25">
      <c r="A1994" s="7" t="s">
        <v>162</v>
      </c>
      <c r="B1994" s="7" t="s">
        <v>18</v>
      </c>
      <c r="C1994" s="7" t="s">
        <v>19</v>
      </c>
      <c r="D1994" s="7"/>
      <c r="E1994" s="7"/>
      <c r="F1994" s="7" t="s">
        <v>51</v>
      </c>
      <c r="G1994" s="7" t="s">
        <v>52</v>
      </c>
      <c r="H1994" s="7" t="s">
        <v>172</v>
      </c>
      <c r="I1994" s="7" t="s">
        <v>179</v>
      </c>
      <c r="J1994" s="8">
        <v>1.2458315580319648</v>
      </c>
      <c r="K1994" s="8">
        <v>1.1432989396832107</v>
      </c>
      <c r="L1994" s="8">
        <v>5.1656092256032925E-2</v>
      </c>
      <c r="M1994" s="8">
        <v>134.88906239377519</v>
      </c>
      <c r="N1994" s="8">
        <v>24.122021934673668</v>
      </c>
      <c r="O1994" s="8">
        <v>59.30292047548545</v>
      </c>
      <c r="P1994" s="8">
        <v>0.10622691608824773</v>
      </c>
      <c r="Q1994" t="s">
        <v>137</v>
      </c>
    </row>
    <row r="1995" spans="1:17" x14ac:dyDescent="0.25">
      <c r="A1995" s="7" t="s">
        <v>162</v>
      </c>
      <c r="B1995" s="7" t="s">
        <v>18</v>
      </c>
      <c r="C1995" s="7" t="s">
        <v>19</v>
      </c>
      <c r="D1995" s="7"/>
      <c r="E1995" s="7"/>
      <c r="F1995" s="7" t="s">
        <v>51</v>
      </c>
      <c r="G1995" s="7" t="s">
        <v>52</v>
      </c>
      <c r="H1995" s="7" t="s">
        <v>172</v>
      </c>
      <c r="I1995" s="7" t="s">
        <v>180</v>
      </c>
      <c r="J1995" s="8">
        <v>7.6883548175660926E-2</v>
      </c>
      <c r="K1995" s="8">
        <v>7.0729954118418176E-2</v>
      </c>
      <c r="L1995" s="8">
        <v>1.6068385405287307E-3</v>
      </c>
      <c r="M1995" s="8">
        <v>3.0830275289490934</v>
      </c>
      <c r="N1995" s="8">
        <v>1.35486432160804</v>
      </c>
      <c r="O1995" s="8">
        <v>2.5433596242079965</v>
      </c>
      <c r="P1995" s="8">
        <v>3.8054402447017695E-3</v>
      </c>
      <c r="Q1995" t="s">
        <v>137</v>
      </c>
    </row>
    <row r="1996" spans="1:17" x14ac:dyDescent="0.25">
      <c r="A1996" s="7" t="s">
        <v>162</v>
      </c>
      <c r="B1996" s="7" t="s">
        <v>18</v>
      </c>
      <c r="C1996" s="7" t="s">
        <v>19</v>
      </c>
      <c r="D1996" s="7"/>
      <c r="E1996" s="7"/>
      <c r="F1996" s="7" t="s">
        <v>51</v>
      </c>
      <c r="G1996" s="7" t="s">
        <v>52</v>
      </c>
      <c r="H1996" s="7" t="s">
        <v>172</v>
      </c>
      <c r="I1996" s="7" t="s">
        <v>181</v>
      </c>
      <c r="J1996" s="8">
        <v>3.2094807118596052</v>
      </c>
      <c r="K1996" s="8">
        <v>2.8480894260230345</v>
      </c>
      <c r="L1996" s="8">
        <v>0.20301232301903685</v>
      </c>
      <c r="M1996" s="8">
        <v>540.95695911940504</v>
      </c>
      <c r="N1996" s="8">
        <v>112.30082451620653</v>
      </c>
      <c r="O1996" s="8">
        <v>62.693985248245944</v>
      </c>
      <c r="P1996" s="8">
        <v>0.70368797227346436</v>
      </c>
      <c r="Q1996" t="s">
        <v>26</v>
      </c>
    </row>
    <row r="1997" spans="1:17" x14ac:dyDescent="0.25">
      <c r="A1997" s="7" t="s">
        <v>162</v>
      </c>
      <c r="B1997" s="7" t="s">
        <v>18</v>
      </c>
      <c r="C1997" s="7" t="s">
        <v>19</v>
      </c>
      <c r="D1997" s="7"/>
      <c r="E1997" s="7"/>
      <c r="F1997" s="7" t="s">
        <v>53</v>
      </c>
      <c r="G1997" s="7" t="s">
        <v>54</v>
      </c>
      <c r="H1997" s="7" t="s">
        <v>172</v>
      </c>
      <c r="I1997" s="7" t="s">
        <v>173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t="s">
        <v>26</v>
      </c>
    </row>
    <row r="1998" spans="1:17" x14ac:dyDescent="0.25">
      <c r="A1998" s="7" t="s">
        <v>162</v>
      </c>
      <c r="B1998" s="7" t="s">
        <v>18</v>
      </c>
      <c r="C1998" s="7" t="s">
        <v>19</v>
      </c>
      <c r="D1998" s="7"/>
      <c r="E1998" s="7"/>
      <c r="F1998" s="7" t="s">
        <v>53</v>
      </c>
      <c r="G1998" s="7" t="s">
        <v>54</v>
      </c>
      <c r="H1998" s="7" t="s">
        <v>172</v>
      </c>
      <c r="I1998" s="7" t="s">
        <v>174</v>
      </c>
      <c r="J1998" s="8">
        <v>0.15559149001328343</v>
      </c>
      <c r="K1998" s="8">
        <v>0.13764092338040007</v>
      </c>
      <c r="L1998" s="8">
        <v>8.2055750300962602E-3</v>
      </c>
      <c r="M1998" s="8">
        <v>21.392168442341575</v>
      </c>
      <c r="N1998" s="8">
        <v>5.7005390582507829</v>
      </c>
      <c r="O1998" s="8">
        <v>1.8846566467922667</v>
      </c>
      <c r="P1998" s="8">
        <v>3.1241761732384792E-2</v>
      </c>
      <c r="Q1998" t="s">
        <v>26</v>
      </c>
    </row>
    <row r="1999" spans="1:17" x14ac:dyDescent="0.25">
      <c r="A1999" s="7" t="s">
        <v>162</v>
      </c>
      <c r="B1999" s="7" t="s">
        <v>18</v>
      </c>
      <c r="C1999" s="7" t="s">
        <v>19</v>
      </c>
      <c r="D1999" s="7"/>
      <c r="E1999" s="7"/>
      <c r="F1999" s="7" t="s">
        <v>53</v>
      </c>
      <c r="G1999" s="7" t="s">
        <v>54</v>
      </c>
      <c r="H1999" s="7" t="s">
        <v>172</v>
      </c>
      <c r="I1999" s="7" t="s">
        <v>175</v>
      </c>
      <c r="J1999" s="8">
        <v>2.8216350858464548E-3</v>
      </c>
      <c r="K1999" s="8">
        <v>2.4962191975802864E-3</v>
      </c>
      <c r="L1999" s="8">
        <v>4.8732319188684285E-4</v>
      </c>
      <c r="M1999" s="8">
        <v>1.2278823068904563</v>
      </c>
      <c r="N1999" s="8">
        <v>0.60370848353090334</v>
      </c>
      <c r="O1999" s="8">
        <v>5.6535836076268428E-2</v>
      </c>
      <c r="P1999" s="8">
        <v>1.366130258678405E-3</v>
      </c>
      <c r="Q1999" t="s">
        <v>26</v>
      </c>
    </row>
    <row r="2000" spans="1:17" x14ac:dyDescent="0.25">
      <c r="A2000" s="7" t="s">
        <v>162</v>
      </c>
      <c r="B2000" s="7" t="s">
        <v>18</v>
      </c>
      <c r="C2000" s="7" t="s">
        <v>19</v>
      </c>
      <c r="D2000" s="7"/>
      <c r="E2000" s="7"/>
      <c r="F2000" s="7" t="s">
        <v>53</v>
      </c>
      <c r="G2000" s="7" t="s">
        <v>54</v>
      </c>
      <c r="H2000" s="7" t="s">
        <v>172</v>
      </c>
      <c r="I2000" s="7" t="s">
        <v>176</v>
      </c>
      <c r="J2000" s="8">
        <v>1.9197311542537541E-2</v>
      </c>
      <c r="K2000" s="8">
        <v>1.6986376565876631E-2</v>
      </c>
      <c r="L2000" s="8">
        <v>2.3246964948106237E-3</v>
      </c>
      <c r="M2000" s="8">
        <v>4.5697935495874775</v>
      </c>
      <c r="N2000" s="8">
        <v>1.0139126035766974</v>
      </c>
      <c r="O2000" s="8">
        <v>0.49771424317496232</v>
      </c>
      <c r="P2000" s="8">
        <v>7.0795607474526678E-3</v>
      </c>
      <c r="Q2000" t="s">
        <v>26</v>
      </c>
    </row>
    <row r="2001" spans="1:17" x14ac:dyDescent="0.25">
      <c r="A2001" s="7" t="s">
        <v>162</v>
      </c>
      <c r="B2001" s="7" t="s">
        <v>18</v>
      </c>
      <c r="C2001" s="7" t="s">
        <v>19</v>
      </c>
      <c r="D2001" s="7"/>
      <c r="E2001" s="7"/>
      <c r="F2001" s="7" t="s">
        <v>53</v>
      </c>
      <c r="G2001" s="7" t="s">
        <v>54</v>
      </c>
      <c r="H2001" s="7" t="s">
        <v>172</v>
      </c>
      <c r="I2001" s="7" t="s">
        <v>177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t="s">
        <v>26</v>
      </c>
    </row>
    <row r="2002" spans="1:17" x14ac:dyDescent="0.25">
      <c r="A2002" s="7" t="s">
        <v>162</v>
      </c>
      <c r="B2002" s="7" t="s">
        <v>18</v>
      </c>
      <c r="C2002" s="7" t="s">
        <v>19</v>
      </c>
      <c r="D2002" s="7"/>
      <c r="E2002" s="7"/>
      <c r="F2002" s="7" t="s">
        <v>53</v>
      </c>
      <c r="G2002" s="7" t="s">
        <v>54</v>
      </c>
      <c r="H2002" s="7" t="s">
        <v>172</v>
      </c>
      <c r="I2002" s="7" t="s">
        <v>178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t="s">
        <v>137</v>
      </c>
    </row>
    <row r="2003" spans="1:17" x14ac:dyDescent="0.25">
      <c r="A2003" s="7" t="s">
        <v>162</v>
      </c>
      <c r="B2003" s="7" t="s">
        <v>18</v>
      </c>
      <c r="C2003" s="7" t="s">
        <v>19</v>
      </c>
      <c r="D2003" s="7"/>
      <c r="E2003" s="7"/>
      <c r="F2003" s="7" t="s">
        <v>53</v>
      </c>
      <c r="G2003" s="7" t="s">
        <v>54</v>
      </c>
      <c r="H2003" s="7" t="s">
        <v>172</v>
      </c>
      <c r="I2003" s="7" t="s">
        <v>179</v>
      </c>
      <c r="J2003" s="8">
        <v>0.11699891199674588</v>
      </c>
      <c r="K2003" s="8">
        <v>0.10753989203451049</v>
      </c>
      <c r="L2003" s="8">
        <v>3.7008663341875007E-3</v>
      </c>
      <c r="M2003" s="8">
        <v>6.7106663453146815</v>
      </c>
      <c r="N2003" s="8">
        <v>2.1886693750492872</v>
      </c>
      <c r="O2003" s="8">
        <v>3.9611575338605673</v>
      </c>
      <c r="P2003" s="8">
        <v>8.2439158152274195E-3</v>
      </c>
      <c r="Q2003" t="s">
        <v>137</v>
      </c>
    </row>
    <row r="2004" spans="1:17" x14ac:dyDescent="0.25">
      <c r="A2004" s="7" t="s">
        <v>162</v>
      </c>
      <c r="B2004" s="7" t="s">
        <v>18</v>
      </c>
      <c r="C2004" s="7" t="s">
        <v>19</v>
      </c>
      <c r="D2004" s="7"/>
      <c r="E2004" s="7"/>
      <c r="F2004" s="7" t="s">
        <v>53</v>
      </c>
      <c r="G2004" s="7" t="s">
        <v>54</v>
      </c>
      <c r="H2004" s="7" t="s">
        <v>172</v>
      </c>
      <c r="I2004" s="7" t="s">
        <v>180</v>
      </c>
      <c r="J2004" s="8">
        <v>0.17939494574320883</v>
      </c>
      <c r="K2004" s="8">
        <v>0.16503655960964239</v>
      </c>
      <c r="L2004" s="8">
        <v>3.749289927900371E-3</v>
      </c>
      <c r="M2004" s="8">
        <v>7.193730900881218</v>
      </c>
      <c r="N2004" s="8">
        <v>3.1613500837520934</v>
      </c>
      <c r="O2004" s="8">
        <v>5.9345057898186582</v>
      </c>
      <c r="P2004" s="8">
        <v>8.8793605709707943E-3</v>
      </c>
      <c r="Q2004" t="s">
        <v>137</v>
      </c>
    </row>
    <row r="2005" spans="1:17" x14ac:dyDescent="0.25">
      <c r="A2005" s="7" t="s">
        <v>162</v>
      </c>
      <c r="B2005" s="7" t="s">
        <v>18</v>
      </c>
      <c r="C2005" s="7" t="s">
        <v>19</v>
      </c>
      <c r="D2005" s="7"/>
      <c r="E2005" s="7"/>
      <c r="F2005" s="7" t="s">
        <v>53</v>
      </c>
      <c r="G2005" s="7" t="s">
        <v>54</v>
      </c>
      <c r="H2005" s="7" t="s">
        <v>172</v>
      </c>
      <c r="I2005" s="7" t="s">
        <v>181</v>
      </c>
      <c r="J2005" s="8">
        <v>0.31736081335309713</v>
      </c>
      <c r="K2005" s="8">
        <v>0.28021901687272477</v>
      </c>
      <c r="L2005" s="8">
        <v>2.2745935192348216E-2</v>
      </c>
      <c r="M2005" s="8">
        <v>61.247407461422796</v>
      </c>
      <c r="N2005" s="8">
        <v>12.488081491335411</v>
      </c>
      <c r="O2005" s="8">
        <v>7.1395657763605849</v>
      </c>
      <c r="P2005" s="8">
        <v>7.827739923749831E-2</v>
      </c>
      <c r="Q2005" t="s">
        <v>26</v>
      </c>
    </row>
    <row r="2006" spans="1:17" x14ac:dyDescent="0.25">
      <c r="A2006" s="7" t="s">
        <v>162</v>
      </c>
      <c r="B2006" s="7" t="s">
        <v>18</v>
      </c>
      <c r="C2006" s="7" t="s">
        <v>19</v>
      </c>
      <c r="D2006" s="7"/>
      <c r="E2006" s="7"/>
      <c r="F2006" s="7" t="s">
        <v>55</v>
      </c>
      <c r="G2006" s="7" t="s">
        <v>56</v>
      </c>
      <c r="H2006" s="7" t="s">
        <v>172</v>
      </c>
      <c r="I2006" s="7" t="s">
        <v>173</v>
      </c>
      <c r="J2006" s="8">
        <v>2.5912322274881513E-3</v>
      </c>
      <c r="K2006" s="8">
        <v>2.2922590837282783E-3</v>
      </c>
      <c r="L2006" s="8">
        <v>7.2867298578199063E-4</v>
      </c>
      <c r="M2006" s="8">
        <v>2.656503159557662</v>
      </c>
      <c r="N2006" s="8">
        <v>0.1122623749341759</v>
      </c>
      <c r="O2006" s="8">
        <v>0.20263191153238541</v>
      </c>
      <c r="P2006" s="8">
        <v>2.6137440758293843E-3</v>
      </c>
      <c r="Q2006" t="s">
        <v>26</v>
      </c>
    </row>
    <row r="2007" spans="1:17" x14ac:dyDescent="0.25">
      <c r="A2007" s="7" t="s">
        <v>162</v>
      </c>
      <c r="B2007" s="7" t="s">
        <v>18</v>
      </c>
      <c r="C2007" s="7" t="s">
        <v>19</v>
      </c>
      <c r="D2007" s="7"/>
      <c r="E2007" s="7"/>
      <c r="F2007" s="7" t="s">
        <v>55</v>
      </c>
      <c r="G2007" s="7" t="s">
        <v>56</v>
      </c>
      <c r="H2007" s="7" t="s">
        <v>172</v>
      </c>
      <c r="I2007" s="7" t="s">
        <v>174</v>
      </c>
      <c r="J2007" s="8">
        <v>0.36700588102369897</v>
      </c>
      <c r="K2007" s="8">
        <v>0.32466446812628719</v>
      </c>
      <c r="L2007" s="8">
        <v>1.9355134994654539E-2</v>
      </c>
      <c r="M2007" s="8">
        <v>50.459389684607224</v>
      </c>
      <c r="N2007" s="8">
        <v>13.446309687019026</v>
      </c>
      <c r="O2007" s="8">
        <v>4.4454878157161097</v>
      </c>
      <c r="P2007" s="8">
        <v>7.3692399811503065E-2</v>
      </c>
      <c r="Q2007" t="s">
        <v>26</v>
      </c>
    </row>
    <row r="2008" spans="1:17" x14ac:dyDescent="0.25">
      <c r="A2008" s="7" t="s">
        <v>162</v>
      </c>
      <c r="B2008" s="7" t="s">
        <v>18</v>
      </c>
      <c r="C2008" s="7" t="s">
        <v>19</v>
      </c>
      <c r="D2008" s="7"/>
      <c r="E2008" s="7"/>
      <c r="F2008" s="7" t="s">
        <v>55</v>
      </c>
      <c r="G2008" s="7" t="s">
        <v>56</v>
      </c>
      <c r="H2008" s="7" t="s">
        <v>172</v>
      </c>
      <c r="I2008" s="7" t="s">
        <v>175</v>
      </c>
      <c r="J2008" s="8">
        <v>2.8216350858464548E-3</v>
      </c>
      <c r="K2008" s="8">
        <v>2.4962191975802864E-3</v>
      </c>
      <c r="L2008" s="8">
        <v>4.8732319188684285E-4</v>
      </c>
      <c r="M2008" s="8">
        <v>1.2278823068904563</v>
      </c>
      <c r="N2008" s="8">
        <v>0.60370848353090334</v>
      </c>
      <c r="O2008" s="8">
        <v>5.6535836076268428E-2</v>
      </c>
      <c r="P2008" s="8">
        <v>1.366130258678405E-3</v>
      </c>
      <c r="Q2008" t="s">
        <v>26</v>
      </c>
    </row>
    <row r="2009" spans="1:17" x14ac:dyDescent="0.25">
      <c r="A2009" s="7" t="s">
        <v>162</v>
      </c>
      <c r="B2009" s="7" t="s">
        <v>18</v>
      </c>
      <c r="C2009" s="7" t="s">
        <v>19</v>
      </c>
      <c r="D2009" s="7"/>
      <c r="E2009" s="7"/>
      <c r="F2009" s="7" t="s">
        <v>55</v>
      </c>
      <c r="G2009" s="7" t="s">
        <v>56</v>
      </c>
      <c r="H2009" s="7" t="s">
        <v>172</v>
      </c>
      <c r="I2009" s="7" t="s">
        <v>176</v>
      </c>
      <c r="J2009" s="8">
        <v>5.0735751933849209E-2</v>
      </c>
      <c r="K2009" s="8">
        <v>4.489256663838824E-2</v>
      </c>
      <c r="L2009" s="8">
        <v>6.1438407362852205E-3</v>
      </c>
      <c r="M2009" s="8">
        <v>12.077311523909763</v>
      </c>
      <c r="N2009" s="8">
        <v>2.6796261665955572</v>
      </c>
      <c r="O2009" s="8">
        <v>1.3153876426766862</v>
      </c>
      <c r="P2009" s="8">
        <v>1.8710267689696337E-2</v>
      </c>
      <c r="Q2009" t="s">
        <v>26</v>
      </c>
    </row>
    <row r="2010" spans="1:17" x14ac:dyDescent="0.25">
      <c r="A2010" s="7" t="s">
        <v>162</v>
      </c>
      <c r="B2010" s="7" t="s">
        <v>18</v>
      </c>
      <c r="C2010" s="7" t="s">
        <v>19</v>
      </c>
      <c r="D2010" s="7"/>
      <c r="E2010" s="7"/>
      <c r="F2010" s="7" t="s">
        <v>55</v>
      </c>
      <c r="G2010" s="7" t="s">
        <v>56</v>
      </c>
      <c r="H2010" s="7" t="s">
        <v>172</v>
      </c>
      <c r="I2010" s="7" t="s">
        <v>177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t="s">
        <v>26</v>
      </c>
    </row>
    <row r="2011" spans="1:17" x14ac:dyDescent="0.25">
      <c r="A2011" s="7" t="s">
        <v>162</v>
      </c>
      <c r="B2011" s="7" t="s">
        <v>18</v>
      </c>
      <c r="C2011" s="7" t="s">
        <v>19</v>
      </c>
      <c r="D2011" s="7"/>
      <c r="E2011" s="7"/>
      <c r="F2011" s="7" t="s">
        <v>55</v>
      </c>
      <c r="G2011" s="7" t="s">
        <v>56</v>
      </c>
      <c r="H2011" s="7" t="s">
        <v>172</v>
      </c>
      <c r="I2011" s="7" t="s">
        <v>178</v>
      </c>
      <c r="J2011" s="8">
        <v>0.14206313328137182</v>
      </c>
      <c r="K2011" s="8">
        <v>0.13069602494154328</v>
      </c>
      <c r="L2011" s="8">
        <v>2.1901792673421671E-3</v>
      </c>
      <c r="M2011" s="8">
        <v>3.5982084957131724</v>
      </c>
      <c r="N2011" s="8">
        <v>1.9934017926734218</v>
      </c>
      <c r="O2011" s="8">
        <v>2.5641636788776307</v>
      </c>
      <c r="P2011" s="8">
        <v>3.9111457521434131E-3</v>
      </c>
      <c r="Q2011" t="s">
        <v>137</v>
      </c>
    </row>
    <row r="2012" spans="1:17" x14ac:dyDescent="0.25">
      <c r="A2012" s="7" t="s">
        <v>162</v>
      </c>
      <c r="B2012" s="7" t="s">
        <v>18</v>
      </c>
      <c r="C2012" s="7" t="s">
        <v>19</v>
      </c>
      <c r="D2012" s="7"/>
      <c r="E2012" s="7"/>
      <c r="F2012" s="7" t="s">
        <v>55</v>
      </c>
      <c r="G2012" s="7" t="s">
        <v>56</v>
      </c>
      <c r="H2012" s="7" t="s">
        <v>172</v>
      </c>
      <c r="I2012" s="7" t="s">
        <v>179</v>
      </c>
      <c r="J2012" s="8">
        <v>0.30832187444610215</v>
      </c>
      <c r="K2012" s="8">
        <v>0.28325253149779944</v>
      </c>
      <c r="L2012" s="8">
        <v>1.0716081564744165E-2</v>
      </c>
      <c r="M2012" s="8">
        <v>22.673371370862647</v>
      </c>
      <c r="N2012" s="8">
        <v>5.8319241971977718</v>
      </c>
      <c r="O2012" s="8">
        <v>11.785456727484144</v>
      </c>
      <c r="P2012" s="8">
        <v>2.3175448798360913E-2</v>
      </c>
      <c r="Q2012" t="s">
        <v>137</v>
      </c>
    </row>
    <row r="2013" spans="1:17" x14ac:dyDescent="0.25">
      <c r="A2013" s="7" t="s">
        <v>162</v>
      </c>
      <c r="B2013" s="7" t="s">
        <v>18</v>
      </c>
      <c r="C2013" s="7" t="s">
        <v>19</v>
      </c>
      <c r="D2013" s="7"/>
      <c r="E2013" s="7"/>
      <c r="F2013" s="7" t="s">
        <v>55</v>
      </c>
      <c r="G2013" s="7" t="s">
        <v>56</v>
      </c>
      <c r="H2013" s="7" t="s">
        <v>172</v>
      </c>
      <c r="I2013" s="7" t="s">
        <v>180</v>
      </c>
      <c r="J2013" s="8">
        <v>0.17939494574320883</v>
      </c>
      <c r="K2013" s="8">
        <v>0.16503655960964239</v>
      </c>
      <c r="L2013" s="8">
        <v>3.749289927900371E-3</v>
      </c>
      <c r="M2013" s="8">
        <v>7.193730900881218</v>
      </c>
      <c r="N2013" s="8">
        <v>3.1613500837520934</v>
      </c>
      <c r="O2013" s="8">
        <v>5.9345057898186582</v>
      </c>
      <c r="P2013" s="8">
        <v>8.8793605709707943E-3</v>
      </c>
      <c r="Q2013" t="s">
        <v>137</v>
      </c>
    </row>
    <row r="2014" spans="1:17" x14ac:dyDescent="0.25">
      <c r="A2014" s="7" t="s">
        <v>162</v>
      </c>
      <c r="B2014" s="7" t="s">
        <v>18</v>
      </c>
      <c r="C2014" s="7" t="s">
        <v>19</v>
      </c>
      <c r="D2014" s="7"/>
      <c r="E2014" s="7"/>
      <c r="F2014" s="7" t="s">
        <v>55</v>
      </c>
      <c r="G2014" s="7" t="s">
        <v>56</v>
      </c>
      <c r="H2014" s="7" t="s">
        <v>172</v>
      </c>
      <c r="I2014" s="7" t="s">
        <v>181</v>
      </c>
      <c r="J2014" s="8">
        <v>0.32885314852814213</v>
      </c>
      <c r="K2014" s="8">
        <v>0.29019446612910188</v>
      </c>
      <c r="L2014" s="8">
        <v>2.4076787110171933E-2</v>
      </c>
      <c r="M2014" s="8">
        <v>64.378002834168484</v>
      </c>
      <c r="N2014" s="8">
        <v>13.090246077928089</v>
      </c>
      <c r="O2014" s="8">
        <v>7.4688193770099112</v>
      </c>
      <c r="P2014" s="8">
        <v>8.2835025516748928E-2</v>
      </c>
      <c r="Q2014" t="s">
        <v>26</v>
      </c>
    </row>
    <row r="2015" spans="1:17" x14ac:dyDescent="0.25">
      <c r="A2015" s="7" t="s">
        <v>162</v>
      </c>
      <c r="B2015" s="7" t="s">
        <v>18</v>
      </c>
      <c r="C2015" s="7" t="s">
        <v>19</v>
      </c>
      <c r="D2015" s="7" t="s">
        <v>20</v>
      </c>
      <c r="E2015" s="7" t="s">
        <v>21</v>
      </c>
      <c r="F2015" s="7" t="s">
        <v>43</v>
      </c>
      <c r="G2015" s="7" t="s">
        <v>44</v>
      </c>
      <c r="H2015" s="7" t="s">
        <v>172</v>
      </c>
      <c r="I2015" s="7" t="s">
        <v>173</v>
      </c>
      <c r="J2015" s="8">
        <v>0.27227000000000001</v>
      </c>
      <c r="K2015" s="8">
        <v>0.111412</v>
      </c>
      <c r="L2015" s="8">
        <v>5.9903353310107176E-2</v>
      </c>
      <c r="M2015" s="8">
        <v>61.226728166113617</v>
      </c>
      <c r="N2015" s="8">
        <v>2.9416507994621957</v>
      </c>
      <c r="O2015" s="8">
        <v>27.7055984446358</v>
      </c>
      <c r="P2015" s="8">
        <v>0.42684813907572844</v>
      </c>
      <c r="Q2015" t="s">
        <v>26</v>
      </c>
    </row>
    <row r="2016" spans="1:17" x14ac:dyDescent="0.25">
      <c r="A2016" s="7" t="s">
        <v>162</v>
      </c>
      <c r="B2016" s="7" t="s">
        <v>18</v>
      </c>
      <c r="C2016" s="7" t="s">
        <v>19</v>
      </c>
      <c r="D2016" s="7" t="s">
        <v>20</v>
      </c>
      <c r="E2016" s="7" t="s">
        <v>21</v>
      </c>
      <c r="F2016" s="7" t="s">
        <v>43</v>
      </c>
      <c r="G2016" s="7" t="s">
        <v>44</v>
      </c>
      <c r="H2016" s="7" t="s">
        <v>172</v>
      </c>
      <c r="I2016" s="7" t="s">
        <v>174</v>
      </c>
      <c r="J2016" s="8">
        <v>1.745082464676585</v>
      </c>
      <c r="K2016" s="8">
        <v>0.47372128804879449</v>
      </c>
      <c r="L2016" s="8">
        <v>0.24769762640538945</v>
      </c>
      <c r="M2016" s="8">
        <v>150.48070390358393</v>
      </c>
      <c r="N2016" s="8">
        <v>24.654127762088997</v>
      </c>
      <c r="O2016" s="8">
        <v>23.846687772313828</v>
      </c>
      <c r="P2016" s="8">
        <v>0.94101956316217916</v>
      </c>
      <c r="Q2016" t="s">
        <v>26</v>
      </c>
    </row>
    <row r="2017" spans="1:17" x14ac:dyDescent="0.25">
      <c r="A2017" s="7" t="s">
        <v>162</v>
      </c>
      <c r="B2017" s="7" t="s">
        <v>18</v>
      </c>
      <c r="C2017" s="7" t="s">
        <v>19</v>
      </c>
      <c r="D2017" s="7" t="s">
        <v>20</v>
      </c>
      <c r="E2017" s="7" t="s">
        <v>21</v>
      </c>
      <c r="F2017" s="7" t="s">
        <v>43</v>
      </c>
      <c r="G2017" s="7" t="s">
        <v>44</v>
      </c>
      <c r="H2017" s="7" t="s">
        <v>172</v>
      </c>
      <c r="I2017" s="7" t="s">
        <v>175</v>
      </c>
      <c r="J2017" s="8">
        <v>5.8141928421838511E-2</v>
      </c>
      <c r="K2017" s="8">
        <v>1.5789988906643404E-2</v>
      </c>
      <c r="L2017" s="8">
        <v>5.338957316682269E-2</v>
      </c>
      <c r="M2017" s="8">
        <v>17.494548843951545</v>
      </c>
      <c r="N2017" s="8">
        <v>3.8563400682754558</v>
      </c>
      <c r="O2017" s="8">
        <v>1.5739441766411244</v>
      </c>
      <c r="P2017" s="8">
        <v>0.14983257184254489</v>
      </c>
      <c r="Q2017" t="s">
        <v>26</v>
      </c>
    </row>
    <row r="2018" spans="1:17" x14ac:dyDescent="0.25">
      <c r="A2018" s="7" t="s">
        <v>162</v>
      </c>
      <c r="B2018" s="7" t="s">
        <v>18</v>
      </c>
      <c r="C2018" s="7" t="s">
        <v>19</v>
      </c>
      <c r="D2018" s="7" t="s">
        <v>20</v>
      </c>
      <c r="E2018" s="7" t="s">
        <v>21</v>
      </c>
      <c r="F2018" s="7" t="s">
        <v>43</v>
      </c>
      <c r="G2018" s="7" t="s">
        <v>44</v>
      </c>
      <c r="H2018" s="7" t="s">
        <v>172</v>
      </c>
      <c r="I2018" s="7" t="s">
        <v>176</v>
      </c>
      <c r="J2018" s="8">
        <v>4.0706397411449197E-4</v>
      </c>
      <c r="K2018" s="8">
        <v>3.6884308120338201E-4</v>
      </c>
      <c r="L2018" s="8">
        <v>1.7820788093108811E-4</v>
      </c>
      <c r="M2018" s="8">
        <v>0.10619427387718476</v>
      </c>
      <c r="N2018" s="8">
        <v>2.6440911160245606E-2</v>
      </c>
      <c r="O2018" s="8">
        <v>1.4561920601122125E-2</v>
      </c>
      <c r="P2018" s="8">
        <v>5.9114602275790165E-4</v>
      </c>
      <c r="Q2018" t="s">
        <v>26</v>
      </c>
    </row>
    <row r="2019" spans="1:17" x14ac:dyDescent="0.25">
      <c r="A2019" s="7" t="s">
        <v>162</v>
      </c>
      <c r="B2019" s="7" t="s">
        <v>18</v>
      </c>
      <c r="C2019" s="7" t="s">
        <v>19</v>
      </c>
      <c r="D2019" s="7" t="s">
        <v>20</v>
      </c>
      <c r="E2019" s="7" t="s">
        <v>21</v>
      </c>
      <c r="F2019" s="7" t="s">
        <v>43</v>
      </c>
      <c r="G2019" s="7" t="s">
        <v>44</v>
      </c>
      <c r="H2019" s="7" t="s">
        <v>172</v>
      </c>
      <c r="I2019" s="7" t="s">
        <v>177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t="s">
        <v>26</v>
      </c>
    </row>
    <row r="2020" spans="1:17" x14ac:dyDescent="0.25">
      <c r="A2020" s="7" t="s">
        <v>162</v>
      </c>
      <c r="B2020" s="7" t="s">
        <v>18</v>
      </c>
      <c r="C2020" s="7" t="s">
        <v>19</v>
      </c>
      <c r="D2020" s="7" t="s">
        <v>20</v>
      </c>
      <c r="E2020" s="7" t="s">
        <v>21</v>
      </c>
      <c r="F2020" s="7" t="s">
        <v>43</v>
      </c>
      <c r="G2020" s="7" t="s">
        <v>44</v>
      </c>
      <c r="H2020" s="7" t="s">
        <v>172</v>
      </c>
      <c r="I2020" s="7" t="s">
        <v>178</v>
      </c>
      <c r="J2020" s="8">
        <v>3.1664556277653473</v>
      </c>
      <c r="K2020" s="8">
        <v>2.3139636420615974</v>
      </c>
      <c r="L2020" s="8">
        <v>8.4348663761244183E-2</v>
      </c>
      <c r="M2020" s="8">
        <v>16.766229881938276</v>
      </c>
      <c r="N2020" s="8">
        <v>45.684103257357044</v>
      </c>
      <c r="O2020" s="8">
        <v>2.7389597998052353</v>
      </c>
      <c r="P2020" s="8">
        <v>0.11609602502388836</v>
      </c>
      <c r="Q2020" t="s">
        <v>137</v>
      </c>
    </row>
    <row r="2021" spans="1:17" x14ac:dyDescent="0.25">
      <c r="A2021" s="7" t="s">
        <v>162</v>
      </c>
      <c r="B2021" s="7" t="s">
        <v>18</v>
      </c>
      <c r="C2021" s="7" t="s">
        <v>19</v>
      </c>
      <c r="D2021" s="7" t="s">
        <v>20</v>
      </c>
      <c r="E2021" s="7" t="s">
        <v>21</v>
      </c>
      <c r="F2021" s="7" t="s">
        <v>43</v>
      </c>
      <c r="G2021" s="7" t="s">
        <v>44</v>
      </c>
      <c r="H2021" s="7" t="s">
        <v>172</v>
      </c>
      <c r="I2021" s="7" t="s">
        <v>179</v>
      </c>
      <c r="J2021" s="8">
        <v>0.15688028660961034</v>
      </c>
      <c r="K2021" s="8">
        <v>9.8651915409338431E-2</v>
      </c>
      <c r="L2021" s="8">
        <v>3.6254757999968634E-3</v>
      </c>
      <c r="M2021" s="8">
        <v>0.68227829057215716</v>
      </c>
      <c r="N2021" s="8">
        <v>1.8644785227781517</v>
      </c>
      <c r="O2021" s="8">
        <v>0.51975511790439999</v>
      </c>
      <c r="P2021" s="8">
        <v>9.6472934585697216E-3</v>
      </c>
      <c r="Q2021" t="s">
        <v>137</v>
      </c>
    </row>
    <row r="2022" spans="1:17" x14ac:dyDescent="0.25">
      <c r="A2022" s="7" t="s">
        <v>162</v>
      </c>
      <c r="B2022" s="7" t="s">
        <v>18</v>
      </c>
      <c r="C2022" s="7" t="s">
        <v>19</v>
      </c>
      <c r="D2022" s="7" t="s">
        <v>20</v>
      </c>
      <c r="E2022" s="7" t="s">
        <v>21</v>
      </c>
      <c r="F2022" s="7" t="s">
        <v>43</v>
      </c>
      <c r="G2022" s="7" t="s">
        <v>44</v>
      </c>
      <c r="H2022" s="7" t="s">
        <v>172</v>
      </c>
      <c r="I2022" s="7" t="s">
        <v>180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t="s">
        <v>137</v>
      </c>
    </row>
    <row r="2023" spans="1:17" x14ac:dyDescent="0.25">
      <c r="A2023" s="7" t="s">
        <v>162</v>
      </c>
      <c r="B2023" s="7" t="s">
        <v>18</v>
      </c>
      <c r="C2023" s="7" t="s">
        <v>19</v>
      </c>
      <c r="D2023" s="7" t="s">
        <v>20</v>
      </c>
      <c r="E2023" s="7" t="s">
        <v>21</v>
      </c>
      <c r="F2023" s="7" t="s">
        <v>43</v>
      </c>
      <c r="G2023" s="7" t="s">
        <v>44</v>
      </c>
      <c r="H2023" s="7" t="s">
        <v>172</v>
      </c>
      <c r="I2023" s="7" t="s">
        <v>181</v>
      </c>
      <c r="J2023" s="8">
        <v>1.011200658529172</v>
      </c>
      <c r="K2023" s="8">
        <v>0.40525564075484577</v>
      </c>
      <c r="L2023" s="8">
        <v>0.15524492085254119</v>
      </c>
      <c r="M2023" s="8">
        <v>104.28453856514405</v>
      </c>
      <c r="N2023" s="8">
        <v>23.773506049502515</v>
      </c>
      <c r="O2023" s="8">
        <v>15.22973599336666</v>
      </c>
      <c r="P2023" s="8">
        <v>0.51717167623674021</v>
      </c>
      <c r="Q2023" t="s">
        <v>26</v>
      </c>
    </row>
    <row r="2024" spans="1:17" x14ac:dyDescent="0.25">
      <c r="A2024" s="7" t="s">
        <v>162</v>
      </c>
      <c r="B2024" s="7" t="s">
        <v>18</v>
      </c>
      <c r="C2024" s="7" t="s">
        <v>19</v>
      </c>
      <c r="D2024" s="7"/>
      <c r="E2024" s="7"/>
      <c r="F2024" s="7" t="s">
        <v>57</v>
      </c>
      <c r="G2024" s="7" t="s">
        <v>58</v>
      </c>
      <c r="H2024" s="7" t="s">
        <v>172</v>
      </c>
      <c r="I2024" s="7" t="s">
        <v>173</v>
      </c>
      <c r="J2024" s="8">
        <v>1.8138625592417062E-2</v>
      </c>
      <c r="K2024" s="8">
        <v>1.604581358609795E-2</v>
      </c>
      <c r="L2024" s="8">
        <v>5.1007109004739346E-3</v>
      </c>
      <c r="M2024" s="8">
        <v>18.595522116903634</v>
      </c>
      <c r="N2024" s="8">
        <v>0.78583662453923109</v>
      </c>
      <c r="O2024" s="8">
        <v>1.4184233807266977</v>
      </c>
      <c r="P2024" s="8">
        <v>1.8296208530805689E-2</v>
      </c>
      <c r="Q2024" t="s">
        <v>26</v>
      </c>
    </row>
    <row r="2025" spans="1:17" x14ac:dyDescent="0.25">
      <c r="A2025" s="7" t="s">
        <v>162</v>
      </c>
      <c r="B2025" s="7" t="s">
        <v>18</v>
      </c>
      <c r="C2025" s="7" t="s">
        <v>19</v>
      </c>
      <c r="D2025" s="7"/>
      <c r="E2025" s="7"/>
      <c r="F2025" s="7" t="s">
        <v>57</v>
      </c>
      <c r="G2025" s="7" t="s">
        <v>58</v>
      </c>
      <c r="H2025" s="7" t="s">
        <v>172</v>
      </c>
      <c r="I2025" s="7" t="s">
        <v>174</v>
      </c>
      <c r="J2025" s="8">
        <v>2.3398109566883076</v>
      </c>
      <c r="K2025" s="8">
        <v>2.0698673210640313</v>
      </c>
      <c r="L2025" s="8">
        <v>0.12339681533808881</v>
      </c>
      <c r="M2025" s="8">
        <v>321.69902161383891</v>
      </c>
      <c r="N2025" s="8">
        <v>85.725663700412554</v>
      </c>
      <c r="O2025" s="8">
        <v>28.341783161685228</v>
      </c>
      <c r="P2025" s="8">
        <v>0.46981885963967962</v>
      </c>
      <c r="Q2025" t="s">
        <v>26</v>
      </c>
    </row>
    <row r="2026" spans="1:17" x14ac:dyDescent="0.25">
      <c r="A2026" s="7" t="s">
        <v>162</v>
      </c>
      <c r="B2026" s="7" t="s">
        <v>18</v>
      </c>
      <c r="C2026" s="7" t="s">
        <v>19</v>
      </c>
      <c r="D2026" s="7"/>
      <c r="E2026" s="7"/>
      <c r="F2026" s="7" t="s">
        <v>57</v>
      </c>
      <c r="G2026" s="7" t="s">
        <v>58</v>
      </c>
      <c r="H2026" s="7" t="s">
        <v>172</v>
      </c>
      <c r="I2026" s="7" t="s">
        <v>175</v>
      </c>
      <c r="J2026" s="8">
        <v>9.8757228004625927E-2</v>
      </c>
      <c r="K2026" s="8">
        <v>8.7367671915310016E-2</v>
      </c>
      <c r="L2026" s="8">
        <v>1.7056311716039496E-2</v>
      </c>
      <c r="M2026" s="8">
        <v>42.975880741165966</v>
      </c>
      <c r="N2026" s="8">
        <v>21.129796923581612</v>
      </c>
      <c r="O2026" s="8">
        <v>1.9787542626693948</v>
      </c>
      <c r="P2026" s="8">
        <v>4.7814559053744175E-2</v>
      </c>
      <c r="Q2026" t="s">
        <v>26</v>
      </c>
    </row>
    <row r="2027" spans="1:17" x14ac:dyDescent="0.25">
      <c r="A2027" s="7" t="s">
        <v>162</v>
      </c>
      <c r="B2027" s="7" t="s">
        <v>18</v>
      </c>
      <c r="C2027" s="7" t="s">
        <v>19</v>
      </c>
      <c r="D2027" s="7"/>
      <c r="E2027" s="7"/>
      <c r="F2027" s="7" t="s">
        <v>57</v>
      </c>
      <c r="G2027" s="7" t="s">
        <v>58</v>
      </c>
      <c r="H2027" s="7" t="s">
        <v>172</v>
      </c>
      <c r="I2027" s="7" t="s">
        <v>176</v>
      </c>
      <c r="J2027" s="8">
        <v>0.4298826548989656</v>
      </c>
      <c r="K2027" s="8">
        <v>0.38037350381445167</v>
      </c>
      <c r="L2027" s="8">
        <v>5.2056596508795051E-2</v>
      </c>
      <c r="M2027" s="8">
        <v>102.33073412826243</v>
      </c>
      <c r="N2027" s="8">
        <v>22.704400087235332</v>
      </c>
      <c r="O2027" s="8">
        <v>11.145243945382191</v>
      </c>
      <c r="P2027" s="8">
        <v>0.15853159245188655</v>
      </c>
      <c r="Q2027" t="s">
        <v>26</v>
      </c>
    </row>
    <row r="2028" spans="1:17" x14ac:dyDescent="0.25">
      <c r="A2028" s="7" t="s">
        <v>162</v>
      </c>
      <c r="B2028" s="7" t="s">
        <v>18</v>
      </c>
      <c r="C2028" s="7" t="s">
        <v>19</v>
      </c>
      <c r="D2028" s="7"/>
      <c r="E2028" s="7"/>
      <c r="F2028" s="7" t="s">
        <v>57</v>
      </c>
      <c r="G2028" s="7" t="s">
        <v>58</v>
      </c>
      <c r="H2028" s="7" t="s">
        <v>172</v>
      </c>
      <c r="I2028" s="7" t="s">
        <v>177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t="s">
        <v>26</v>
      </c>
    </row>
    <row r="2029" spans="1:17" x14ac:dyDescent="0.25">
      <c r="A2029" s="7" t="s">
        <v>162</v>
      </c>
      <c r="B2029" s="7" t="s">
        <v>18</v>
      </c>
      <c r="C2029" s="7" t="s">
        <v>19</v>
      </c>
      <c r="D2029" s="7"/>
      <c r="E2029" s="7"/>
      <c r="F2029" s="7" t="s">
        <v>57</v>
      </c>
      <c r="G2029" s="7" t="s">
        <v>58</v>
      </c>
      <c r="H2029" s="7" t="s">
        <v>172</v>
      </c>
      <c r="I2029" s="7" t="s">
        <v>178</v>
      </c>
      <c r="J2029" s="8">
        <v>0.71031566640685906</v>
      </c>
      <c r="K2029" s="8">
        <v>0.65348012470771644</v>
      </c>
      <c r="L2029" s="8">
        <v>1.0950896336710834E-2</v>
      </c>
      <c r="M2029" s="8">
        <v>17.991042478565863</v>
      </c>
      <c r="N2029" s="8">
        <v>9.9670089633671086</v>
      </c>
      <c r="O2029" s="8">
        <v>12.820818394388153</v>
      </c>
      <c r="P2029" s="8">
        <v>1.9555728760717067E-2</v>
      </c>
      <c r="Q2029" t="s">
        <v>137</v>
      </c>
    </row>
    <row r="2030" spans="1:17" x14ac:dyDescent="0.25">
      <c r="A2030" s="7" t="s">
        <v>162</v>
      </c>
      <c r="B2030" s="7" t="s">
        <v>18</v>
      </c>
      <c r="C2030" s="7" t="s">
        <v>19</v>
      </c>
      <c r="D2030" s="7"/>
      <c r="E2030" s="7"/>
      <c r="F2030" s="7" t="s">
        <v>57</v>
      </c>
      <c r="G2030" s="7" t="s">
        <v>58</v>
      </c>
      <c r="H2030" s="7" t="s">
        <v>172</v>
      </c>
      <c r="I2030" s="7" t="s">
        <v>179</v>
      </c>
      <c r="J2030" s="8">
        <v>1.6461547825930898</v>
      </c>
      <c r="K2030" s="8">
        <v>1.5103619852158121</v>
      </c>
      <c r="L2030" s="8">
        <v>7.0374361699389085E-2</v>
      </c>
      <c r="M2030" s="8">
        <v>189.5193053950741</v>
      </c>
      <c r="N2030" s="8">
        <v>32.093710649920467</v>
      </c>
      <c r="O2030" s="8">
        <v>81.322006603218327</v>
      </c>
      <c r="P2030" s="8">
        <v>0.14514560555580672</v>
      </c>
      <c r="Q2030" t="s">
        <v>137</v>
      </c>
    </row>
    <row r="2031" spans="1:17" x14ac:dyDescent="0.25">
      <c r="A2031" s="7" t="s">
        <v>162</v>
      </c>
      <c r="B2031" s="7" t="s">
        <v>18</v>
      </c>
      <c r="C2031" s="7" t="s">
        <v>19</v>
      </c>
      <c r="D2031" s="7"/>
      <c r="E2031" s="7"/>
      <c r="F2031" s="7" t="s">
        <v>57</v>
      </c>
      <c r="G2031" s="7" t="s">
        <v>58</v>
      </c>
      <c r="H2031" s="7" t="s">
        <v>172</v>
      </c>
      <c r="I2031" s="7" t="s">
        <v>180</v>
      </c>
      <c r="J2031" s="8">
        <v>0.97385827689170512</v>
      </c>
      <c r="K2031" s="8">
        <v>0.89591275216663024</v>
      </c>
      <c r="L2031" s="8">
        <v>2.0353288180030588E-2</v>
      </c>
      <c r="M2031" s="8">
        <v>39.051682033355178</v>
      </c>
      <c r="N2031" s="8">
        <v>17.161614740368503</v>
      </c>
      <c r="O2031" s="8">
        <v>32.215888573301285</v>
      </c>
      <c r="P2031" s="8">
        <v>4.8202243099555751E-2</v>
      </c>
      <c r="Q2031" t="s">
        <v>137</v>
      </c>
    </row>
    <row r="2032" spans="1:17" x14ac:dyDescent="0.25">
      <c r="A2032" s="7" t="s">
        <v>162</v>
      </c>
      <c r="B2032" s="7" t="s">
        <v>18</v>
      </c>
      <c r="C2032" s="7" t="s">
        <v>19</v>
      </c>
      <c r="D2032" s="7"/>
      <c r="E2032" s="7"/>
      <c r="F2032" s="7" t="s">
        <v>57</v>
      </c>
      <c r="G2032" s="7" t="s">
        <v>58</v>
      </c>
      <c r="H2032" s="7" t="s">
        <v>172</v>
      </c>
      <c r="I2032" s="7" t="s">
        <v>181</v>
      </c>
      <c r="J2032" s="8">
        <v>3.3288631323914624</v>
      </c>
      <c r="K2032" s="8">
        <v>2.9531516249921586</v>
      </c>
      <c r="L2032" s="8">
        <v>0.21291351705558564</v>
      </c>
      <c r="M2032" s="8">
        <v>567.01218891939402</v>
      </c>
      <c r="N2032" s="8">
        <v>117.59541378481239</v>
      </c>
      <c r="O2032" s="8">
        <v>65.566459686542686</v>
      </c>
      <c r="P2032" s="8">
        <v>0.7438950982817778</v>
      </c>
      <c r="Q2032" t="s">
        <v>26</v>
      </c>
    </row>
    <row r="2033" spans="1:17" x14ac:dyDescent="0.25">
      <c r="A2033" s="7" t="s">
        <v>162</v>
      </c>
      <c r="B2033" s="7" t="s">
        <v>18</v>
      </c>
      <c r="C2033" s="7" t="s">
        <v>19</v>
      </c>
      <c r="D2033" s="7" t="s">
        <v>20</v>
      </c>
      <c r="E2033" s="7" t="s">
        <v>21</v>
      </c>
      <c r="F2033" s="7" t="s">
        <v>59</v>
      </c>
      <c r="G2033" s="7" t="s">
        <v>60</v>
      </c>
      <c r="H2033" s="7" t="s">
        <v>172</v>
      </c>
      <c r="I2033" s="7" t="s">
        <v>173</v>
      </c>
      <c r="J2033" s="8">
        <v>0.36752310426540291</v>
      </c>
      <c r="K2033" s="8">
        <v>0.3251187467087942</v>
      </c>
      <c r="L2033" s="8">
        <v>0.10335011848341236</v>
      </c>
      <c r="M2033" s="8">
        <v>376.78069813059506</v>
      </c>
      <c r="N2033" s="8">
        <v>15.922546844830611</v>
      </c>
      <c r="O2033" s="8">
        <v>28.739959452343331</v>
      </c>
      <c r="P2033" s="8">
        <v>0.37071603475513432</v>
      </c>
      <c r="Q2033" t="s">
        <v>26</v>
      </c>
    </row>
    <row r="2034" spans="1:17" x14ac:dyDescent="0.25">
      <c r="A2034" s="7" t="s">
        <v>162</v>
      </c>
      <c r="B2034" s="7" t="s">
        <v>18</v>
      </c>
      <c r="C2034" s="7" t="s">
        <v>19</v>
      </c>
      <c r="D2034" s="7" t="s">
        <v>20</v>
      </c>
      <c r="E2034" s="7" t="s">
        <v>21</v>
      </c>
      <c r="F2034" s="7" t="s">
        <v>59</v>
      </c>
      <c r="G2034" s="7" t="s">
        <v>60</v>
      </c>
      <c r="H2034" s="7" t="s">
        <v>172</v>
      </c>
      <c r="I2034" s="7" t="s">
        <v>174</v>
      </c>
      <c r="J2034" s="8">
        <v>13.786641168616597</v>
      </c>
      <c r="K2034" s="8">
        <v>12.196152126044883</v>
      </c>
      <c r="L2034" s="8">
        <v>0.72720622453169503</v>
      </c>
      <c r="M2034" s="8">
        <v>1896.2428071582897</v>
      </c>
      <c r="N2034" s="8">
        <v>505.34140553719709</v>
      </c>
      <c r="O2034" s="8">
        <v>166.9778383496477</v>
      </c>
      <c r="P2034" s="8">
        <v>2.7684628747749644</v>
      </c>
      <c r="Q2034" t="s">
        <v>26</v>
      </c>
    </row>
    <row r="2035" spans="1:17" x14ac:dyDescent="0.25">
      <c r="A2035" s="7" t="s">
        <v>162</v>
      </c>
      <c r="B2035" s="7" t="s">
        <v>18</v>
      </c>
      <c r="C2035" s="7" t="s">
        <v>19</v>
      </c>
      <c r="D2035" s="7" t="s">
        <v>20</v>
      </c>
      <c r="E2035" s="7" t="s">
        <v>21</v>
      </c>
      <c r="F2035" s="7" t="s">
        <v>59</v>
      </c>
      <c r="G2035" s="7" t="s">
        <v>60</v>
      </c>
      <c r="H2035" s="7" t="s">
        <v>172</v>
      </c>
      <c r="I2035" s="7" t="s">
        <v>175</v>
      </c>
      <c r="J2035" s="8">
        <v>0.81686335735254867</v>
      </c>
      <c r="K2035" s="8">
        <v>0.72265545769949291</v>
      </c>
      <c r="L2035" s="8">
        <v>0.14108006405124099</v>
      </c>
      <c r="M2035" s="8">
        <v>355.4719278447871</v>
      </c>
      <c r="N2035" s="8">
        <v>174.77360598219656</v>
      </c>
      <c r="O2035" s="8">
        <v>16.367124544079712</v>
      </c>
      <c r="P2035" s="8">
        <v>0.39549470988739821</v>
      </c>
      <c r="Q2035" t="s">
        <v>26</v>
      </c>
    </row>
    <row r="2036" spans="1:17" x14ac:dyDescent="0.25">
      <c r="A2036" s="7" t="s">
        <v>162</v>
      </c>
      <c r="B2036" s="7" t="s">
        <v>18</v>
      </c>
      <c r="C2036" s="7" t="s">
        <v>19</v>
      </c>
      <c r="D2036" s="7" t="s">
        <v>20</v>
      </c>
      <c r="E2036" s="7" t="s">
        <v>21</v>
      </c>
      <c r="F2036" s="7" t="s">
        <v>59</v>
      </c>
      <c r="G2036" s="7" t="s">
        <v>60</v>
      </c>
      <c r="H2036" s="7" t="s">
        <v>172</v>
      </c>
      <c r="I2036" s="7" t="s">
        <v>176</v>
      </c>
      <c r="J2036" s="8">
        <v>1.9928058924081087</v>
      </c>
      <c r="K2036" s="8">
        <v>1.7663855074962649</v>
      </c>
      <c r="L2036" s="8">
        <v>0.23145913871808477</v>
      </c>
      <c r="M2036" s="8">
        <v>454.19077084097802</v>
      </c>
      <c r="N2036" s="8">
        <v>101.27821917703255</v>
      </c>
      <c r="O2036" s="8">
        <v>49.45385276685424</v>
      </c>
      <c r="P2036" s="8">
        <v>0.70646752756792586</v>
      </c>
      <c r="Q2036" t="s">
        <v>26</v>
      </c>
    </row>
    <row r="2037" spans="1:17" x14ac:dyDescent="0.25">
      <c r="A2037" s="7" t="s">
        <v>162</v>
      </c>
      <c r="B2037" s="7" t="s">
        <v>18</v>
      </c>
      <c r="C2037" s="7" t="s">
        <v>19</v>
      </c>
      <c r="D2037" s="7" t="s">
        <v>20</v>
      </c>
      <c r="E2037" s="7" t="s">
        <v>21</v>
      </c>
      <c r="F2037" s="7" t="s">
        <v>59</v>
      </c>
      <c r="G2037" s="7" t="s">
        <v>60</v>
      </c>
      <c r="H2037" s="7" t="s">
        <v>172</v>
      </c>
      <c r="I2037" s="7" t="s">
        <v>177</v>
      </c>
      <c r="J2037" s="8">
        <v>4.0946934547573324E-2</v>
      </c>
      <c r="K2037" s="8">
        <v>3.6137639775399522E-2</v>
      </c>
      <c r="L2037" s="8">
        <v>3.4471344808019674E-3</v>
      </c>
      <c r="M2037" s="8">
        <v>6.456496208191961</v>
      </c>
      <c r="N2037" s="8">
        <v>1.6213859214157524</v>
      </c>
      <c r="O2037" s="8">
        <v>0.56731728958883776</v>
      </c>
      <c r="P2037" s="8">
        <v>1.2700964630225083E-2</v>
      </c>
      <c r="Q2037" t="s">
        <v>26</v>
      </c>
    </row>
    <row r="2038" spans="1:17" x14ac:dyDescent="0.25">
      <c r="A2038" s="7" t="s">
        <v>162</v>
      </c>
      <c r="B2038" s="7" t="s">
        <v>18</v>
      </c>
      <c r="C2038" s="7" t="s">
        <v>19</v>
      </c>
      <c r="D2038" s="7" t="s">
        <v>20</v>
      </c>
      <c r="E2038" s="7" t="s">
        <v>21</v>
      </c>
      <c r="F2038" s="7" t="s">
        <v>59</v>
      </c>
      <c r="G2038" s="7" t="s">
        <v>60</v>
      </c>
      <c r="H2038" s="7" t="s">
        <v>172</v>
      </c>
      <c r="I2038" s="7" t="s">
        <v>178</v>
      </c>
      <c r="J2038" s="8">
        <v>8.1686301636788787</v>
      </c>
      <c r="K2038" s="8">
        <v>7.5150214341387382</v>
      </c>
      <c r="L2038" s="8">
        <v>0.12593530787217461</v>
      </c>
      <c r="M2038" s="8">
        <v>206.89698850350743</v>
      </c>
      <c r="N2038" s="8">
        <v>114.62060307872177</v>
      </c>
      <c r="O2038" s="8">
        <v>147.43941153546373</v>
      </c>
      <c r="P2038" s="8">
        <v>0.22489088074824626</v>
      </c>
      <c r="Q2038" t="s">
        <v>137</v>
      </c>
    </row>
    <row r="2039" spans="1:17" x14ac:dyDescent="0.25">
      <c r="A2039" s="7" t="s">
        <v>162</v>
      </c>
      <c r="B2039" s="7" t="s">
        <v>18</v>
      </c>
      <c r="C2039" s="7" t="s">
        <v>19</v>
      </c>
      <c r="D2039" s="7" t="s">
        <v>20</v>
      </c>
      <c r="E2039" s="7" t="s">
        <v>21</v>
      </c>
      <c r="F2039" s="7" t="s">
        <v>59</v>
      </c>
      <c r="G2039" s="7" t="s">
        <v>60</v>
      </c>
      <c r="H2039" s="7" t="s">
        <v>172</v>
      </c>
      <c r="I2039" s="7" t="s">
        <v>179</v>
      </c>
      <c r="J2039" s="8">
        <v>5.6601410249998318</v>
      </c>
      <c r="K2039" s="8">
        <v>5.2010092341715621</v>
      </c>
      <c r="L2039" s="8">
        <v>0.18936118149660713</v>
      </c>
      <c r="M2039" s="8">
        <v>379.33792362063065</v>
      </c>
      <c r="N2039" s="8">
        <v>106.88795028714611</v>
      </c>
      <c r="O2039" s="8">
        <v>206.06178097652159</v>
      </c>
      <c r="P2039" s="8">
        <v>0.42073658948685067</v>
      </c>
      <c r="Q2039" t="s">
        <v>137</v>
      </c>
    </row>
    <row r="2040" spans="1:17" x14ac:dyDescent="0.25">
      <c r="A2040" s="7" t="s">
        <v>162</v>
      </c>
      <c r="B2040" s="7" t="s">
        <v>18</v>
      </c>
      <c r="C2040" s="7" t="s">
        <v>19</v>
      </c>
      <c r="D2040" s="7" t="s">
        <v>20</v>
      </c>
      <c r="E2040" s="7" t="s">
        <v>21</v>
      </c>
      <c r="F2040" s="7" t="s">
        <v>59</v>
      </c>
      <c r="G2040" s="7" t="s">
        <v>60</v>
      </c>
      <c r="H2040" s="7" t="s">
        <v>172</v>
      </c>
      <c r="I2040" s="7" t="s">
        <v>180</v>
      </c>
      <c r="J2040" s="8">
        <v>8.6365852450659109</v>
      </c>
      <c r="K2040" s="8">
        <v>7.9453315126356419</v>
      </c>
      <c r="L2040" s="8">
        <v>0.18050152938606076</v>
      </c>
      <c r="M2040" s="8">
        <v>346.32675908528142</v>
      </c>
      <c r="N2040" s="8">
        <v>152.1964254606365</v>
      </c>
      <c r="O2040" s="8">
        <v>285.70406445269828</v>
      </c>
      <c r="P2040" s="8">
        <v>0.42747778748816551</v>
      </c>
      <c r="Q2040" t="s">
        <v>137</v>
      </c>
    </row>
    <row r="2041" spans="1:17" x14ac:dyDescent="0.25">
      <c r="A2041" s="7" t="s">
        <v>162</v>
      </c>
      <c r="B2041" s="7" t="s">
        <v>18</v>
      </c>
      <c r="C2041" s="7" t="s">
        <v>19</v>
      </c>
      <c r="D2041" s="7" t="s">
        <v>20</v>
      </c>
      <c r="E2041" s="7" t="s">
        <v>21</v>
      </c>
      <c r="F2041" s="7" t="s">
        <v>59</v>
      </c>
      <c r="G2041" s="7" t="s">
        <v>60</v>
      </c>
      <c r="H2041" s="7" t="s">
        <v>172</v>
      </c>
      <c r="I2041" s="7" t="s">
        <v>181</v>
      </c>
      <c r="J2041" s="8">
        <v>5.7122871999476743</v>
      </c>
      <c r="K2041" s="8">
        <v>5.0699651134923798</v>
      </c>
      <c r="L2041" s="8">
        <v>0.3594344084406077</v>
      </c>
      <c r="M2041" s="8">
        <v>931.85097085578548</v>
      </c>
      <c r="N2041" s="8">
        <v>195.01085619807697</v>
      </c>
      <c r="O2041" s="8">
        <v>105.93369610154691</v>
      </c>
      <c r="P2041" s="8">
        <v>1.2569202927419658</v>
      </c>
      <c r="Q2041" t="s">
        <v>26</v>
      </c>
    </row>
    <row r="2042" spans="1:17" x14ac:dyDescent="0.25">
      <c r="A2042" s="7" t="s">
        <v>162</v>
      </c>
      <c r="B2042" s="7" t="s">
        <v>18</v>
      </c>
      <c r="C2042" s="7" t="s">
        <v>19</v>
      </c>
      <c r="D2042" s="7"/>
      <c r="E2042" s="7"/>
      <c r="F2042" s="7" t="s">
        <v>63</v>
      </c>
      <c r="G2042" s="7" t="s">
        <v>64</v>
      </c>
      <c r="H2042" s="7" t="s">
        <v>172</v>
      </c>
      <c r="I2042" s="7" t="s">
        <v>173</v>
      </c>
      <c r="J2042" s="8">
        <v>2.1593601895734597E-3</v>
      </c>
      <c r="K2042" s="8">
        <v>1.9102159031068986E-3</v>
      </c>
      <c r="L2042" s="8">
        <v>6.0722748815165897E-4</v>
      </c>
      <c r="M2042" s="8">
        <v>2.2137526329647188</v>
      </c>
      <c r="N2042" s="8">
        <v>9.3551979111813247E-2</v>
      </c>
      <c r="O2042" s="8">
        <v>0.16885992627698787</v>
      </c>
      <c r="P2042" s="8">
        <v>2.1781200631911532E-3</v>
      </c>
      <c r="Q2042" t="s">
        <v>26</v>
      </c>
    </row>
    <row r="2043" spans="1:17" x14ac:dyDescent="0.25">
      <c r="A2043" s="7" t="s">
        <v>162</v>
      </c>
      <c r="B2043" s="7" t="s">
        <v>18</v>
      </c>
      <c r="C2043" s="7" t="s">
        <v>19</v>
      </c>
      <c r="D2043" s="7"/>
      <c r="E2043" s="7"/>
      <c r="F2043" s="7" t="s">
        <v>63</v>
      </c>
      <c r="G2043" s="7" t="s">
        <v>64</v>
      </c>
      <c r="H2043" s="7" t="s">
        <v>172</v>
      </c>
      <c r="I2043" s="7" t="s">
        <v>174</v>
      </c>
      <c r="J2043" s="8">
        <v>0.50478155156981253</v>
      </c>
      <c r="K2043" s="8">
        <v>0.44654498043259566</v>
      </c>
      <c r="L2043" s="8">
        <v>2.6621140364816109E-2</v>
      </c>
      <c r="M2043" s="8">
        <v>69.40207319080281</v>
      </c>
      <c r="N2043" s="8">
        <v>18.494115265317426</v>
      </c>
      <c r="O2043" s="8">
        <v>6.1143440831046831</v>
      </c>
      <c r="P2043" s="8">
        <v>0.10135686058216439</v>
      </c>
      <c r="Q2043" t="s">
        <v>26</v>
      </c>
    </row>
    <row r="2044" spans="1:17" x14ac:dyDescent="0.25">
      <c r="A2044" s="7" t="s">
        <v>162</v>
      </c>
      <c r="B2044" s="7" t="s">
        <v>18</v>
      </c>
      <c r="C2044" s="7" t="s">
        <v>19</v>
      </c>
      <c r="D2044" s="7"/>
      <c r="E2044" s="7"/>
      <c r="F2044" s="7" t="s">
        <v>63</v>
      </c>
      <c r="G2044" s="7" t="s">
        <v>64</v>
      </c>
      <c r="H2044" s="7" t="s">
        <v>172</v>
      </c>
      <c r="I2044" s="7" t="s">
        <v>175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t="s">
        <v>26</v>
      </c>
    </row>
    <row r="2045" spans="1:17" x14ac:dyDescent="0.25">
      <c r="A2045" s="7" t="s">
        <v>162</v>
      </c>
      <c r="B2045" s="7" t="s">
        <v>18</v>
      </c>
      <c r="C2045" s="7" t="s">
        <v>19</v>
      </c>
      <c r="D2045" s="7"/>
      <c r="E2045" s="7"/>
      <c r="F2045" s="7" t="s">
        <v>63</v>
      </c>
      <c r="G2045" s="7" t="s">
        <v>64</v>
      </c>
      <c r="H2045" s="7" t="s">
        <v>172</v>
      </c>
      <c r="I2045" s="7" t="s">
        <v>176</v>
      </c>
      <c r="J2045" s="8">
        <v>8.1588574055784541E-2</v>
      </c>
      <c r="K2045" s="8">
        <v>7.2192100404975659E-2</v>
      </c>
      <c r="L2045" s="8">
        <v>9.8799601029451525E-3</v>
      </c>
      <c r="M2045" s="8">
        <v>19.421622585746782</v>
      </c>
      <c r="N2045" s="8">
        <v>4.3091285652009645</v>
      </c>
      <c r="O2045" s="8">
        <v>2.1152855334935898</v>
      </c>
      <c r="P2045" s="8">
        <v>3.0088133176673845E-2</v>
      </c>
      <c r="Q2045" t="s">
        <v>26</v>
      </c>
    </row>
    <row r="2046" spans="1:17" x14ac:dyDescent="0.25">
      <c r="A2046" s="7" t="s">
        <v>162</v>
      </c>
      <c r="B2046" s="7" t="s">
        <v>18</v>
      </c>
      <c r="C2046" s="7" t="s">
        <v>19</v>
      </c>
      <c r="D2046" s="7"/>
      <c r="E2046" s="7"/>
      <c r="F2046" s="7" t="s">
        <v>63</v>
      </c>
      <c r="G2046" s="7" t="s">
        <v>64</v>
      </c>
      <c r="H2046" s="7" t="s">
        <v>172</v>
      </c>
      <c r="I2046" s="7" t="s">
        <v>177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t="s">
        <v>26</v>
      </c>
    </row>
    <row r="2047" spans="1:17" x14ac:dyDescent="0.25">
      <c r="A2047" s="7" t="s">
        <v>162</v>
      </c>
      <c r="B2047" s="7" t="s">
        <v>18</v>
      </c>
      <c r="C2047" s="7" t="s">
        <v>19</v>
      </c>
      <c r="D2047" s="7"/>
      <c r="E2047" s="7"/>
      <c r="F2047" s="7" t="s">
        <v>63</v>
      </c>
      <c r="G2047" s="7" t="s">
        <v>64</v>
      </c>
      <c r="H2047" s="7" t="s">
        <v>172</v>
      </c>
      <c r="I2047" s="7" t="s">
        <v>178</v>
      </c>
      <c r="J2047" s="8">
        <v>0.42618939984411547</v>
      </c>
      <c r="K2047" s="8">
        <v>0.39208807482462987</v>
      </c>
      <c r="L2047" s="8">
        <v>6.5705378020265012E-3</v>
      </c>
      <c r="M2047" s="8">
        <v>10.794625487139516</v>
      </c>
      <c r="N2047" s="8">
        <v>5.9802053780202646</v>
      </c>
      <c r="O2047" s="8">
        <v>7.6924910366328927</v>
      </c>
      <c r="P2047" s="8">
        <v>1.1733437256430237E-2</v>
      </c>
      <c r="Q2047" t="s">
        <v>137</v>
      </c>
    </row>
    <row r="2048" spans="1:17" x14ac:dyDescent="0.25">
      <c r="A2048" s="7" t="s">
        <v>162</v>
      </c>
      <c r="B2048" s="7" t="s">
        <v>18</v>
      </c>
      <c r="C2048" s="7" t="s">
        <v>19</v>
      </c>
      <c r="D2048" s="7"/>
      <c r="E2048" s="7"/>
      <c r="F2048" s="7" t="s">
        <v>63</v>
      </c>
      <c r="G2048" s="7" t="s">
        <v>64</v>
      </c>
      <c r="H2048" s="7" t="s">
        <v>172</v>
      </c>
      <c r="I2048" s="7" t="s">
        <v>179</v>
      </c>
      <c r="J2048" s="8">
        <v>1.0618288578019193</v>
      </c>
      <c r="K2048" s="8">
        <v>0.97567791161360629</v>
      </c>
      <c r="L2048" s="8">
        <v>3.5651716498808932E-2</v>
      </c>
      <c r="M2048" s="8">
        <v>71.593794692927432</v>
      </c>
      <c r="N2048" s="8">
        <v>20.000989708449925</v>
      </c>
      <c r="O2048" s="8">
        <v>38.835661674987975</v>
      </c>
      <c r="P2048" s="8">
        <v>7.7926530220124524E-2</v>
      </c>
      <c r="Q2048" t="s">
        <v>137</v>
      </c>
    </row>
    <row r="2049" spans="1:17" x14ac:dyDescent="0.25">
      <c r="A2049" s="7" t="s">
        <v>162</v>
      </c>
      <c r="B2049" s="7" t="s">
        <v>18</v>
      </c>
      <c r="C2049" s="7" t="s">
        <v>19</v>
      </c>
      <c r="D2049" s="7"/>
      <c r="E2049" s="7"/>
      <c r="F2049" s="7" t="s">
        <v>63</v>
      </c>
      <c r="G2049" s="7" t="s">
        <v>64</v>
      </c>
      <c r="H2049" s="7" t="s">
        <v>172</v>
      </c>
      <c r="I2049" s="7" t="s">
        <v>180</v>
      </c>
      <c r="J2049" s="8">
        <v>0.74320763236472231</v>
      </c>
      <c r="K2049" s="8">
        <v>0.68372288981137574</v>
      </c>
      <c r="L2049" s="8">
        <v>1.5532772558444395E-2</v>
      </c>
      <c r="M2049" s="8">
        <v>29.802599446507898</v>
      </c>
      <c r="N2049" s="8">
        <v>13.097021775544384</v>
      </c>
      <c r="O2049" s="8">
        <v>24.585809700677295</v>
      </c>
      <c r="P2049" s="8">
        <v>3.6785922365450439E-2</v>
      </c>
      <c r="Q2049" t="s">
        <v>137</v>
      </c>
    </row>
    <row r="2050" spans="1:17" x14ac:dyDescent="0.25">
      <c r="A2050" s="7" t="s">
        <v>162</v>
      </c>
      <c r="B2050" s="7" t="s">
        <v>18</v>
      </c>
      <c r="C2050" s="7" t="s">
        <v>19</v>
      </c>
      <c r="D2050" s="7"/>
      <c r="E2050" s="7"/>
      <c r="F2050" s="7" t="s">
        <v>63</v>
      </c>
      <c r="G2050" s="7" t="s">
        <v>64</v>
      </c>
      <c r="H2050" s="7" t="s">
        <v>172</v>
      </c>
      <c r="I2050" s="7" t="s">
        <v>181</v>
      </c>
      <c r="J2050" s="8">
        <v>1.4429782314417223</v>
      </c>
      <c r="K2050" s="8">
        <v>1.2841085932139515</v>
      </c>
      <c r="L2050" s="8">
        <v>8.1609810348748729E-2</v>
      </c>
      <c r="M2050" s="8">
        <v>213.61094544602284</v>
      </c>
      <c r="N2050" s="8">
        <v>45.55982144144987</v>
      </c>
      <c r="O2050" s="8">
        <v>24.546280416959608</v>
      </c>
      <c r="P2050" s="8">
        <v>0.28311603942121655</v>
      </c>
      <c r="Q2050" t="s">
        <v>26</v>
      </c>
    </row>
    <row r="2051" spans="1:17" x14ac:dyDescent="0.25">
      <c r="A2051" s="7" t="s">
        <v>162</v>
      </c>
      <c r="B2051" s="7" t="s">
        <v>18</v>
      </c>
      <c r="C2051" s="7" t="s">
        <v>19</v>
      </c>
      <c r="D2051" s="7" t="s">
        <v>20</v>
      </c>
      <c r="E2051" s="7" t="s">
        <v>21</v>
      </c>
      <c r="F2051" s="7" t="s">
        <v>65</v>
      </c>
      <c r="G2051" s="7" t="s">
        <v>66</v>
      </c>
      <c r="H2051" s="7" t="s">
        <v>172</v>
      </c>
      <c r="I2051" s="7" t="s">
        <v>173</v>
      </c>
      <c r="J2051" s="8">
        <v>1.1513708530805689</v>
      </c>
      <c r="K2051" s="8">
        <v>1.0185271195365984</v>
      </c>
      <c r="L2051" s="8">
        <v>0.32377369668246458</v>
      </c>
      <c r="M2051" s="8">
        <v>1180.3729038967879</v>
      </c>
      <c r="N2051" s="8">
        <v>49.881915262418829</v>
      </c>
      <c r="O2051" s="8">
        <v>90.036112690889922</v>
      </c>
      <c r="P2051" s="8">
        <v>1.161373617693523</v>
      </c>
      <c r="Q2051" t="s">
        <v>26</v>
      </c>
    </row>
    <row r="2052" spans="1:17" x14ac:dyDescent="0.25">
      <c r="A2052" s="7" t="s">
        <v>162</v>
      </c>
      <c r="B2052" s="7" t="s">
        <v>18</v>
      </c>
      <c r="C2052" s="7" t="s">
        <v>19</v>
      </c>
      <c r="D2052" s="7" t="s">
        <v>20</v>
      </c>
      <c r="E2052" s="7" t="s">
        <v>21</v>
      </c>
      <c r="F2052" s="7" t="s">
        <v>65</v>
      </c>
      <c r="G2052" s="7" t="s">
        <v>66</v>
      </c>
      <c r="H2052" s="7" t="s">
        <v>172</v>
      </c>
      <c r="I2052" s="7" t="s">
        <v>174</v>
      </c>
      <c r="J2052" s="8">
        <v>45.226906448256187</v>
      </c>
      <c r="K2052" s="8">
        <v>40.009362746244399</v>
      </c>
      <c r="L2052" s="8">
        <v>2.3856531950818094</v>
      </c>
      <c r="M2052" s="8">
        <v>6220.9564089007217</v>
      </c>
      <c r="N2052" s="8">
        <v>1657.8778778967787</v>
      </c>
      <c r="O2052" s="8">
        <v>547.76008925943177</v>
      </c>
      <c r="P2052" s="8">
        <v>9.082003537084784</v>
      </c>
      <c r="Q2052" t="s">
        <v>26</v>
      </c>
    </row>
    <row r="2053" spans="1:17" x14ac:dyDescent="0.25">
      <c r="A2053" s="7" t="s">
        <v>162</v>
      </c>
      <c r="B2053" s="7" t="s">
        <v>18</v>
      </c>
      <c r="C2053" s="7" t="s">
        <v>19</v>
      </c>
      <c r="D2053" s="7" t="s">
        <v>20</v>
      </c>
      <c r="E2053" s="7" t="s">
        <v>21</v>
      </c>
      <c r="F2053" s="7" t="s">
        <v>65</v>
      </c>
      <c r="G2053" s="7" t="s">
        <v>66</v>
      </c>
      <c r="H2053" s="7" t="s">
        <v>172</v>
      </c>
      <c r="I2053" s="7" t="s">
        <v>175</v>
      </c>
      <c r="J2053" s="8">
        <v>2.2036970020460811</v>
      </c>
      <c r="K2053" s="8">
        <v>1.949547193310204</v>
      </c>
      <c r="L2053" s="8">
        <v>0.3805994128636242</v>
      </c>
      <c r="M2053" s="8">
        <v>958.9760816814462</v>
      </c>
      <c r="N2053" s="8">
        <v>471.49632563763555</v>
      </c>
      <c r="O2053" s="8">
        <v>44.154487975565637</v>
      </c>
      <c r="P2053" s="8">
        <v>1.0669477320278344</v>
      </c>
      <c r="Q2053" t="s">
        <v>26</v>
      </c>
    </row>
    <row r="2054" spans="1:17" x14ac:dyDescent="0.25">
      <c r="A2054" s="7" t="s">
        <v>162</v>
      </c>
      <c r="B2054" s="7" t="s">
        <v>18</v>
      </c>
      <c r="C2054" s="7" t="s">
        <v>19</v>
      </c>
      <c r="D2054" s="7" t="s">
        <v>20</v>
      </c>
      <c r="E2054" s="7" t="s">
        <v>21</v>
      </c>
      <c r="F2054" s="7" t="s">
        <v>65</v>
      </c>
      <c r="G2054" s="7" t="s">
        <v>66</v>
      </c>
      <c r="H2054" s="7" t="s">
        <v>172</v>
      </c>
      <c r="I2054" s="7" t="s">
        <v>176</v>
      </c>
      <c r="J2054" s="8">
        <v>8.0713238369613816</v>
      </c>
      <c r="K2054" s="8">
        <v>7.1541138506499884</v>
      </c>
      <c r="L2054" s="8">
        <v>0.93795818659528019</v>
      </c>
      <c r="M2054" s="8">
        <v>1840.591292586761</v>
      </c>
      <c r="N2054" s="8">
        <v>410.39970671249449</v>
      </c>
      <c r="O2054" s="8">
        <v>200.41063533540068</v>
      </c>
      <c r="P2054" s="8">
        <v>2.8627849627405642</v>
      </c>
      <c r="Q2054" t="s">
        <v>26</v>
      </c>
    </row>
    <row r="2055" spans="1:17" x14ac:dyDescent="0.25">
      <c r="A2055" s="7" t="s">
        <v>162</v>
      </c>
      <c r="B2055" s="7" t="s">
        <v>18</v>
      </c>
      <c r="C2055" s="7" t="s">
        <v>19</v>
      </c>
      <c r="D2055" s="7" t="s">
        <v>20</v>
      </c>
      <c r="E2055" s="7" t="s">
        <v>21</v>
      </c>
      <c r="F2055" s="7" t="s">
        <v>65</v>
      </c>
      <c r="G2055" s="7" t="s">
        <v>66</v>
      </c>
      <c r="H2055" s="7" t="s">
        <v>172</v>
      </c>
      <c r="I2055" s="7" t="s">
        <v>177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t="s">
        <v>26</v>
      </c>
    </row>
    <row r="2056" spans="1:17" x14ac:dyDescent="0.25">
      <c r="A2056" s="7" t="s">
        <v>162</v>
      </c>
      <c r="B2056" s="7" t="s">
        <v>18</v>
      </c>
      <c r="C2056" s="7" t="s">
        <v>19</v>
      </c>
      <c r="D2056" s="7" t="s">
        <v>20</v>
      </c>
      <c r="E2056" s="7" t="s">
        <v>21</v>
      </c>
      <c r="F2056" s="7" t="s">
        <v>65</v>
      </c>
      <c r="G2056" s="7" t="s">
        <v>66</v>
      </c>
      <c r="H2056" s="7" t="s">
        <v>172</v>
      </c>
      <c r="I2056" s="7" t="s">
        <v>178</v>
      </c>
      <c r="J2056" s="8">
        <v>19.320586126266569</v>
      </c>
      <c r="K2056" s="8">
        <v>17.774659392049887</v>
      </c>
      <c r="L2056" s="8">
        <v>0.29786438035853463</v>
      </c>
      <c r="M2056" s="8">
        <v>489.35635541699139</v>
      </c>
      <c r="N2056" s="8">
        <v>271.10264380358535</v>
      </c>
      <c r="O2056" s="8">
        <v>348.72626032735775</v>
      </c>
      <c r="P2056" s="8">
        <v>0.53191582229150425</v>
      </c>
      <c r="Q2056" t="s">
        <v>137</v>
      </c>
    </row>
    <row r="2057" spans="1:17" x14ac:dyDescent="0.25">
      <c r="A2057" s="7" t="s">
        <v>162</v>
      </c>
      <c r="B2057" s="7" t="s">
        <v>18</v>
      </c>
      <c r="C2057" s="7" t="s">
        <v>19</v>
      </c>
      <c r="D2057" s="7" t="s">
        <v>20</v>
      </c>
      <c r="E2057" s="7" t="s">
        <v>21</v>
      </c>
      <c r="F2057" s="7" t="s">
        <v>65</v>
      </c>
      <c r="G2057" s="7" t="s">
        <v>66</v>
      </c>
      <c r="H2057" s="7" t="s">
        <v>172</v>
      </c>
      <c r="I2057" s="7" t="s">
        <v>179</v>
      </c>
      <c r="J2057" s="8">
        <v>25.881847671775951</v>
      </c>
      <c r="K2057" s="8">
        <v>23.786893767010842</v>
      </c>
      <c r="L2057" s="8">
        <v>0.83547499184955021</v>
      </c>
      <c r="M2057" s="8">
        <v>1585.2907102536085</v>
      </c>
      <c r="N2057" s="8">
        <v>488.20289041210594</v>
      </c>
      <c r="O2057" s="8">
        <v>899.73800211428306</v>
      </c>
      <c r="P2057" s="8">
        <v>1.9170707627968915</v>
      </c>
      <c r="Q2057" t="s">
        <v>137</v>
      </c>
    </row>
    <row r="2058" spans="1:17" x14ac:dyDescent="0.25">
      <c r="A2058" s="7" t="s">
        <v>162</v>
      </c>
      <c r="B2058" s="7" t="s">
        <v>18</v>
      </c>
      <c r="C2058" s="7" t="s">
        <v>19</v>
      </c>
      <c r="D2058" s="7" t="s">
        <v>20</v>
      </c>
      <c r="E2058" s="7" t="s">
        <v>21</v>
      </c>
      <c r="F2058" s="7" t="s">
        <v>65</v>
      </c>
      <c r="G2058" s="7" t="s">
        <v>66</v>
      </c>
      <c r="H2058" s="7" t="s">
        <v>172</v>
      </c>
      <c r="I2058" s="7" t="s">
        <v>180</v>
      </c>
      <c r="J2058" s="8">
        <v>40.902047629451616</v>
      </c>
      <c r="K2058" s="8">
        <v>37.628335590998468</v>
      </c>
      <c r="L2058" s="8">
        <v>0.85483810356128476</v>
      </c>
      <c r="M2058" s="8">
        <v>1640.1706454009179</v>
      </c>
      <c r="N2058" s="8">
        <v>720.78781909547718</v>
      </c>
      <c r="O2058" s="8">
        <v>1353.0673200786539</v>
      </c>
      <c r="P2058" s="8">
        <v>2.0244942101813415</v>
      </c>
      <c r="Q2058" t="s">
        <v>137</v>
      </c>
    </row>
    <row r="2059" spans="1:17" x14ac:dyDescent="0.25">
      <c r="A2059" s="7" t="s">
        <v>162</v>
      </c>
      <c r="B2059" s="7" t="s">
        <v>18</v>
      </c>
      <c r="C2059" s="7" t="s">
        <v>19</v>
      </c>
      <c r="D2059" s="7" t="s">
        <v>20</v>
      </c>
      <c r="E2059" s="7" t="s">
        <v>21</v>
      </c>
      <c r="F2059" s="7" t="s">
        <v>65</v>
      </c>
      <c r="G2059" s="7" t="s">
        <v>66</v>
      </c>
      <c r="H2059" s="7" t="s">
        <v>172</v>
      </c>
      <c r="I2059" s="7" t="s">
        <v>181</v>
      </c>
      <c r="J2059" s="8">
        <v>25.693675800007817</v>
      </c>
      <c r="K2059" s="8">
        <v>22.808135684006047</v>
      </c>
      <c r="L2059" s="8">
        <v>1.6067820157684163</v>
      </c>
      <c r="M2059" s="8">
        <v>4160.1733408938117</v>
      </c>
      <c r="N2059" s="8">
        <v>872.27649883558297</v>
      </c>
      <c r="O2059" s="8">
        <v>472.3955584954569</v>
      </c>
      <c r="P2059" s="8">
        <v>5.6337976295758487</v>
      </c>
      <c r="Q2059" t="s">
        <v>26</v>
      </c>
    </row>
    <row r="2060" spans="1:17" x14ac:dyDescent="0.25">
      <c r="A2060" s="7" t="s">
        <v>162</v>
      </c>
      <c r="B2060" s="7" t="s">
        <v>18</v>
      </c>
      <c r="C2060" s="7" t="s">
        <v>19</v>
      </c>
      <c r="D2060" s="7"/>
      <c r="E2060" s="7"/>
      <c r="F2060" s="7" t="s">
        <v>67</v>
      </c>
      <c r="G2060" s="7" t="s">
        <v>68</v>
      </c>
      <c r="H2060" s="7" t="s">
        <v>172</v>
      </c>
      <c r="I2060" s="7" t="s">
        <v>173</v>
      </c>
      <c r="J2060" s="8">
        <v>2.5048578199052131E-2</v>
      </c>
      <c r="K2060" s="8">
        <v>2.2158504476040022E-2</v>
      </c>
      <c r="L2060" s="8">
        <v>7.0438388625592421E-3</v>
      </c>
      <c r="M2060" s="8">
        <v>25.679530542390733</v>
      </c>
      <c r="N2060" s="8">
        <v>1.0852029576970337</v>
      </c>
      <c r="O2060" s="8">
        <v>1.9587751448130593</v>
      </c>
      <c r="P2060" s="8">
        <v>2.5266192733017379E-2</v>
      </c>
      <c r="Q2060" t="s">
        <v>26</v>
      </c>
    </row>
    <row r="2061" spans="1:17" x14ac:dyDescent="0.25">
      <c r="A2061" s="7" t="s">
        <v>162</v>
      </c>
      <c r="B2061" s="7" t="s">
        <v>18</v>
      </c>
      <c r="C2061" s="7" t="s">
        <v>19</v>
      </c>
      <c r="D2061" s="7"/>
      <c r="E2061" s="7"/>
      <c r="F2061" s="7" t="s">
        <v>67</v>
      </c>
      <c r="G2061" s="7" t="s">
        <v>68</v>
      </c>
      <c r="H2061" s="7" t="s">
        <v>172</v>
      </c>
      <c r="I2061" s="7" t="s">
        <v>174</v>
      </c>
      <c r="J2061" s="8">
        <v>1.5879833751737398</v>
      </c>
      <c r="K2061" s="8">
        <v>1.4047779737373658</v>
      </c>
      <c r="L2061" s="8">
        <v>8.3746975688845038E-2</v>
      </c>
      <c r="M2061" s="8">
        <v>218.3307573084785</v>
      </c>
      <c r="N2061" s="8">
        <v>58.18031084642211</v>
      </c>
      <c r="O2061" s="8">
        <v>19.23500715084932</v>
      </c>
      <c r="P2061" s="8">
        <v>0.31885675905495009</v>
      </c>
      <c r="Q2061" t="s">
        <v>26</v>
      </c>
    </row>
    <row r="2062" spans="1:17" x14ac:dyDescent="0.25">
      <c r="A2062" s="7" t="s">
        <v>162</v>
      </c>
      <c r="B2062" s="7" t="s">
        <v>18</v>
      </c>
      <c r="C2062" s="7" t="s">
        <v>19</v>
      </c>
      <c r="D2062" s="7"/>
      <c r="E2062" s="7"/>
      <c r="F2062" s="7" t="s">
        <v>67</v>
      </c>
      <c r="G2062" s="7" t="s">
        <v>68</v>
      </c>
      <c r="H2062" s="7" t="s">
        <v>172</v>
      </c>
      <c r="I2062" s="7" t="s">
        <v>175</v>
      </c>
      <c r="J2062" s="8">
        <v>5.7843519259852316E-2</v>
      </c>
      <c r="K2062" s="8">
        <v>5.1172493550395881E-2</v>
      </c>
      <c r="L2062" s="8">
        <v>9.9901254336802782E-3</v>
      </c>
      <c r="M2062" s="8">
        <v>25.171587291254351</v>
      </c>
      <c r="N2062" s="8">
        <v>12.376023912383518</v>
      </c>
      <c r="O2062" s="8">
        <v>1.1589846395635028</v>
      </c>
      <c r="P2062" s="8">
        <v>2.80056703029073E-2</v>
      </c>
      <c r="Q2062" t="s">
        <v>26</v>
      </c>
    </row>
    <row r="2063" spans="1:17" x14ac:dyDescent="0.25">
      <c r="A2063" s="7" t="s">
        <v>162</v>
      </c>
      <c r="B2063" s="7" t="s">
        <v>18</v>
      </c>
      <c r="C2063" s="7" t="s">
        <v>19</v>
      </c>
      <c r="D2063" s="7"/>
      <c r="E2063" s="7"/>
      <c r="F2063" s="7" t="s">
        <v>67</v>
      </c>
      <c r="G2063" s="7" t="s">
        <v>68</v>
      </c>
      <c r="H2063" s="7" t="s">
        <v>172</v>
      </c>
      <c r="I2063" s="7" t="s">
        <v>176</v>
      </c>
      <c r="J2063" s="8">
        <v>0.27424730775053624</v>
      </c>
      <c r="K2063" s="8">
        <v>0.24266252236966615</v>
      </c>
      <c r="L2063" s="8">
        <v>3.3209949925866053E-2</v>
      </c>
      <c r="M2063" s="8">
        <v>65.282764994106813</v>
      </c>
      <c r="N2063" s="8">
        <v>14.48446576538139</v>
      </c>
      <c r="O2063" s="8">
        <v>7.1102034739280322</v>
      </c>
      <c r="P2063" s="8">
        <v>0.1011365821064667</v>
      </c>
      <c r="Q2063" t="s">
        <v>26</v>
      </c>
    </row>
    <row r="2064" spans="1:17" x14ac:dyDescent="0.25">
      <c r="A2064" s="7" t="s">
        <v>162</v>
      </c>
      <c r="B2064" s="7" t="s">
        <v>18</v>
      </c>
      <c r="C2064" s="7" t="s">
        <v>19</v>
      </c>
      <c r="D2064" s="7"/>
      <c r="E2064" s="7"/>
      <c r="F2064" s="7" t="s">
        <v>67</v>
      </c>
      <c r="G2064" s="7" t="s">
        <v>68</v>
      </c>
      <c r="H2064" s="7" t="s">
        <v>172</v>
      </c>
      <c r="I2064" s="7" t="s">
        <v>177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t="s">
        <v>26</v>
      </c>
    </row>
    <row r="2065" spans="1:17" x14ac:dyDescent="0.25">
      <c r="A2065" s="7" t="s">
        <v>162</v>
      </c>
      <c r="B2065" s="7" t="s">
        <v>18</v>
      </c>
      <c r="C2065" s="7" t="s">
        <v>19</v>
      </c>
      <c r="D2065" s="7"/>
      <c r="E2065" s="7"/>
      <c r="F2065" s="7" t="s">
        <v>67</v>
      </c>
      <c r="G2065" s="7" t="s">
        <v>68</v>
      </c>
      <c r="H2065" s="7" t="s">
        <v>172</v>
      </c>
      <c r="I2065" s="7" t="s">
        <v>178</v>
      </c>
      <c r="J2065" s="8">
        <v>0.63928409976617306</v>
      </c>
      <c r="K2065" s="8">
        <v>0.58813211223694473</v>
      </c>
      <c r="L2065" s="8">
        <v>9.8558067030397514E-3</v>
      </c>
      <c r="M2065" s="8">
        <v>16.191938230709273</v>
      </c>
      <c r="N2065" s="8">
        <v>8.9703080670303983</v>
      </c>
      <c r="O2065" s="8">
        <v>11.538736554949338</v>
      </c>
      <c r="P2065" s="8">
        <v>1.760015588464536E-2</v>
      </c>
      <c r="Q2065" t="s">
        <v>137</v>
      </c>
    </row>
    <row r="2066" spans="1:17" x14ac:dyDescent="0.25">
      <c r="A2066" s="7" t="s">
        <v>162</v>
      </c>
      <c r="B2066" s="7" t="s">
        <v>18</v>
      </c>
      <c r="C2066" s="7" t="s">
        <v>19</v>
      </c>
      <c r="D2066" s="7"/>
      <c r="E2066" s="7"/>
      <c r="F2066" s="7" t="s">
        <v>67</v>
      </c>
      <c r="G2066" s="7" t="s">
        <v>68</v>
      </c>
      <c r="H2066" s="7" t="s">
        <v>172</v>
      </c>
      <c r="I2066" s="7" t="s">
        <v>179</v>
      </c>
      <c r="J2066" s="8">
        <v>1.0250464294785877</v>
      </c>
      <c r="K2066" s="8">
        <v>0.9415233558765489</v>
      </c>
      <c r="L2066" s="8">
        <v>3.6827812055071532E-2</v>
      </c>
      <c r="M2066" s="8">
        <v>81.600365417909572</v>
      </c>
      <c r="N2066" s="8">
        <v>19.468882669170728</v>
      </c>
      <c r="O2066" s="8">
        <v>40.86114171438566</v>
      </c>
      <c r="P2066" s="8">
        <v>7.8857756828188366E-2</v>
      </c>
      <c r="Q2066" t="s">
        <v>137</v>
      </c>
    </row>
    <row r="2067" spans="1:17" x14ac:dyDescent="0.25">
      <c r="A2067" s="7" t="s">
        <v>162</v>
      </c>
      <c r="B2067" s="7" t="s">
        <v>18</v>
      </c>
      <c r="C2067" s="7" t="s">
        <v>19</v>
      </c>
      <c r="D2067" s="7"/>
      <c r="E2067" s="7"/>
      <c r="F2067" s="7" t="s">
        <v>67</v>
      </c>
      <c r="G2067" s="7" t="s">
        <v>68</v>
      </c>
      <c r="H2067" s="7" t="s">
        <v>172</v>
      </c>
      <c r="I2067" s="7" t="s">
        <v>180</v>
      </c>
      <c r="J2067" s="8">
        <v>0.53818483722962662</v>
      </c>
      <c r="K2067" s="8">
        <v>0.49510967882892731</v>
      </c>
      <c r="L2067" s="8">
        <v>1.1247869783701113E-2</v>
      </c>
      <c r="M2067" s="8">
        <v>21.581192702643651</v>
      </c>
      <c r="N2067" s="8">
        <v>9.4840502512562779</v>
      </c>
      <c r="O2067" s="8">
        <v>17.803517369455975</v>
      </c>
      <c r="P2067" s="8">
        <v>2.663808171291239E-2</v>
      </c>
      <c r="Q2067" t="s">
        <v>137</v>
      </c>
    </row>
    <row r="2068" spans="1:17" x14ac:dyDescent="0.25">
      <c r="A2068" s="7" t="s">
        <v>162</v>
      </c>
      <c r="B2068" s="7" t="s">
        <v>18</v>
      </c>
      <c r="C2068" s="7" t="s">
        <v>19</v>
      </c>
      <c r="D2068" s="7"/>
      <c r="E2068" s="7"/>
      <c r="F2068" s="7" t="s">
        <v>67</v>
      </c>
      <c r="G2068" s="7" t="s">
        <v>68</v>
      </c>
      <c r="H2068" s="7" t="s">
        <v>172</v>
      </c>
      <c r="I2068" s="7" t="s">
        <v>181</v>
      </c>
      <c r="J2068" s="8">
        <v>2.1498204194178787</v>
      </c>
      <c r="K2068" s="8">
        <v>1.9072748993137463</v>
      </c>
      <c r="L2068" s="8">
        <v>0.13656122607423915</v>
      </c>
      <c r="M2068" s="8">
        <v>365.98185490068704</v>
      </c>
      <c r="N2068" s="8">
        <v>75.842551267163017</v>
      </c>
      <c r="O2068" s="8">
        <v>42.621121466618305</v>
      </c>
      <c r="P2068" s="8">
        <v>0.47140921443791106</v>
      </c>
      <c r="Q2068" t="s">
        <v>26</v>
      </c>
    </row>
    <row r="2069" spans="1:17" x14ac:dyDescent="0.25">
      <c r="A2069" s="7" t="s">
        <v>162</v>
      </c>
      <c r="B2069" s="7" t="s">
        <v>18</v>
      </c>
      <c r="C2069" s="7" t="s">
        <v>19</v>
      </c>
      <c r="D2069" s="7"/>
      <c r="E2069" s="7"/>
      <c r="F2069" s="7" t="s">
        <v>69</v>
      </c>
      <c r="G2069" s="7" t="s">
        <v>70</v>
      </c>
      <c r="H2069" s="7" t="s">
        <v>172</v>
      </c>
      <c r="I2069" s="7" t="s">
        <v>173</v>
      </c>
      <c r="J2069" s="8">
        <v>1.7274881516587677E-3</v>
      </c>
      <c r="K2069" s="8">
        <v>1.5281727224855188E-3</v>
      </c>
      <c r="L2069" s="8">
        <v>4.8578199052132709E-4</v>
      </c>
      <c r="M2069" s="8">
        <v>1.7710021063717745</v>
      </c>
      <c r="N2069" s="8">
        <v>7.4841583289450606E-2</v>
      </c>
      <c r="O2069" s="8">
        <v>0.13508794102159027</v>
      </c>
      <c r="P2069" s="8">
        <v>1.7424960505529228E-3</v>
      </c>
      <c r="Q2069" t="s">
        <v>26</v>
      </c>
    </row>
    <row r="2070" spans="1:17" x14ac:dyDescent="0.25">
      <c r="A2070" s="7" t="s">
        <v>162</v>
      </c>
      <c r="B2070" s="7" t="s">
        <v>18</v>
      </c>
      <c r="C2070" s="7" t="s">
        <v>19</v>
      </c>
      <c r="D2070" s="7"/>
      <c r="E2070" s="7"/>
      <c r="F2070" s="7" t="s">
        <v>69</v>
      </c>
      <c r="G2070" s="7" t="s">
        <v>70</v>
      </c>
      <c r="H2070" s="7" t="s">
        <v>172</v>
      </c>
      <c r="I2070" s="7" t="s">
        <v>174</v>
      </c>
      <c r="J2070" s="8">
        <v>0.124710736270189</v>
      </c>
      <c r="K2070" s="8">
        <v>0.11032287751864128</v>
      </c>
      <c r="L2070" s="8">
        <v>6.5769876195428036E-3</v>
      </c>
      <c r="M2070" s="8">
        <v>17.146394553021871</v>
      </c>
      <c r="N2070" s="8">
        <v>4.5691343596666592</v>
      </c>
      <c r="O2070" s="8">
        <v>1.5106026558258627</v>
      </c>
      <c r="P2070" s="8">
        <v>2.5041106732064142E-2</v>
      </c>
      <c r="Q2070" t="s">
        <v>26</v>
      </c>
    </row>
    <row r="2071" spans="1:17" x14ac:dyDescent="0.25">
      <c r="A2071" s="7" t="s">
        <v>162</v>
      </c>
      <c r="B2071" s="7" t="s">
        <v>18</v>
      </c>
      <c r="C2071" s="7" t="s">
        <v>19</v>
      </c>
      <c r="D2071" s="7"/>
      <c r="E2071" s="7"/>
      <c r="F2071" s="7" t="s">
        <v>69</v>
      </c>
      <c r="G2071" s="7" t="s">
        <v>70</v>
      </c>
      <c r="H2071" s="7" t="s">
        <v>172</v>
      </c>
      <c r="I2071" s="7" t="s">
        <v>175</v>
      </c>
      <c r="J2071" s="8">
        <v>2.8216350858464548E-3</v>
      </c>
      <c r="K2071" s="8">
        <v>2.4962191975802864E-3</v>
      </c>
      <c r="L2071" s="8">
        <v>4.8732319188684285E-4</v>
      </c>
      <c r="M2071" s="8">
        <v>1.2278823068904563</v>
      </c>
      <c r="N2071" s="8">
        <v>0.60370848353090334</v>
      </c>
      <c r="O2071" s="8">
        <v>5.6535836076268428E-2</v>
      </c>
      <c r="P2071" s="8">
        <v>1.366130258678405E-3</v>
      </c>
      <c r="Q2071" t="s">
        <v>26</v>
      </c>
    </row>
    <row r="2072" spans="1:17" x14ac:dyDescent="0.25">
      <c r="A2072" s="7" t="s">
        <v>162</v>
      </c>
      <c r="B2072" s="7" t="s">
        <v>18</v>
      </c>
      <c r="C2072" s="7" t="s">
        <v>19</v>
      </c>
      <c r="D2072" s="7"/>
      <c r="E2072" s="7"/>
      <c r="F2072" s="7" t="s">
        <v>69</v>
      </c>
      <c r="G2072" s="7" t="s">
        <v>70</v>
      </c>
      <c r="H2072" s="7" t="s">
        <v>172</v>
      </c>
      <c r="I2072" s="7" t="s">
        <v>176</v>
      </c>
      <c r="J2072" s="8">
        <v>2.1939784620042899E-2</v>
      </c>
      <c r="K2072" s="8">
        <v>1.9413001789573291E-2</v>
      </c>
      <c r="L2072" s="8">
        <v>2.6567959940692843E-3</v>
      </c>
      <c r="M2072" s="8">
        <v>5.2226211995285459</v>
      </c>
      <c r="N2072" s="8">
        <v>1.1587572612305115</v>
      </c>
      <c r="O2072" s="8">
        <v>0.56881627791424261</v>
      </c>
      <c r="P2072" s="8">
        <v>8.0909265685173357E-3</v>
      </c>
      <c r="Q2072" t="s">
        <v>26</v>
      </c>
    </row>
    <row r="2073" spans="1:17" x14ac:dyDescent="0.25">
      <c r="A2073" s="7" t="s">
        <v>162</v>
      </c>
      <c r="B2073" s="7" t="s">
        <v>18</v>
      </c>
      <c r="C2073" s="7" t="s">
        <v>19</v>
      </c>
      <c r="D2073" s="7"/>
      <c r="E2073" s="7"/>
      <c r="F2073" s="7" t="s">
        <v>69</v>
      </c>
      <c r="G2073" s="7" t="s">
        <v>70</v>
      </c>
      <c r="H2073" s="7" t="s">
        <v>172</v>
      </c>
      <c r="I2073" s="7" t="s">
        <v>177</v>
      </c>
      <c r="J2073" s="8">
        <v>4.0946934547573316E-3</v>
      </c>
      <c r="K2073" s="8">
        <v>3.6137639775399525E-3</v>
      </c>
      <c r="L2073" s="8">
        <v>3.4471344808019672E-4</v>
      </c>
      <c r="M2073" s="8">
        <v>0.64564962081919597</v>
      </c>
      <c r="N2073" s="8">
        <v>0.16213859214157525</v>
      </c>
      <c r="O2073" s="8">
        <v>5.673172895888378E-2</v>
      </c>
      <c r="P2073" s="8">
        <v>1.270096463022508E-3</v>
      </c>
      <c r="Q2073" t="s">
        <v>26</v>
      </c>
    </row>
    <row r="2074" spans="1:17" x14ac:dyDescent="0.25">
      <c r="A2074" s="7" t="s">
        <v>162</v>
      </c>
      <c r="B2074" s="7" t="s">
        <v>18</v>
      </c>
      <c r="C2074" s="7" t="s">
        <v>19</v>
      </c>
      <c r="D2074" s="7"/>
      <c r="E2074" s="7"/>
      <c r="F2074" s="7" t="s">
        <v>69</v>
      </c>
      <c r="G2074" s="7" t="s">
        <v>70</v>
      </c>
      <c r="H2074" s="7" t="s">
        <v>172</v>
      </c>
      <c r="I2074" s="7" t="s">
        <v>178</v>
      </c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  <c r="Q2074" t="s">
        <v>137</v>
      </c>
    </row>
    <row r="2075" spans="1:17" x14ac:dyDescent="0.25">
      <c r="A2075" s="7" t="s">
        <v>162</v>
      </c>
      <c r="B2075" s="7" t="s">
        <v>18</v>
      </c>
      <c r="C2075" s="7" t="s">
        <v>19</v>
      </c>
      <c r="D2075" s="7"/>
      <c r="E2075" s="7"/>
      <c r="F2075" s="7" t="s">
        <v>69</v>
      </c>
      <c r="G2075" s="7" t="s">
        <v>70</v>
      </c>
      <c r="H2075" s="7" t="s">
        <v>172</v>
      </c>
      <c r="I2075" s="7" t="s">
        <v>179</v>
      </c>
      <c r="J2075" s="8">
        <v>4.8567294764939595E-2</v>
      </c>
      <c r="K2075" s="8">
        <v>4.4579733474406559E-2</v>
      </c>
      <c r="L2075" s="8">
        <v>1.949130431899284E-3</v>
      </c>
      <c r="M2075" s="8">
        <v>4.9238260551449322</v>
      </c>
      <c r="N2075" s="8">
        <v>0.93606081662098273</v>
      </c>
      <c r="O2075" s="8">
        <v>2.2215117875927994</v>
      </c>
      <c r="P2075" s="8">
        <v>4.04382390270652E-3</v>
      </c>
      <c r="Q2075" t="s">
        <v>137</v>
      </c>
    </row>
    <row r="2076" spans="1:17" x14ac:dyDescent="0.25">
      <c r="A2076" s="7" t="s">
        <v>162</v>
      </c>
      <c r="B2076" s="7" t="s">
        <v>18</v>
      </c>
      <c r="C2076" s="7" t="s">
        <v>19</v>
      </c>
      <c r="D2076" s="7"/>
      <c r="E2076" s="7"/>
      <c r="F2076" s="7" t="s">
        <v>69</v>
      </c>
      <c r="G2076" s="7" t="s">
        <v>70</v>
      </c>
      <c r="H2076" s="7" t="s">
        <v>172</v>
      </c>
      <c r="I2076" s="7" t="s">
        <v>180</v>
      </c>
      <c r="J2076" s="8">
        <v>0</v>
      </c>
      <c r="K2076" s="8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  <c r="Q2076" t="s">
        <v>137</v>
      </c>
    </row>
    <row r="2077" spans="1:17" x14ac:dyDescent="0.25">
      <c r="A2077" s="7" t="s">
        <v>162</v>
      </c>
      <c r="B2077" s="7" t="s">
        <v>18</v>
      </c>
      <c r="C2077" s="7" t="s">
        <v>19</v>
      </c>
      <c r="D2077" s="7"/>
      <c r="E2077" s="7"/>
      <c r="F2077" s="7" t="s">
        <v>69</v>
      </c>
      <c r="G2077" s="7" t="s">
        <v>70</v>
      </c>
      <c r="H2077" s="7" t="s">
        <v>172</v>
      </c>
      <c r="I2077" s="7" t="s">
        <v>181</v>
      </c>
      <c r="J2077" s="8">
        <v>0.1653830974340473</v>
      </c>
      <c r="K2077" s="8">
        <v>0.14607495575781249</v>
      </c>
      <c r="L2077" s="8">
        <v>1.171412046739565E-2</v>
      </c>
      <c r="M2077" s="8">
        <v>31.6666761747713</v>
      </c>
      <c r="N2077" s="8">
        <v>6.4666233403620987</v>
      </c>
      <c r="O2077" s="8">
        <v>3.7011566882697342</v>
      </c>
      <c r="P2077" s="8">
        <v>4.0318869734829101E-2</v>
      </c>
      <c r="Q2077" t="s">
        <v>26</v>
      </c>
    </row>
    <row r="2078" spans="1:17" x14ac:dyDescent="0.25">
      <c r="A2078" s="7" t="s">
        <v>162</v>
      </c>
      <c r="B2078" s="7" t="s">
        <v>18</v>
      </c>
      <c r="C2078" s="7" t="s">
        <v>19</v>
      </c>
      <c r="D2078" s="7"/>
      <c r="E2078" s="7"/>
      <c r="F2078" s="7" t="s">
        <v>71</v>
      </c>
      <c r="G2078" s="7" t="s">
        <v>72</v>
      </c>
      <c r="H2078" s="7" t="s">
        <v>172</v>
      </c>
      <c r="I2078" s="7" t="s">
        <v>173</v>
      </c>
      <c r="J2078" s="8">
        <v>1.2956161137440757E-3</v>
      </c>
      <c r="K2078" s="8">
        <v>1.1461295418641391E-3</v>
      </c>
      <c r="L2078" s="8">
        <v>3.6433649289099531E-4</v>
      </c>
      <c r="M2078" s="8">
        <v>1.328251579778831</v>
      </c>
      <c r="N2078" s="8">
        <v>5.6131187467087951E-2</v>
      </c>
      <c r="O2078" s="8">
        <v>0.10131595576619271</v>
      </c>
      <c r="P2078" s="8">
        <v>1.3068720379146922E-3</v>
      </c>
      <c r="Q2078" t="s">
        <v>26</v>
      </c>
    </row>
    <row r="2079" spans="1:17" x14ac:dyDescent="0.25">
      <c r="A2079" s="7" t="s">
        <v>162</v>
      </c>
      <c r="B2079" s="7" t="s">
        <v>18</v>
      </c>
      <c r="C2079" s="7" t="s">
        <v>19</v>
      </c>
      <c r="D2079" s="7"/>
      <c r="E2079" s="7"/>
      <c r="F2079" s="7" t="s">
        <v>71</v>
      </c>
      <c r="G2079" s="7" t="s">
        <v>72</v>
      </c>
      <c r="H2079" s="7" t="s">
        <v>172</v>
      </c>
      <c r="I2079" s="7" t="s">
        <v>174</v>
      </c>
      <c r="J2079" s="8">
        <v>0.1591546539067174</v>
      </c>
      <c r="K2079" s="8">
        <v>0.14079300559521837</v>
      </c>
      <c r="L2079" s="8">
        <v>8.3934889620831989E-3</v>
      </c>
      <c r="M2079" s="8">
        <v>21.882065429570769</v>
      </c>
      <c r="N2079" s="8">
        <v>5.8310857542412586</v>
      </c>
      <c r="O2079" s="8">
        <v>1.9278167226730059</v>
      </c>
      <c r="P2079" s="8">
        <v>3.1957221924729474E-2</v>
      </c>
      <c r="Q2079" t="s">
        <v>26</v>
      </c>
    </row>
    <row r="2080" spans="1:17" x14ac:dyDescent="0.25">
      <c r="A2080" s="7" t="s">
        <v>162</v>
      </c>
      <c r="B2080" s="7" t="s">
        <v>18</v>
      </c>
      <c r="C2080" s="7" t="s">
        <v>19</v>
      </c>
      <c r="D2080" s="7"/>
      <c r="E2080" s="7"/>
      <c r="F2080" s="7" t="s">
        <v>71</v>
      </c>
      <c r="G2080" s="7" t="s">
        <v>72</v>
      </c>
      <c r="H2080" s="7" t="s">
        <v>172</v>
      </c>
      <c r="I2080" s="7" t="s">
        <v>175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  <c r="O2080" s="8">
        <v>0</v>
      </c>
      <c r="P2080" s="8">
        <v>0</v>
      </c>
      <c r="Q2080" t="s">
        <v>26</v>
      </c>
    </row>
    <row r="2081" spans="1:17" x14ac:dyDescent="0.25">
      <c r="A2081" s="7" t="s">
        <v>162</v>
      </c>
      <c r="B2081" s="7" t="s">
        <v>18</v>
      </c>
      <c r="C2081" s="7" t="s">
        <v>19</v>
      </c>
      <c r="D2081" s="7"/>
      <c r="E2081" s="7"/>
      <c r="F2081" s="7" t="s">
        <v>71</v>
      </c>
      <c r="G2081" s="7" t="s">
        <v>72</v>
      </c>
      <c r="H2081" s="7" t="s">
        <v>172</v>
      </c>
      <c r="I2081" s="7" t="s">
        <v>176</v>
      </c>
      <c r="J2081" s="8">
        <v>3.4966531738193377E-2</v>
      </c>
      <c r="K2081" s="8">
        <v>3.093947160213243E-2</v>
      </c>
      <c r="L2081" s="8">
        <v>4.2342686155479219E-3</v>
      </c>
      <c r="M2081" s="8">
        <v>8.3235525367486201</v>
      </c>
      <c r="N2081" s="8">
        <v>1.8467693850861275</v>
      </c>
      <c r="O2081" s="8">
        <v>0.90655094292582417</v>
      </c>
      <c r="P2081" s="8">
        <v>1.2894914218574501E-2</v>
      </c>
      <c r="Q2081" t="s">
        <v>26</v>
      </c>
    </row>
    <row r="2082" spans="1:17" x14ac:dyDescent="0.25">
      <c r="A2082" s="7" t="s">
        <v>162</v>
      </c>
      <c r="B2082" s="7" t="s">
        <v>18</v>
      </c>
      <c r="C2082" s="7" t="s">
        <v>19</v>
      </c>
      <c r="D2082" s="7"/>
      <c r="E2082" s="7"/>
      <c r="F2082" s="7" t="s">
        <v>71</v>
      </c>
      <c r="G2082" s="7" t="s">
        <v>72</v>
      </c>
      <c r="H2082" s="7" t="s">
        <v>172</v>
      </c>
      <c r="I2082" s="7" t="s">
        <v>177</v>
      </c>
      <c r="J2082" s="8">
        <v>0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t="s">
        <v>26</v>
      </c>
    </row>
    <row r="2083" spans="1:17" x14ac:dyDescent="0.25">
      <c r="A2083" s="7" t="s">
        <v>162</v>
      </c>
      <c r="B2083" s="7" t="s">
        <v>18</v>
      </c>
      <c r="C2083" s="7" t="s">
        <v>19</v>
      </c>
      <c r="D2083" s="7"/>
      <c r="E2083" s="7"/>
      <c r="F2083" s="7" t="s">
        <v>71</v>
      </c>
      <c r="G2083" s="7" t="s">
        <v>72</v>
      </c>
      <c r="H2083" s="7" t="s">
        <v>172</v>
      </c>
      <c r="I2083" s="7" t="s">
        <v>178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t="s">
        <v>137</v>
      </c>
    </row>
    <row r="2084" spans="1:17" x14ac:dyDescent="0.25">
      <c r="A2084" s="7" t="s">
        <v>162</v>
      </c>
      <c r="B2084" s="7" t="s">
        <v>18</v>
      </c>
      <c r="C2084" s="7" t="s">
        <v>19</v>
      </c>
      <c r="D2084" s="7"/>
      <c r="E2084" s="7"/>
      <c r="F2084" s="7" t="s">
        <v>71</v>
      </c>
      <c r="G2084" s="7" t="s">
        <v>72</v>
      </c>
      <c r="H2084" s="7" t="s">
        <v>172</v>
      </c>
      <c r="I2084" s="7" t="s">
        <v>179</v>
      </c>
      <c r="J2084" s="8">
        <v>0.11699891199674588</v>
      </c>
      <c r="K2084" s="8">
        <v>0.10753989203451049</v>
      </c>
      <c r="L2084" s="8">
        <v>3.7008663341875007E-3</v>
      </c>
      <c r="M2084" s="8">
        <v>6.7106663453146815</v>
      </c>
      <c r="N2084" s="8">
        <v>2.1886693750492872</v>
      </c>
      <c r="O2084" s="8">
        <v>3.9611575338605673</v>
      </c>
      <c r="P2084" s="8">
        <v>8.2439158152274195E-3</v>
      </c>
      <c r="Q2084" t="s">
        <v>137</v>
      </c>
    </row>
    <row r="2085" spans="1:17" x14ac:dyDescent="0.25">
      <c r="A2085" s="7" t="s">
        <v>162</v>
      </c>
      <c r="B2085" s="7" t="s">
        <v>18</v>
      </c>
      <c r="C2085" s="7" t="s">
        <v>19</v>
      </c>
      <c r="D2085" s="7"/>
      <c r="E2085" s="7"/>
      <c r="F2085" s="7" t="s">
        <v>71</v>
      </c>
      <c r="G2085" s="7" t="s">
        <v>72</v>
      </c>
      <c r="H2085" s="7" t="s">
        <v>172</v>
      </c>
      <c r="I2085" s="7" t="s">
        <v>180</v>
      </c>
      <c r="J2085" s="8">
        <v>0.25627849391886975</v>
      </c>
      <c r="K2085" s="8">
        <v>0.23576651372806059</v>
      </c>
      <c r="L2085" s="8">
        <v>5.3561284684291019E-3</v>
      </c>
      <c r="M2085" s="8">
        <v>10.276758429830311</v>
      </c>
      <c r="N2085" s="8">
        <v>4.5162144053601327</v>
      </c>
      <c r="O2085" s="8">
        <v>8.4778654140266543</v>
      </c>
      <c r="P2085" s="8">
        <v>1.2684800815672565E-2</v>
      </c>
      <c r="Q2085" t="s">
        <v>137</v>
      </c>
    </row>
    <row r="2086" spans="1:17" x14ac:dyDescent="0.25">
      <c r="A2086" s="7" t="s">
        <v>162</v>
      </c>
      <c r="B2086" s="7" t="s">
        <v>18</v>
      </c>
      <c r="C2086" s="7" t="s">
        <v>19</v>
      </c>
      <c r="D2086" s="7"/>
      <c r="E2086" s="7"/>
      <c r="F2086" s="7" t="s">
        <v>71</v>
      </c>
      <c r="G2086" s="7" t="s">
        <v>72</v>
      </c>
      <c r="H2086" s="7" t="s">
        <v>172</v>
      </c>
      <c r="I2086" s="7" t="s">
        <v>181</v>
      </c>
      <c r="J2086" s="8">
        <v>0.30353827687967844</v>
      </c>
      <c r="K2086" s="8">
        <v>0.26827087272929617</v>
      </c>
      <c r="L2086" s="8">
        <v>2.1386400245517561E-2</v>
      </c>
      <c r="M2086" s="8">
        <v>55.998961202648836</v>
      </c>
      <c r="N2086" s="8">
        <v>11.493888950736061</v>
      </c>
      <c r="O2086" s="8">
        <v>6.4120102874062379</v>
      </c>
      <c r="P2086" s="8">
        <v>7.3722478257292862E-2</v>
      </c>
      <c r="Q2086" t="s">
        <v>26</v>
      </c>
    </row>
    <row r="2087" spans="1:17" x14ac:dyDescent="0.25">
      <c r="A2087" s="7" t="s">
        <v>162</v>
      </c>
      <c r="B2087" s="7" t="s">
        <v>18</v>
      </c>
      <c r="C2087" s="7" t="s">
        <v>19</v>
      </c>
      <c r="D2087" s="7" t="s">
        <v>20</v>
      </c>
      <c r="E2087" s="7" t="s">
        <v>21</v>
      </c>
      <c r="F2087" s="7" t="s">
        <v>73</v>
      </c>
      <c r="G2087" s="7" t="s">
        <v>74</v>
      </c>
      <c r="H2087" s="7" t="s">
        <v>172</v>
      </c>
      <c r="I2087" s="7" t="s">
        <v>173</v>
      </c>
      <c r="J2087" s="8">
        <v>7.5577606635071098E-2</v>
      </c>
      <c r="K2087" s="8">
        <v>6.6857556608741445E-2</v>
      </c>
      <c r="L2087" s="8">
        <v>2.1252962085308063E-2</v>
      </c>
      <c r="M2087" s="8">
        <v>77.481342153765141</v>
      </c>
      <c r="N2087" s="8">
        <v>3.2743192689134641</v>
      </c>
      <c r="O2087" s="8">
        <v>5.9100974196945746</v>
      </c>
      <c r="P2087" s="8">
        <v>7.6234202211690374E-2</v>
      </c>
      <c r="Q2087" t="s">
        <v>26</v>
      </c>
    </row>
    <row r="2088" spans="1:17" x14ac:dyDescent="0.25">
      <c r="A2088" s="7" t="s">
        <v>162</v>
      </c>
      <c r="B2088" s="7" t="s">
        <v>18</v>
      </c>
      <c r="C2088" s="7" t="s">
        <v>19</v>
      </c>
      <c r="D2088" s="7" t="s">
        <v>20</v>
      </c>
      <c r="E2088" s="7" t="s">
        <v>21</v>
      </c>
      <c r="F2088" s="7" t="s">
        <v>73</v>
      </c>
      <c r="G2088" s="7" t="s">
        <v>74</v>
      </c>
      <c r="H2088" s="7" t="s">
        <v>172</v>
      </c>
      <c r="I2088" s="7" t="s">
        <v>174</v>
      </c>
      <c r="J2088" s="8">
        <v>3.0595700631619702</v>
      </c>
      <c r="K2088" s="8">
        <v>2.7065879284573326</v>
      </c>
      <c r="L2088" s="8">
        <v>0.16135542959945012</v>
      </c>
      <c r="M2088" s="8">
        <v>420.65821303413662</v>
      </c>
      <c r="N2088" s="8">
        <v>112.09609629048867</v>
      </c>
      <c r="O2088" s="8">
        <v>37.060118489594501</v>
      </c>
      <c r="P2088" s="8">
        <v>0.61434181849330693</v>
      </c>
      <c r="Q2088" t="s">
        <v>26</v>
      </c>
    </row>
    <row r="2089" spans="1:17" x14ac:dyDescent="0.25">
      <c r="A2089" s="7" t="s">
        <v>162</v>
      </c>
      <c r="B2089" s="7" t="s">
        <v>18</v>
      </c>
      <c r="C2089" s="7" t="s">
        <v>19</v>
      </c>
      <c r="D2089" s="7" t="s">
        <v>20</v>
      </c>
      <c r="E2089" s="7" t="s">
        <v>21</v>
      </c>
      <c r="F2089" s="7" t="s">
        <v>73</v>
      </c>
      <c r="G2089" s="7" t="s">
        <v>74</v>
      </c>
      <c r="H2089" s="7" t="s">
        <v>172</v>
      </c>
      <c r="I2089" s="7" t="s">
        <v>175</v>
      </c>
      <c r="J2089" s="8">
        <v>0.27228778578418289</v>
      </c>
      <c r="K2089" s="8">
        <v>0.24088515256649765</v>
      </c>
      <c r="L2089" s="8">
        <v>4.7026688017080334E-2</v>
      </c>
      <c r="M2089" s="8">
        <v>118.49064261492903</v>
      </c>
      <c r="N2089" s="8">
        <v>58.257868660732179</v>
      </c>
      <c r="O2089" s="8">
        <v>5.4557081813599018</v>
      </c>
      <c r="P2089" s="8">
        <v>0.13183156996246606</v>
      </c>
      <c r="Q2089" t="s">
        <v>26</v>
      </c>
    </row>
    <row r="2090" spans="1:17" x14ac:dyDescent="0.25">
      <c r="A2090" s="7" t="s">
        <v>162</v>
      </c>
      <c r="B2090" s="7" t="s">
        <v>18</v>
      </c>
      <c r="C2090" s="7" t="s">
        <v>19</v>
      </c>
      <c r="D2090" s="7" t="s">
        <v>20</v>
      </c>
      <c r="E2090" s="7" t="s">
        <v>21</v>
      </c>
      <c r="F2090" s="7" t="s">
        <v>73</v>
      </c>
      <c r="G2090" s="7" t="s">
        <v>74</v>
      </c>
      <c r="H2090" s="7" t="s">
        <v>172</v>
      </c>
      <c r="I2090" s="7" t="s">
        <v>176</v>
      </c>
      <c r="J2090" s="8">
        <v>0.40999972508705168</v>
      </c>
      <c r="K2090" s="8">
        <v>0.36278047094265081</v>
      </c>
      <c r="L2090" s="8">
        <v>4.9648875139169754E-2</v>
      </c>
      <c r="M2090" s="8">
        <v>97.597733666189711</v>
      </c>
      <c r="N2090" s="8">
        <v>21.654276319245181</v>
      </c>
      <c r="O2090" s="8">
        <v>10.629754193522409</v>
      </c>
      <c r="P2090" s="8">
        <v>0.1511991902491677</v>
      </c>
      <c r="Q2090" t="s">
        <v>26</v>
      </c>
    </row>
    <row r="2091" spans="1:17" x14ac:dyDescent="0.25">
      <c r="A2091" s="7" t="s">
        <v>162</v>
      </c>
      <c r="B2091" s="7" t="s">
        <v>18</v>
      </c>
      <c r="C2091" s="7" t="s">
        <v>19</v>
      </c>
      <c r="D2091" s="7" t="s">
        <v>20</v>
      </c>
      <c r="E2091" s="7" t="s">
        <v>21</v>
      </c>
      <c r="F2091" s="7" t="s">
        <v>73</v>
      </c>
      <c r="G2091" s="7" t="s">
        <v>74</v>
      </c>
      <c r="H2091" s="7" t="s">
        <v>172</v>
      </c>
      <c r="I2091" s="7" t="s">
        <v>177</v>
      </c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t="s">
        <v>26</v>
      </c>
    </row>
    <row r="2092" spans="1:17" x14ac:dyDescent="0.25">
      <c r="A2092" s="7" t="s">
        <v>162</v>
      </c>
      <c r="B2092" s="7" t="s">
        <v>18</v>
      </c>
      <c r="C2092" s="7" t="s">
        <v>19</v>
      </c>
      <c r="D2092" s="7" t="s">
        <v>20</v>
      </c>
      <c r="E2092" s="7" t="s">
        <v>21</v>
      </c>
      <c r="F2092" s="7" t="s">
        <v>73</v>
      </c>
      <c r="G2092" s="7" t="s">
        <v>74</v>
      </c>
      <c r="H2092" s="7" t="s">
        <v>172</v>
      </c>
      <c r="I2092" s="7" t="s">
        <v>178</v>
      </c>
      <c r="J2092" s="8">
        <v>0.42618939984411547</v>
      </c>
      <c r="K2092" s="8">
        <v>0.39208807482462987</v>
      </c>
      <c r="L2092" s="8">
        <v>6.5705378020265012E-3</v>
      </c>
      <c r="M2092" s="8">
        <v>10.794625487139516</v>
      </c>
      <c r="N2092" s="8">
        <v>5.9802053780202646</v>
      </c>
      <c r="O2092" s="8">
        <v>7.6924910366328927</v>
      </c>
      <c r="P2092" s="8">
        <v>1.1733437256430237E-2</v>
      </c>
      <c r="Q2092" t="s">
        <v>137</v>
      </c>
    </row>
    <row r="2093" spans="1:17" x14ac:dyDescent="0.25">
      <c r="A2093" s="7" t="s">
        <v>162</v>
      </c>
      <c r="B2093" s="7" t="s">
        <v>18</v>
      </c>
      <c r="C2093" s="7" t="s">
        <v>19</v>
      </c>
      <c r="D2093" s="7" t="s">
        <v>20</v>
      </c>
      <c r="E2093" s="7" t="s">
        <v>21</v>
      </c>
      <c r="F2093" s="7" t="s">
        <v>73</v>
      </c>
      <c r="G2093" s="7" t="s">
        <v>74</v>
      </c>
      <c r="H2093" s="7" t="s">
        <v>172</v>
      </c>
      <c r="I2093" s="7" t="s">
        <v>179</v>
      </c>
      <c r="J2093" s="8">
        <v>1.6210666620979775</v>
      </c>
      <c r="K2093" s="8">
        <v>1.4897843578317869</v>
      </c>
      <c r="L2093" s="8">
        <v>5.2790829705276564E-2</v>
      </c>
      <c r="M2093" s="8">
        <v>100.81891379441248</v>
      </c>
      <c r="N2093" s="8">
        <v>30.425811953218147</v>
      </c>
      <c r="O2093" s="8">
        <v>56.999819472120599</v>
      </c>
      <c r="P2093" s="8">
        <v>0.11650231603106208</v>
      </c>
      <c r="Q2093" t="s">
        <v>137</v>
      </c>
    </row>
    <row r="2094" spans="1:17" x14ac:dyDescent="0.25">
      <c r="A2094" s="7" t="s">
        <v>162</v>
      </c>
      <c r="B2094" s="7" t="s">
        <v>18</v>
      </c>
      <c r="C2094" s="7" t="s">
        <v>19</v>
      </c>
      <c r="D2094" s="7" t="s">
        <v>20</v>
      </c>
      <c r="E2094" s="7" t="s">
        <v>21</v>
      </c>
      <c r="F2094" s="7" t="s">
        <v>73</v>
      </c>
      <c r="G2094" s="7" t="s">
        <v>74</v>
      </c>
      <c r="H2094" s="7" t="s">
        <v>172</v>
      </c>
      <c r="I2094" s="7" t="s">
        <v>180</v>
      </c>
      <c r="J2094" s="8">
        <v>5.561243318039474</v>
      </c>
      <c r="K2094" s="8">
        <v>5.1161333478989146</v>
      </c>
      <c r="L2094" s="8">
        <v>0.11622798776491151</v>
      </c>
      <c r="M2094" s="8">
        <v>223.00565792731774</v>
      </c>
      <c r="N2094" s="8">
        <v>98.001852596314862</v>
      </c>
      <c r="O2094" s="8">
        <v>183.96967948437842</v>
      </c>
      <c r="P2094" s="8">
        <v>0.2752601777000947</v>
      </c>
      <c r="Q2094" t="s">
        <v>137</v>
      </c>
    </row>
    <row r="2095" spans="1:17" x14ac:dyDescent="0.25">
      <c r="A2095" s="7" t="s">
        <v>162</v>
      </c>
      <c r="B2095" s="7" t="s">
        <v>18</v>
      </c>
      <c r="C2095" s="7" t="s">
        <v>19</v>
      </c>
      <c r="D2095" s="7" t="s">
        <v>20</v>
      </c>
      <c r="E2095" s="7" t="s">
        <v>21</v>
      </c>
      <c r="F2095" s="7" t="s">
        <v>73</v>
      </c>
      <c r="G2095" s="7" t="s">
        <v>74</v>
      </c>
      <c r="H2095" s="7" t="s">
        <v>172</v>
      </c>
      <c r="I2095" s="7" t="s">
        <v>181</v>
      </c>
      <c r="J2095" s="8">
        <v>1.4308452492284283</v>
      </c>
      <c r="K2095" s="8">
        <v>1.2689466003979459</v>
      </c>
      <c r="L2095" s="8">
        <v>9.192390816267304E-2</v>
      </c>
      <c r="M2095" s="8">
        <v>240.98065117711721</v>
      </c>
      <c r="N2095" s="8">
        <v>50.094970235509081</v>
      </c>
      <c r="O2095" s="8">
        <v>27.658489317347797</v>
      </c>
      <c r="P2095" s="8">
        <v>0.31758059528650417</v>
      </c>
      <c r="Q2095" t="s">
        <v>26</v>
      </c>
    </row>
    <row r="2096" spans="1:17" x14ac:dyDescent="0.25">
      <c r="A2096" s="7" t="s">
        <v>162</v>
      </c>
      <c r="B2096" s="7" t="s">
        <v>18</v>
      </c>
      <c r="C2096" s="7" t="s">
        <v>19</v>
      </c>
      <c r="D2096" s="7" t="s">
        <v>20</v>
      </c>
      <c r="E2096" s="7" t="s">
        <v>21</v>
      </c>
      <c r="F2096" s="7" t="s">
        <v>75</v>
      </c>
      <c r="G2096" s="7" t="s">
        <v>76</v>
      </c>
      <c r="H2096" s="7" t="s">
        <v>172</v>
      </c>
      <c r="I2096" s="7" t="s">
        <v>173</v>
      </c>
      <c r="J2096" s="8">
        <v>2.7052464454976302</v>
      </c>
      <c r="K2096" s="8">
        <v>2.393118483412322</v>
      </c>
      <c r="L2096" s="8">
        <v>0.76073459715639835</v>
      </c>
      <c r="M2096" s="8">
        <v>2773.389298578199</v>
      </c>
      <c r="N2096" s="8">
        <v>117.20191943127965</v>
      </c>
      <c r="O2096" s="8">
        <v>211.54771563981035</v>
      </c>
      <c r="P2096" s="8">
        <v>2.7287488151658765</v>
      </c>
      <c r="Q2096" t="s">
        <v>26</v>
      </c>
    </row>
    <row r="2097" spans="1:17" x14ac:dyDescent="0.25">
      <c r="A2097" s="7" t="s">
        <v>162</v>
      </c>
      <c r="B2097" s="7" t="s">
        <v>18</v>
      </c>
      <c r="C2097" s="7" t="s">
        <v>19</v>
      </c>
      <c r="D2097" s="7" t="s">
        <v>20</v>
      </c>
      <c r="E2097" s="7" t="s">
        <v>21</v>
      </c>
      <c r="F2097" s="7" t="s">
        <v>75</v>
      </c>
      <c r="G2097" s="7" t="s">
        <v>76</v>
      </c>
      <c r="H2097" s="7" t="s">
        <v>172</v>
      </c>
      <c r="I2097" s="7" t="s">
        <v>174</v>
      </c>
      <c r="J2097" s="8">
        <v>137.68564029811205</v>
      </c>
      <c r="K2097" s="8">
        <v>121.80180375696145</v>
      </c>
      <c r="L2097" s="8">
        <v>7.2628710273140999</v>
      </c>
      <c r="M2097" s="8">
        <v>18939.530874230335</v>
      </c>
      <c r="N2097" s="8">
        <v>5047.4058792201213</v>
      </c>
      <c r="O2097" s="8">
        <v>1667.5410678222429</v>
      </c>
      <c r="P2097" s="8">
        <v>27.648855418709157</v>
      </c>
      <c r="Q2097" t="s">
        <v>26</v>
      </c>
    </row>
    <row r="2098" spans="1:17" x14ac:dyDescent="0.25">
      <c r="A2098" s="7" t="s">
        <v>162</v>
      </c>
      <c r="B2098" s="7" t="s">
        <v>18</v>
      </c>
      <c r="C2098" s="7" t="s">
        <v>19</v>
      </c>
      <c r="D2098" s="7" t="s">
        <v>20</v>
      </c>
      <c r="E2098" s="7" t="s">
        <v>21</v>
      </c>
      <c r="F2098" s="7" t="s">
        <v>75</v>
      </c>
      <c r="G2098" s="7" t="s">
        <v>76</v>
      </c>
      <c r="H2098" s="7" t="s">
        <v>172</v>
      </c>
      <c r="I2098" s="7" t="s">
        <v>175</v>
      </c>
      <c r="J2098" s="8">
        <v>8.2532826261008818</v>
      </c>
      <c r="K2098" s="8">
        <v>7.3014411529223393</v>
      </c>
      <c r="L2098" s="8">
        <v>1.4254203362690154</v>
      </c>
      <c r="M2098" s="8">
        <v>3591.6174285420502</v>
      </c>
      <c r="N2098" s="8">
        <v>1766.0593411817695</v>
      </c>
      <c r="O2098" s="8">
        <v>165.36732052308514</v>
      </c>
      <c r="P2098" s="8">
        <v>3.9967742544431539</v>
      </c>
      <c r="Q2098" t="s">
        <v>26</v>
      </c>
    </row>
    <row r="2099" spans="1:17" x14ac:dyDescent="0.25">
      <c r="A2099" s="7" t="s">
        <v>162</v>
      </c>
      <c r="B2099" s="7" t="s">
        <v>18</v>
      </c>
      <c r="C2099" s="7" t="s">
        <v>19</v>
      </c>
      <c r="D2099" s="7" t="s">
        <v>20</v>
      </c>
      <c r="E2099" s="7" t="s">
        <v>21</v>
      </c>
      <c r="F2099" s="7" t="s">
        <v>75</v>
      </c>
      <c r="G2099" s="7" t="s">
        <v>76</v>
      </c>
      <c r="H2099" s="7" t="s">
        <v>172</v>
      </c>
      <c r="I2099" s="7" t="s">
        <v>176</v>
      </c>
      <c r="J2099" s="8">
        <v>22.64189393317681</v>
      </c>
      <c r="K2099" s="8">
        <v>20.073789805927998</v>
      </c>
      <c r="L2099" s="8">
        <v>2.6156163938912216</v>
      </c>
      <c r="M2099" s="8">
        <v>5131.4822126926383</v>
      </c>
      <c r="N2099" s="8">
        <v>1145.055453911634</v>
      </c>
      <c r="O2099" s="8">
        <v>558.70413401144924</v>
      </c>
      <c r="P2099" s="8">
        <v>7.9862597459887876</v>
      </c>
      <c r="Q2099" t="s">
        <v>26</v>
      </c>
    </row>
    <row r="2100" spans="1:17" x14ac:dyDescent="0.25">
      <c r="A2100" s="7" t="s">
        <v>162</v>
      </c>
      <c r="B2100" s="7" t="s">
        <v>18</v>
      </c>
      <c r="C2100" s="7" t="s">
        <v>19</v>
      </c>
      <c r="D2100" s="7" t="s">
        <v>20</v>
      </c>
      <c r="E2100" s="7" t="s">
        <v>21</v>
      </c>
      <c r="F2100" s="7" t="s">
        <v>75</v>
      </c>
      <c r="G2100" s="7" t="s">
        <v>76</v>
      </c>
      <c r="H2100" s="7" t="s">
        <v>172</v>
      </c>
      <c r="I2100" s="7" t="s">
        <v>177</v>
      </c>
      <c r="J2100" s="8">
        <v>1.2284080364271996E-2</v>
      </c>
      <c r="K2100" s="8">
        <v>1.0841291932619856E-2</v>
      </c>
      <c r="L2100" s="8">
        <v>1.03414034424059E-3</v>
      </c>
      <c r="M2100" s="8">
        <v>1.9369488624575883</v>
      </c>
      <c r="N2100" s="8">
        <v>0.48641577642472567</v>
      </c>
      <c r="O2100" s="8">
        <v>0.17019518687665131</v>
      </c>
      <c r="P2100" s="8">
        <v>3.8102893890675244E-3</v>
      </c>
      <c r="Q2100" t="s">
        <v>26</v>
      </c>
    </row>
    <row r="2101" spans="1:17" x14ac:dyDescent="0.25">
      <c r="A2101" s="7" t="s">
        <v>162</v>
      </c>
      <c r="B2101" s="7" t="s">
        <v>18</v>
      </c>
      <c r="C2101" s="7" t="s">
        <v>19</v>
      </c>
      <c r="D2101" s="7" t="s">
        <v>20</v>
      </c>
      <c r="E2101" s="7" t="s">
        <v>21</v>
      </c>
      <c r="F2101" s="7" t="s">
        <v>75</v>
      </c>
      <c r="G2101" s="7" t="s">
        <v>76</v>
      </c>
      <c r="H2101" s="7" t="s">
        <v>172</v>
      </c>
      <c r="I2101" s="7" t="s">
        <v>178</v>
      </c>
      <c r="J2101" s="8">
        <v>48.869717848791893</v>
      </c>
      <c r="K2101" s="8">
        <v>44.95943257989088</v>
      </c>
      <c r="L2101" s="8">
        <v>0.75342166796570542</v>
      </c>
      <c r="M2101" s="8">
        <v>1237.7837225253313</v>
      </c>
      <c r="N2101" s="8">
        <v>685.73021667965713</v>
      </c>
      <c r="O2101" s="8">
        <v>882.07230553390502</v>
      </c>
      <c r="P2101" s="8">
        <v>1.3454341387373341</v>
      </c>
      <c r="Q2101" t="s">
        <v>137</v>
      </c>
    </row>
    <row r="2102" spans="1:17" x14ac:dyDescent="0.25">
      <c r="A2102" s="7" t="s">
        <v>162</v>
      </c>
      <c r="B2102" s="7" t="s">
        <v>18</v>
      </c>
      <c r="C2102" s="7" t="s">
        <v>19</v>
      </c>
      <c r="D2102" s="7" t="s">
        <v>20</v>
      </c>
      <c r="E2102" s="7" t="s">
        <v>21</v>
      </c>
      <c r="F2102" s="7" t="s">
        <v>75</v>
      </c>
      <c r="G2102" s="7" t="s">
        <v>76</v>
      </c>
      <c r="H2102" s="7" t="s">
        <v>172</v>
      </c>
      <c r="I2102" s="7" t="s">
        <v>179</v>
      </c>
      <c r="J2102" s="8">
        <v>50.398099774139567</v>
      </c>
      <c r="K2102" s="8">
        <v>46.31403890663826</v>
      </c>
      <c r="L2102" s="8">
        <v>1.658581425688914</v>
      </c>
      <c r="M2102" s="8">
        <v>3251.5593944535294</v>
      </c>
      <c r="N2102" s="8">
        <v>952.51191173101006</v>
      </c>
      <c r="O2102" s="8">
        <v>1796.3394962574446</v>
      </c>
      <c r="P2102" s="8">
        <v>3.7809609100248052</v>
      </c>
      <c r="Q2102" t="s">
        <v>137</v>
      </c>
    </row>
    <row r="2103" spans="1:17" x14ac:dyDescent="0.25">
      <c r="A2103" s="7" t="s">
        <v>162</v>
      </c>
      <c r="B2103" s="7" t="s">
        <v>18</v>
      </c>
      <c r="C2103" s="7" t="s">
        <v>19</v>
      </c>
      <c r="D2103" s="7" t="s">
        <v>20</v>
      </c>
      <c r="E2103" s="7" t="s">
        <v>21</v>
      </c>
      <c r="F2103" s="7" t="s">
        <v>75</v>
      </c>
      <c r="G2103" s="7" t="s">
        <v>76</v>
      </c>
      <c r="H2103" s="7" t="s">
        <v>172</v>
      </c>
      <c r="I2103" s="7" t="s">
        <v>180</v>
      </c>
      <c r="J2103" s="8">
        <v>60.94302585390723</v>
      </c>
      <c r="K2103" s="8">
        <v>56.065276964532806</v>
      </c>
      <c r="L2103" s="8">
        <v>1.2736873497924404</v>
      </c>
      <c r="M2103" s="8">
        <v>2443.8131546136478</v>
      </c>
      <c r="N2103" s="8">
        <v>1073.9557855946396</v>
      </c>
      <c r="O2103" s="8">
        <v>2016.0363954555382</v>
      </c>
      <c r="P2103" s="8">
        <v>3.0164456339669359</v>
      </c>
      <c r="Q2103" t="s">
        <v>137</v>
      </c>
    </row>
    <row r="2104" spans="1:17" x14ac:dyDescent="0.25">
      <c r="A2104" s="7" t="s">
        <v>162</v>
      </c>
      <c r="B2104" s="7" t="s">
        <v>18</v>
      </c>
      <c r="C2104" s="7" t="s">
        <v>19</v>
      </c>
      <c r="D2104" s="7" t="s">
        <v>20</v>
      </c>
      <c r="E2104" s="7" t="s">
        <v>21</v>
      </c>
      <c r="F2104" s="7" t="s">
        <v>75</v>
      </c>
      <c r="G2104" s="7" t="s">
        <v>76</v>
      </c>
      <c r="H2104" s="7" t="s">
        <v>172</v>
      </c>
      <c r="I2104" s="7" t="s">
        <v>181</v>
      </c>
      <c r="J2104" s="8">
        <v>71.817987819268083</v>
      </c>
      <c r="K2104" s="8">
        <v>63.778191187713503</v>
      </c>
      <c r="L2104" s="8">
        <v>4.4263249768743975</v>
      </c>
      <c r="M2104" s="8">
        <v>11387.305140123954</v>
      </c>
      <c r="N2104" s="8">
        <v>2397.9096661473186</v>
      </c>
      <c r="O2104" s="8">
        <v>1287.854551978342</v>
      </c>
      <c r="P2104" s="8">
        <v>15.529640580533755</v>
      </c>
      <c r="Q2104" t="s">
        <v>26</v>
      </c>
    </row>
    <row r="2105" spans="1:17" x14ac:dyDescent="0.25">
      <c r="A2105" s="7" t="s">
        <v>162</v>
      </c>
      <c r="B2105" s="7" t="s">
        <v>18</v>
      </c>
      <c r="C2105" s="7" t="s">
        <v>19</v>
      </c>
      <c r="D2105" s="7" t="s">
        <v>20</v>
      </c>
      <c r="E2105" s="7" t="s">
        <v>21</v>
      </c>
      <c r="F2105" s="7" t="s">
        <v>116</v>
      </c>
      <c r="G2105" s="7" t="s">
        <v>117</v>
      </c>
      <c r="H2105" s="7" t="s">
        <v>172</v>
      </c>
      <c r="I2105" s="7" t="s">
        <v>173</v>
      </c>
      <c r="J2105" s="8">
        <v>9.9330568720379132E-3</v>
      </c>
      <c r="K2105" s="8">
        <v>8.7869931542917338E-3</v>
      </c>
      <c r="L2105" s="8">
        <v>2.7932464454976315E-3</v>
      </c>
      <c r="M2105" s="8">
        <v>10.183262111637704</v>
      </c>
      <c r="N2105" s="8">
        <v>0.43033910391434083</v>
      </c>
      <c r="O2105" s="8">
        <v>0.77675566087414405</v>
      </c>
      <c r="P2105" s="8">
        <v>1.0019352290679306E-2</v>
      </c>
      <c r="Q2105" t="s">
        <v>26</v>
      </c>
    </row>
    <row r="2106" spans="1:17" x14ac:dyDescent="0.25">
      <c r="A2106" s="7" t="s">
        <v>162</v>
      </c>
      <c r="B2106" s="7" t="s">
        <v>18</v>
      </c>
      <c r="C2106" s="7" t="s">
        <v>19</v>
      </c>
      <c r="D2106" s="7" t="s">
        <v>20</v>
      </c>
      <c r="E2106" s="7" t="s">
        <v>21</v>
      </c>
      <c r="F2106" s="7" t="s">
        <v>116</v>
      </c>
      <c r="G2106" s="7" t="s">
        <v>117</v>
      </c>
      <c r="H2106" s="7" t="s">
        <v>172</v>
      </c>
      <c r="I2106" s="7" t="s">
        <v>174</v>
      </c>
      <c r="J2106" s="8">
        <v>2.2008475648443833</v>
      </c>
      <c r="K2106" s="8">
        <v>1.946936114686117</v>
      </c>
      <c r="L2106" s="8">
        <v>0.11606817199059823</v>
      </c>
      <c r="M2106" s="8">
        <v>302.59303911190028</v>
      </c>
      <c r="N2106" s="8">
        <v>80.634342556783963</v>
      </c>
      <c r="O2106" s="8">
        <v>26.658540202336415</v>
      </c>
      <c r="P2106" s="8">
        <v>0.44191591213823678</v>
      </c>
      <c r="Q2106" t="s">
        <v>26</v>
      </c>
    </row>
    <row r="2107" spans="1:17" x14ac:dyDescent="0.25">
      <c r="A2107" s="7" t="s">
        <v>162</v>
      </c>
      <c r="B2107" s="7" t="s">
        <v>18</v>
      </c>
      <c r="C2107" s="7" t="s">
        <v>19</v>
      </c>
      <c r="D2107" s="7" t="s">
        <v>20</v>
      </c>
      <c r="E2107" s="7" t="s">
        <v>21</v>
      </c>
      <c r="F2107" s="7" t="s">
        <v>116</v>
      </c>
      <c r="G2107" s="7" t="s">
        <v>117</v>
      </c>
      <c r="H2107" s="7" t="s">
        <v>172</v>
      </c>
      <c r="I2107" s="7" t="s">
        <v>175</v>
      </c>
      <c r="J2107" s="8">
        <v>5.7843519259852316E-2</v>
      </c>
      <c r="K2107" s="8">
        <v>5.1172493550395881E-2</v>
      </c>
      <c r="L2107" s="8">
        <v>9.9901254336802782E-3</v>
      </c>
      <c r="M2107" s="8">
        <v>25.171587291254351</v>
      </c>
      <c r="N2107" s="8">
        <v>12.376023912383518</v>
      </c>
      <c r="O2107" s="8">
        <v>1.1589846395635028</v>
      </c>
      <c r="P2107" s="8">
        <v>2.80056703029073E-2</v>
      </c>
      <c r="Q2107" t="s">
        <v>26</v>
      </c>
    </row>
    <row r="2108" spans="1:17" x14ac:dyDescent="0.25">
      <c r="A2108" s="7" t="s">
        <v>162</v>
      </c>
      <c r="B2108" s="7" t="s">
        <v>18</v>
      </c>
      <c r="C2108" s="7" t="s">
        <v>19</v>
      </c>
      <c r="D2108" s="7" t="s">
        <v>20</v>
      </c>
      <c r="E2108" s="7" t="s">
        <v>21</v>
      </c>
      <c r="F2108" s="7" t="s">
        <v>116</v>
      </c>
      <c r="G2108" s="7" t="s">
        <v>117</v>
      </c>
      <c r="H2108" s="7" t="s">
        <v>172</v>
      </c>
      <c r="I2108" s="7" t="s">
        <v>176</v>
      </c>
      <c r="J2108" s="8">
        <v>0.32018373179875109</v>
      </c>
      <c r="K2108" s="8">
        <v>0.28330849486658521</v>
      </c>
      <c r="L2108" s="8">
        <v>3.8772616538448622E-2</v>
      </c>
      <c r="M2108" s="8">
        <v>76.217628130619715</v>
      </c>
      <c r="N2108" s="8">
        <v>16.910613781082777</v>
      </c>
      <c r="O2108" s="8">
        <v>8.3011625558109792</v>
      </c>
      <c r="P2108" s="8">
        <v>0.11807695960929987</v>
      </c>
      <c r="Q2108" t="s">
        <v>26</v>
      </c>
    </row>
    <row r="2109" spans="1:17" x14ac:dyDescent="0.25">
      <c r="A2109" s="7" t="s">
        <v>162</v>
      </c>
      <c r="B2109" s="7" t="s">
        <v>18</v>
      </c>
      <c r="C2109" s="7" t="s">
        <v>19</v>
      </c>
      <c r="D2109" s="7" t="s">
        <v>20</v>
      </c>
      <c r="E2109" s="7" t="s">
        <v>21</v>
      </c>
      <c r="F2109" s="7" t="s">
        <v>116</v>
      </c>
      <c r="G2109" s="7" t="s">
        <v>117</v>
      </c>
      <c r="H2109" s="7" t="s">
        <v>172</v>
      </c>
      <c r="I2109" s="7" t="s">
        <v>177</v>
      </c>
      <c r="J2109" s="8">
        <v>5.3231014911845308E-2</v>
      </c>
      <c r="K2109" s="8">
        <v>4.6978931708019381E-2</v>
      </c>
      <c r="L2109" s="8">
        <v>4.4812748250425572E-3</v>
      </c>
      <c r="M2109" s="8">
        <v>8.3934450706495483</v>
      </c>
      <c r="N2109" s="8">
        <v>2.1078016978404781</v>
      </c>
      <c r="O2109" s="8">
        <v>0.73751247646548901</v>
      </c>
      <c r="P2109" s="8">
        <v>1.6511254019292605E-2</v>
      </c>
      <c r="Q2109" t="s">
        <v>26</v>
      </c>
    </row>
    <row r="2110" spans="1:17" x14ac:dyDescent="0.25">
      <c r="A2110" s="7" t="s">
        <v>162</v>
      </c>
      <c r="B2110" s="7" t="s">
        <v>18</v>
      </c>
      <c r="C2110" s="7" t="s">
        <v>19</v>
      </c>
      <c r="D2110" s="7" t="s">
        <v>20</v>
      </c>
      <c r="E2110" s="7" t="s">
        <v>21</v>
      </c>
      <c r="F2110" s="7" t="s">
        <v>116</v>
      </c>
      <c r="G2110" s="7" t="s">
        <v>117</v>
      </c>
      <c r="H2110" s="7" t="s">
        <v>172</v>
      </c>
      <c r="I2110" s="7" t="s">
        <v>178</v>
      </c>
      <c r="J2110" s="8">
        <v>2.3440416991426347</v>
      </c>
      <c r="K2110" s="8">
        <v>2.1564844115354642</v>
      </c>
      <c r="L2110" s="8">
        <v>3.6137957911145754E-2</v>
      </c>
      <c r="M2110" s="8">
        <v>59.370440179267341</v>
      </c>
      <c r="N2110" s="8">
        <v>32.891129579111457</v>
      </c>
      <c r="O2110" s="8">
        <v>42.308700701480909</v>
      </c>
      <c r="P2110" s="8">
        <v>6.4533904910366313E-2</v>
      </c>
      <c r="Q2110" t="s">
        <v>137</v>
      </c>
    </row>
    <row r="2111" spans="1:17" x14ac:dyDescent="0.25">
      <c r="A2111" s="7" t="s">
        <v>162</v>
      </c>
      <c r="B2111" s="7" t="s">
        <v>18</v>
      </c>
      <c r="C2111" s="7" t="s">
        <v>19</v>
      </c>
      <c r="D2111" s="7" t="s">
        <v>20</v>
      </c>
      <c r="E2111" s="7" t="s">
        <v>21</v>
      </c>
      <c r="F2111" s="7" t="s">
        <v>116</v>
      </c>
      <c r="G2111" s="7" t="s">
        <v>117</v>
      </c>
      <c r="H2111" s="7" t="s">
        <v>172</v>
      </c>
      <c r="I2111" s="7" t="s">
        <v>179</v>
      </c>
      <c r="J2111" s="8">
        <v>0.8506415728856962</v>
      </c>
      <c r="K2111" s="8">
        <v>0.78158484706461995</v>
      </c>
      <c r="L2111" s="8">
        <v>2.8833895797863336E-2</v>
      </c>
      <c r="M2111" s="8">
        <v>58.768075432354657</v>
      </c>
      <c r="N2111" s="8">
        <v>16.041187144494121</v>
      </c>
      <c r="O2111" s="8">
        <v>31.493228522689424</v>
      </c>
      <c r="P2111" s="8">
        <v>6.2838729227176662E-2</v>
      </c>
      <c r="Q2111" t="s">
        <v>137</v>
      </c>
    </row>
    <row r="2112" spans="1:17" x14ac:dyDescent="0.25">
      <c r="A2112" s="7" t="s">
        <v>162</v>
      </c>
      <c r="B2112" s="7" t="s">
        <v>18</v>
      </c>
      <c r="C2112" s="7" t="s">
        <v>19</v>
      </c>
      <c r="D2112" s="7" t="s">
        <v>20</v>
      </c>
      <c r="E2112" s="7" t="s">
        <v>21</v>
      </c>
      <c r="F2112" s="7" t="s">
        <v>116</v>
      </c>
      <c r="G2112" s="7" t="s">
        <v>117</v>
      </c>
      <c r="H2112" s="7" t="s">
        <v>172</v>
      </c>
      <c r="I2112" s="7" t="s">
        <v>180</v>
      </c>
      <c r="J2112" s="8">
        <v>5.1255698783773958E-2</v>
      </c>
      <c r="K2112" s="8">
        <v>4.7153302745612115E-2</v>
      </c>
      <c r="L2112" s="8">
        <v>1.0712256936858202E-3</v>
      </c>
      <c r="M2112" s="8">
        <v>2.0553516859660625</v>
      </c>
      <c r="N2112" s="8">
        <v>0.90324288107202655</v>
      </c>
      <c r="O2112" s="8">
        <v>1.6955730828053308</v>
      </c>
      <c r="P2112" s="8">
        <v>2.5369601631345133E-3</v>
      </c>
      <c r="Q2112" t="s">
        <v>137</v>
      </c>
    </row>
    <row r="2113" spans="1:17" x14ac:dyDescent="0.25">
      <c r="A2113" s="7" t="s">
        <v>162</v>
      </c>
      <c r="B2113" s="7" t="s">
        <v>18</v>
      </c>
      <c r="C2113" s="7" t="s">
        <v>19</v>
      </c>
      <c r="D2113" s="7" t="s">
        <v>20</v>
      </c>
      <c r="E2113" s="7" t="s">
        <v>21</v>
      </c>
      <c r="F2113" s="7" t="s">
        <v>116</v>
      </c>
      <c r="G2113" s="7" t="s">
        <v>117</v>
      </c>
      <c r="H2113" s="7" t="s">
        <v>172</v>
      </c>
      <c r="I2113" s="7" t="s">
        <v>181</v>
      </c>
      <c r="J2113" s="8">
        <v>1.6843653333937181</v>
      </c>
      <c r="K2113" s="8">
        <v>1.4940286212564775</v>
      </c>
      <c r="L2113" s="8">
        <v>0.10786884488258133</v>
      </c>
      <c r="M2113" s="8">
        <v>282.05436516969905</v>
      </c>
      <c r="N2113" s="8">
        <v>58.674838052238016</v>
      </c>
      <c r="O2113" s="8">
        <v>32.319758330535556</v>
      </c>
      <c r="P2113" s="8">
        <v>0.37273408862748858</v>
      </c>
      <c r="Q2113" t="s">
        <v>26</v>
      </c>
    </row>
    <row r="2114" spans="1:17" x14ac:dyDescent="0.25">
      <c r="A2114" s="7" t="s">
        <v>162</v>
      </c>
      <c r="B2114" s="7" t="s">
        <v>18</v>
      </c>
      <c r="C2114" s="7" t="s">
        <v>19</v>
      </c>
      <c r="D2114" s="7"/>
      <c r="E2114" s="7"/>
      <c r="F2114" s="7" t="s">
        <v>79</v>
      </c>
      <c r="G2114" s="7" t="s">
        <v>80</v>
      </c>
      <c r="H2114" s="7" t="s">
        <v>172</v>
      </c>
      <c r="I2114" s="7" t="s">
        <v>173</v>
      </c>
      <c r="J2114" s="8">
        <v>1.7274881516587677E-3</v>
      </c>
      <c r="K2114" s="8">
        <v>1.5281727224855188E-3</v>
      </c>
      <c r="L2114" s="8">
        <v>4.8578199052132709E-4</v>
      </c>
      <c r="M2114" s="8">
        <v>1.7710021063717745</v>
      </c>
      <c r="N2114" s="8">
        <v>7.4841583289450606E-2</v>
      </c>
      <c r="O2114" s="8">
        <v>0.13508794102159027</v>
      </c>
      <c r="P2114" s="8">
        <v>1.7424960505529228E-3</v>
      </c>
      <c r="Q2114" t="s">
        <v>26</v>
      </c>
    </row>
    <row r="2115" spans="1:17" x14ac:dyDescent="0.25">
      <c r="A2115" s="7" t="s">
        <v>162</v>
      </c>
      <c r="B2115" s="7" t="s">
        <v>18</v>
      </c>
      <c r="C2115" s="7" t="s">
        <v>19</v>
      </c>
      <c r="D2115" s="7"/>
      <c r="E2115" s="7"/>
      <c r="F2115" s="7" t="s">
        <v>79</v>
      </c>
      <c r="G2115" s="7" t="s">
        <v>80</v>
      </c>
      <c r="H2115" s="7" t="s">
        <v>172</v>
      </c>
      <c r="I2115" s="7" t="s">
        <v>174</v>
      </c>
      <c r="J2115" s="8">
        <v>0.19359857154324578</v>
      </c>
      <c r="K2115" s="8">
        <v>0.17126313367179549</v>
      </c>
      <c r="L2115" s="8">
        <v>1.0209990304623591E-2</v>
      </c>
      <c r="M2115" s="8">
        <v>26.617736306119667</v>
      </c>
      <c r="N2115" s="8">
        <v>7.0930371488158599</v>
      </c>
      <c r="O2115" s="8">
        <v>2.3450307895201488</v>
      </c>
      <c r="P2115" s="8">
        <v>3.8873337117394817E-2</v>
      </c>
      <c r="Q2115" t="s">
        <v>26</v>
      </c>
    </row>
    <row r="2116" spans="1:17" x14ac:dyDescent="0.25">
      <c r="A2116" s="7" t="s">
        <v>162</v>
      </c>
      <c r="B2116" s="7" t="s">
        <v>18</v>
      </c>
      <c r="C2116" s="7" t="s">
        <v>19</v>
      </c>
      <c r="D2116" s="7"/>
      <c r="E2116" s="7"/>
      <c r="F2116" s="7" t="s">
        <v>79</v>
      </c>
      <c r="G2116" s="7" t="s">
        <v>80</v>
      </c>
      <c r="H2116" s="7" t="s">
        <v>172</v>
      </c>
      <c r="I2116" s="7" t="s">
        <v>175</v>
      </c>
      <c r="J2116" s="8">
        <v>4.2324526287696815E-3</v>
      </c>
      <c r="K2116" s="8">
        <v>3.74432879637043E-3</v>
      </c>
      <c r="L2116" s="8">
        <v>7.3098478783026419E-4</v>
      </c>
      <c r="M2116" s="8">
        <v>1.841823460335684</v>
      </c>
      <c r="N2116" s="8">
        <v>0.90556272529635506</v>
      </c>
      <c r="O2116" s="8">
        <v>8.4803754114402635E-2</v>
      </c>
      <c r="P2116" s="8">
        <v>2.0491953880176074E-3</v>
      </c>
      <c r="Q2116" t="s">
        <v>26</v>
      </c>
    </row>
    <row r="2117" spans="1:17" x14ac:dyDescent="0.25">
      <c r="A2117" s="7" t="s">
        <v>162</v>
      </c>
      <c r="B2117" s="7" t="s">
        <v>18</v>
      </c>
      <c r="C2117" s="7" t="s">
        <v>19</v>
      </c>
      <c r="D2117" s="7"/>
      <c r="E2117" s="7"/>
      <c r="F2117" s="7" t="s">
        <v>79</v>
      </c>
      <c r="G2117" s="7" t="s">
        <v>80</v>
      </c>
      <c r="H2117" s="7" t="s">
        <v>172</v>
      </c>
      <c r="I2117" s="7" t="s">
        <v>176</v>
      </c>
      <c r="J2117" s="8">
        <v>3.0167203852558989E-2</v>
      </c>
      <c r="K2117" s="8">
        <v>2.6692877460663279E-2</v>
      </c>
      <c r="L2117" s="8">
        <v>3.6530944918452654E-3</v>
      </c>
      <c r="M2117" s="8">
        <v>7.1811041493517509</v>
      </c>
      <c r="N2117" s="8">
        <v>1.5932912341919534</v>
      </c>
      <c r="O2117" s="8">
        <v>0.78212238213208374</v>
      </c>
      <c r="P2117" s="8">
        <v>1.1125024031711337E-2</v>
      </c>
      <c r="Q2117" t="s">
        <v>26</v>
      </c>
    </row>
    <row r="2118" spans="1:17" x14ac:dyDescent="0.25">
      <c r="A2118" s="7" t="s">
        <v>162</v>
      </c>
      <c r="B2118" s="7" t="s">
        <v>18</v>
      </c>
      <c r="C2118" s="7" t="s">
        <v>19</v>
      </c>
      <c r="D2118" s="7"/>
      <c r="E2118" s="7"/>
      <c r="F2118" s="7" t="s">
        <v>79</v>
      </c>
      <c r="G2118" s="7" t="s">
        <v>80</v>
      </c>
      <c r="H2118" s="7" t="s">
        <v>172</v>
      </c>
      <c r="I2118" s="7" t="s">
        <v>177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t="s">
        <v>26</v>
      </c>
    </row>
    <row r="2119" spans="1:17" x14ac:dyDescent="0.25">
      <c r="A2119" s="7" t="s">
        <v>162</v>
      </c>
      <c r="B2119" s="7" t="s">
        <v>18</v>
      </c>
      <c r="C2119" s="7" t="s">
        <v>19</v>
      </c>
      <c r="D2119" s="7"/>
      <c r="E2119" s="7"/>
      <c r="F2119" s="7" t="s">
        <v>79</v>
      </c>
      <c r="G2119" s="7" t="s">
        <v>80</v>
      </c>
      <c r="H2119" s="7" t="s">
        <v>172</v>
      </c>
      <c r="I2119" s="7" t="s">
        <v>178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t="s">
        <v>137</v>
      </c>
    </row>
    <row r="2120" spans="1:17" x14ac:dyDescent="0.25">
      <c r="A2120" s="7" t="s">
        <v>162</v>
      </c>
      <c r="B2120" s="7" t="s">
        <v>18</v>
      </c>
      <c r="C2120" s="7" t="s">
        <v>19</v>
      </c>
      <c r="D2120" s="7"/>
      <c r="E2120" s="7"/>
      <c r="F2120" s="7" t="s">
        <v>79</v>
      </c>
      <c r="G2120" s="7" t="s">
        <v>80</v>
      </c>
      <c r="H2120" s="7" t="s">
        <v>172</v>
      </c>
      <c r="I2120" s="7" t="s">
        <v>179</v>
      </c>
      <c r="J2120" s="8">
        <v>4.5621078154537524E-2</v>
      </c>
      <c r="K2120" s="8">
        <v>4.1973439040069283E-2</v>
      </c>
      <c r="L2120" s="8">
        <v>1.1678239348588116E-3</v>
      </c>
      <c r="M2120" s="8">
        <v>1.1912268601131661</v>
      </c>
      <c r="N2120" s="8">
        <v>0.83507237228553666</v>
      </c>
      <c r="O2120" s="8">
        <v>1.1597638308451785</v>
      </c>
      <c r="P2120" s="8">
        <v>2.8000612750139317E-3</v>
      </c>
      <c r="Q2120" t="s">
        <v>137</v>
      </c>
    </row>
    <row r="2121" spans="1:17" x14ac:dyDescent="0.25">
      <c r="A2121" s="7" t="s">
        <v>162</v>
      </c>
      <c r="B2121" s="7" t="s">
        <v>18</v>
      </c>
      <c r="C2121" s="7" t="s">
        <v>19</v>
      </c>
      <c r="D2121" s="7"/>
      <c r="E2121" s="7"/>
      <c r="F2121" s="7" t="s">
        <v>79</v>
      </c>
      <c r="G2121" s="7" t="s">
        <v>80</v>
      </c>
      <c r="H2121" s="7" t="s">
        <v>172</v>
      </c>
      <c r="I2121" s="7" t="s">
        <v>180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t="s">
        <v>137</v>
      </c>
    </row>
    <row r="2122" spans="1:17" x14ac:dyDescent="0.25">
      <c r="A2122" s="7" t="s">
        <v>162</v>
      </c>
      <c r="B2122" s="7" t="s">
        <v>18</v>
      </c>
      <c r="C2122" s="7" t="s">
        <v>19</v>
      </c>
      <c r="D2122" s="7"/>
      <c r="E2122" s="7"/>
      <c r="F2122" s="7" t="s">
        <v>79</v>
      </c>
      <c r="G2122" s="7" t="s">
        <v>80</v>
      </c>
      <c r="H2122" s="7" t="s">
        <v>172</v>
      </c>
      <c r="I2122" s="7" t="s">
        <v>181</v>
      </c>
      <c r="J2122" s="8">
        <v>0.1109881411689483</v>
      </c>
      <c r="K2122" s="8">
        <v>9.7817971910434148E-2</v>
      </c>
      <c r="L2122" s="8">
        <v>8.4883570726805545E-3</v>
      </c>
      <c r="M2122" s="8">
        <v>22.379828518923325</v>
      </c>
      <c r="N2122" s="8">
        <v>4.5251163925126505</v>
      </c>
      <c r="O2122" s="8">
        <v>2.5712637646592524</v>
      </c>
      <c r="P2122" s="8">
        <v>2.9188155066207547E-2</v>
      </c>
      <c r="Q2122" t="s">
        <v>26</v>
      </c>
    </row>
    <row r="2123" spans="1:17" x14ac:dyDescent="0.25">
      <c r="A2123" s="7" t="s">
        <v>162</v>
      </c>
      <c r="B2123" s="7" t="s">
        <v>18</v>
      </c>
      <c r="C2123" s="7" t="s">
        <v>19</v>
      </c>
      <c r="D2123" s="7"/>
      <c r="E2123" s="7"/>
      <c r="F2123" s="7" t="s">
        <v>81</v>
      </c>
      <c r="G2123" s="7" t="s">
        <v>82</v>
      </c>
      <c r="H2123" s="7" t="s">
        <v>172</v>
      </c>
      <c r="I2123" s="7" t="s">
        <v>173</v>
      </c>
      <c r="J2123" s="8">
        <v>1.554739336492891E-2</v>
      </c>
      <c r="K2123" s="8">
        <v>1.375355450236967E-2</v>
      </c>
      <c r="L2123" s="8">
        <v>4.3720379146919442E-3</v>
      </c>
      <c r="M2123" s="8">
        <v>15.939018957345972</v>
      </c>
      <c r="N2123" s="8">
        <v>0.67357424960505541</v>
      </c>
      <c r="O2123" s="8">
        <v>1.2157914691943124</v>
      </c>
      <c r="P2123" s="8">
        <v>1.5682464454976307E-2</v>
      </c>
      <c r="Q2123" t="s">
        <v>26</v>
      </c>
    </row>
    <row r="2124" spans="1:17" x14ac:dyDescent="0.25">
      <c r="A2124" s="7" t="s">
        <v>162</v>
      </c>
      <c r="B2124" s="7" t="s">
        <v>18</v>
      </c>
      <c r="C2124" s="7" t="s">
        <v>19</v>
      </c>
      <c r="D2124" s="7"/>
      <c r="E2124" s="7"/>
      <c r="F2124" s="7" t="s">
        <v>81</v>
      </c>
      <c r="G2124" s="7" t="s">
        <v>82</v>
      </c>
      <c r="H2124" s="7" t="s">
        <v>172</v>
      </c>
      <c r="I2124" s="7" t="s">
        <v>174</v>
      </c>
      <c r="J2124" s="8">
        <v>0.64730810730717137</v>
      </c>
      <c r="K2124" s="8">
        <v>0.57262826902532848</v>
      </c>
      <c r="L2124" s="8">
        <v>3.4137697644293599E-2</v>
      </c>
      <c r="M2124" s="8">
        <v>88.997952679970666</v>
      </c>
      <c r="N2124" s="8">
        <v>23.715983104936466</v>
      </c>
      <c r="O2124" s="8">
        <v>7.8407471183342397</v>
      </c>
      <c r="P2124" s="8">
        <v>0.12997526827595202</v>
      </c>
      <c r="Q2124" t="s">
        <v>26</v>
      </c>
    </row>
    <row r="2125" spans="1:17" x14ac:dyDescent="0.25">
      <c r="A2125" s="7" t="s">
        <v>162</v>
      </c>
      <c r="B2125" s="7" t="s">
        <v>18</v>
      </c>
      <c r="C2125" s="7" t="s">
        <v>19</v>
      </c>
      <c r="D2125" s="7"/>
      <c r="E2125" s="7"/>
      <c r="F2125" s="7" t="s">
        <v>81</v>
      </c>
      <c r="G2125" s="7" t="s">
        <v>82</v>
      </c>
      <c r="H2125" s="7" t="s">
        <v>172</v>
      </c>
      <c r="I2125" s="7" t="s">
        <v>175</v>
      </c>
      <c r="J2125" s="8">
        <v>1.1286540343385819E-2</v>
      </c>
      <c r="K2125" s="8">
        <v>9.9848767903211455E-3</v>
      </c>
      <c r="L2125" s="8">
        <v>1.9492927675473714E-3</v>
      </c>
      <c r="M2125" s="8">
        <v>4.9115292275618252</v>
      </c>
      <c r="N2125" s="8">
        <v>2.4148339341236134</v>
      </c>
      <c r="O2125" s="8">
        <v>0.22614334430507371</v>
      </c>
      <c r="P2125" s="8">
        <v>5.46452103471362E-3</v>
      </c>
      <c r="Q2125" t="s">
        <v>26</v>
      </c>
    </row>
    <row r="2126" spans="1:17" x14ac:dyDescent="0.25">
      <c r="A2126" s="7" t="s">
        <v>162</v>
      </c>
      <c r="B2126" s="7" t="s">
        <v>18</v>
      </c>
      <c r="C2126" s="7" t="s">
        <v>19</v>
      </c>
      <c r="D2126" s="7"/>
      <c r="E2126" s="7"/>
      <c r="F2126" s="7" t="s">
        <v>81</v>
      </c>
      <c r="G2126" s="7" t="s">
        <v>82</v>
      </c>
      <c r="H2126" s="7" t="s">
        <v>172</v>
      </c>
      <c r="I2126" s="7" t="s">
        <v>176</v>
      </c>
      <c r="J2126" s="8">
        <v>0.12546814329587036</v>
      </c>
      <c r="K2126" s="8">
        <v>0.11101810398412226</v>
      </c>
      <c r="L2126" s="8">
        <v>1.5193552091083721E-2</v>
      </c>
      <c r="M2126" s="8">
        <v>29.866864984803879</v>
      </c>
      <c r="N2126" s="8">
        <v>6.6266430876619866</v>
      </c>
      <c r="O2126" s="8">
        <v>3.2529180893220753</v>
      </c>
      <c r="P2126" s="8">
        <v>4.6269986313708517E-2</v>
      </c>
      <c r="Q2126" t="s">
        <v>26</v>
      </c>
    </row>
    <row r="2127" spans="1:17" x14ac:dyDescent="0.25">
      <c r="A2127" s="7" t="s">
        <v>162</v>
      </c>
      <c r="B2127" s="7" t="s">
        <v>18</v>
      </c>
      <c r="C2127" s="7" t="s">
        <v>19</v>
      </c>
      <c r="D2127" s="7"/>
      <c r="E2127" s="7"/>
      <c r="F2127" s="7" t="s">
        <v>81</v>
      </c>
      <c r="G2127" s="7" t="s">
        <v>82</v>
      </c>
      <c r="H2127" s="7" t="s">
        <v>172</v>
      </c>
      <c r="I2127" s="7" t="s">
        <v>177</v>
      </c>
      <c r="J2127" s="8">
        <v>0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t="s">
        <v>26</v>
      </c>
    </row>
    <row r="2128" spans="1:17" x14ac:dyDescent="0.25">
      <c r="A2128" s="7" t="s">
        <v>162</v>
      </c>
      <c r="B2128" s="7" t="s">
        <v>18</v>
      </c>
      <c r="C2128" s="7" t="s">
        <v>19</v>
      </c>
      <c r="D2128" s="7"/>
      <c r="E2128" s="7"/>
      <c r="F2128" s="7" t="s">
        <v>81</v>
      </c>
      <c r="G2128" s="7" t="s">
        <v>82</v>
      </c>
      <c r="H2128" s="7" t="s">
        <v>172</v>
      </c>
      <c r="I2128" s="7" t="s">
        <v>178</v>
      </c>
      <c r="J2128" s="8">
        <v>0.21309469992205773</v>
      </c>
      <c r="K2128" s="8">
        <v>0.19604403741231494</v>
      </c>
      <c r="L2128" s="8">
        <v>3.2852689010132506E-3</v>
      </c>
      <c r="M2128" s="8">
        <v>5.3973127435697581</v>
      </c>
      <c r="N2128" s="8">
        <v>2.9901026890101323</v>
      </c>
      <c r="O2128" s="8">
        <v>3.8462455183164463</v>
      </c>
      <c r="P2128" s="8">
        <v>5.8667186282151187E-3</v>
      </c>
      <c r="Q2128" t="s">
        <v>137</v>
      </c>
    </row>
    <row r="2129" spans="1:17" x14ac:dyDescent="0.25">
      <c r="A2129" s="7" t="s">
        <v>162</v>
      </c>
      <c r="B2129" s="7" t="s">
        <v>18</v>
      </c>
      <c r="C2129" s="7" t="s">
        <v>19</v>
      </c>
      <c r="D2129" s="7"/>
      <c r="E2129" s="7"/>
      <c r="F2129" s="7" t="s">
        <v>81</v>
      </c>
      <c r="G2129" s="7" t="s">
        <v>82</v>
      </c>
      <c r="H2129" s="7" t="s">
        <v>172</v>
      </c>
      <c r="I2129" s="7" t="s">
        <v>179</v>
      </c>
      <c r="J2129" s="8">
        <v>0.23399782399349175</v>
      </c>
      <c r="K2129" s="8">
        <v>0.21507978406902098</v>
      </c>
      <c r="L2129" s="8">
        <v>7.4017326683750015E-3</v>
      </c>
      <c r="M2129" s="8">
        <v>13.421332690629363</v>
      </c>
      <c r="N2129" s="8">
        <v>4.3773387500985743</v>
      </c>
      <c r="O2129" s="8">
        <v>7.9223150677211347</v>
      </c>
      <c r="P2129" s="8">
        <v>1.6487831630454839E-2</v>
      </c>
      <c r="Q2129" t="s">
        <v>137</v>
      </c>
    </row>
    <row r="2130" spans="1:17" x14ac:dyDescent="0.25">
      <c r="A2130" s="7" t="s">
        <v>162</v>
      </c>
      <c r="B2130" s="7" t="s">
        <v>18</v>
      </c>
      <c r="C2130" s="7" t="s">
        <v>19</v>
      </c>
      <c r="D2130" s="7"/>
      <c r="E2130" s="7"/>
      <c r="F2130" s="7" t="s">
        <v>81</v>
      </c>
      <c r="G2130" s="7" t="s">
        <v>82</v>
      </c>
      <c r="H2130" s="7" t="s">
        <v>172</v>
      </c>
      <c r="I2130" s="7" t="s">
        <v>180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t="s">
        <v>137</v>
      </c>
    </row>
    <row r="2131" spans="1:17" x14ac:dyDescent="0.25">
      <c r="A2131" s="7" t="s">
        <v>162</v>
      </c>
      <c r="B2131" s="7" t="s">
        <v>18</v>
      </c>
      <c r="C2131" s="7" t="s">
        <v>19</v>
      </c>
      <c r="D2131" s="7"/>
      <c r="E2131" s="7"/>
      <c r="F2131" s="7" t="s">
        <v>81</v>
      </c>
      <c r="G2131" s="7" t="s">
        <v>82</v>
      </c>
      <c r="H2131" s="7" t="s">
        <v>172</v>
      </c>
      <c r="I2131" s="7" t="s">
        <v>181</v>
      </c>
      <c r="J2131" s="8">
        <v>0.57748846660950726</v>
      </c>
      <c r="K2131" s="8">
        <v>0.51196141055729505</v>
      </c>
      <c r="L2131" s="8">
        <v>3.7676876069974559E-2</v>
      </c>
      <c r="M2131" s="8">
        <v>100.89806186985736</v>
      </c>
      <c r="N2131" s="8">
        <v>20.80460746136114</v>
      </c>
      <c r="O2131" s="8">
        <v>11.739860852510422</v>
      </c>
      <c r="P2131" s="8">
        <v>0.12995867910640854</v>
      </c>
      <c r="Q2131" t="s">
        <v>26</v>
      </c>
    </row>
    <row r="2132" spans="1:17" x14ac:dyDescent="0.25">
      <c r="A2132" s="7" t="s">
        <v>162</v>
      </c>
      <c r="B2132" s="7" t="s">
        <v>18</v>
      </c>
      <c r="C2132" s="7" t="s">
        <v>19</v>
      </c>
      <c r="D2132" s="7"/>
      <c r="E2132" s="7"/>
      <c r="F2132" s="7" t="s">
        <v>83</v>
      </c>
      <c r="G2132" s="7" t="s">
        <v>84</v>
      </c>
      <c r="H2132" s="7" t="s">
        <v>172</v>
      </c>
      <c r="I2132" s="7" t="s">
        <v>173</v>
      </c>
      <c r="J2132" s="8">
        <v>2.5912322274881513E-3</v>
      </c>
      <c r="K2132" s="8">
        <v>2.2922590837282783E-3</v>
      </c>
      <c r="L2132" s="8">
        <v>7.2867298578199063E-4</v>
      </c>
      <c r="M2132" s="8">
        <v>2.656503159557662</v>
      </c>
      <c r="N2132" s="8">
        <v>0.1122623749341759</v>
      </c>
      <c r="O2132" s="8">
        <v>0.20263191153238541</v>
      </c>
      <c r="P2132" s="8">
        <v>2.6137440758293843E-3</v>
      </c>
      <c r="Q2132" t="s">
        <v>26</v>
      </c>
    </row>
    <row r="2133" spans="1:17" x14ac:dyDescent="0.25">
      <c r="A2133" s="7" t="s">
        <v>162</v>
      </c>
      <c r="B2133" s="7" t="s">
        <v>18</v>
      </c>
      <c r="C2133" s="7" t="s">
        <v>19</v>
      </c>
      <c r="D2133" s="7"/>
      <c r="E2133" s="7"/>
      <c r="F2133" s="7" t="s">
        <v>83</v>
      </c>
      <c r="G2133" s="7" t="s">
        <v>84</v>
      </c>
      <c r="H2133" s="7" t="s">
        <v>172</v>
      </c>
      <c r="I2133" s="7" t="s">
        <v>174</v>
      </c>
      <c r="J2133" s="8">
        <v>0.1544037687154721</v>
      </c>
      <c r="K2133" s="8">
        <v>0.13659022930879397</v>
      </c>
      <c r="L2133" s="8">
        <v>8.1429370527672813E-3</v>
      </c>
      <c r="M2133" s="8">
        <v>21.228869446598509</v>
      </c>
      <c r="N2133" s="8">
        <v>5.6570234929206249</v>
      </c>
      <c r="O2133" s="8">
        <v>1.8702699548320205</v>
      </c>
      <c r="P2133" s="8">
        <v>3.1003275001603221E-2</v>
      </c>
      <c r="Q2133" t="s">
        <v>26</v>
      </c>
    </row>
    <row r="2134" spans="1:17" x14ac:dyDescent="0.25">
      <c r="A2134" s="7" t="s">
        <v>162</v>
      </c>
      <c r="B2134" s="7" t="s">
        <v>18</v>
      </c>
      <c r="C2134" s="7" t="s">
        <v>19</v>
      </c>
      <c r="D2134" s="7"/>
      <c r="E2134" s="7"/>
      <c r="F2134" s="7" t="s">
        <v>83</v>
      </c>
      <c r="G2134" s="7" t="s">
        <v>84</v>
      </c>
      <c r="H2134" s="7" t="s">
        <v>172</v>
      </c>
      <c r="I2134" s="7" t="s">
        <v>175</v>
      </c>
      <c r="J2134" s="8">
        <v>2.5394715772618093E-2</v>
      </c>
      <c r="K2134" s="8">
        <v>2.2465972778222581E-2</v>
      </c>
      <c r="L2134" s="8">
        <v>4.3859087269815852E-3</v>
      </c>
      <c r="M2134" s="8">
        <v>11.050940762014104</v>
      </c>
      <c r="N2134" s="8">
        <v>5.4333763517781293</v>
      </c>
      <c r="O2134" s="8">
        <v>0.50882252468641576</v>
      </c>
      <c r="P2134" s="8">
        <v>1.2295172328105643E-2</v>
      </c>
      <c r="Q2134" t="s">
        <v>26</v>
      </c>
    </row>
    <row r="2135" spans="1:17" x14ac:dyDescent="0.25">
      <c r="A2135" s="7" t="s">
        <v>162</v>
      </c>
      <c r="B2135" s="7" t="s">
        <v>18</v>
      </c>
      <c r="C2135" s="7" t="s">
        <v>19</v>
      </c>
      <c r="D2135" s="7"/>
      <c r="E2135" s="7"/>
      <c r="F2135" s="7" t="s">
        <v>83</v>
      </c>
      <c r="G2135" s="7" t="s">
        <v>84</v>
      </c>
      <c r="H2135" s="7" t="s">
        <v>172</v>
      </c>
      <c r="I2135" s="7" t="s">
        <v>176</v>
      </c>
      <c r="J2135" s="8">
        <v>2.3996639428171922E-2</v>
      </c>
      <c r="K2135" s="8">
        <v>2.123297070734579E-2</v>
      </c>
      <c r="L2135" s="8">
        <v>2.9058706185132797E-3</v>
      </c>
      <c r="M2135" s="8">
        <v>5.7122419369843467</v>
      </c>
      <c r="N2135" s="8">
        <v>1.2673907544708716</v>
      </c>
      <c r="O2135" s="8">
        <v>0.62214280396870292</v>
      </c>
      <c r="P2135" s="8">
        <v>8.8494509343158348E-3</v>
      </c>
      <c r="Q2135" t="s">
        <v>26</v>
      </c>
    </row>
    <row r="2136" spans="1:17" x14ac:dyDescent="0.25">
      <c r="A2136" s="7" t="s">
        <v>162</v>
      </c>
      <c r="B2136" s="7" t="s">
        <v>18</v>
      </c>
      <c r="C2136" s="7" t="s">
        <v>19</v>
      </c>
      <c r="D2136" s="7"/>
      <c r="E2136" s="7"/>
      <c r="F2136" s="7" t="s">
        <v>83</v>
      </c>
      <c r="G2136" s="7" t="s">
        <v>84</v>
      </c>
      <c r="H2136" s="7" t="s">
        <v>172</v>
      </c>
      <c r="I2136" s="7" t="s">
        <v>177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t="s">
        <v>26</v>
      </c>
    </row>
    <row r="2137" spans="1:17" x14ac:dyDescent="0.25">
      <c r="A2137" s="7" t="s">
        <v>162</v>
      </c>
      <c r="B2137" s="7" t="s">
        <v>18</v>
      </c>
      <c r="C2137" s="7" t="s">
        <v>19</v>
      </c>
      <c r="D2137" s="7"/>
      <c r="E2137" s="7"/>
      <c r="F2137" s="7" t="s">
        <v>83</v>
      </c>
      <c r="G2137" s="7" t="s">
        <v>84</v>
      </c>
      <c r="H2137" s="7" t="s">
        <v>172</v>
      </c>
      <c r="I2137" s="7" t="s">
        <v>178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t="s">
        <v>137</v>
      </c>
    </row>
    <row r="2138" spans="1:17" x14ac:dyDescent="0.25">
      <c r="A2138" s="7" t="s">
        <v>162</v>
      </c>
      <c r="B2138" s="7" t="s">
        <v>18</v>
      </c>
      <c r="C2138" s="7" t="s">
        <v>19</v>
      </c>
      <c r="D2138" s="7"/>
      <c r="E2138" s="7"/>
      <c r="F2138" s="7" t="s">
        <v>83</v>
      </c>
      <c r="G2138" s="7" t="s">
        <v>84</v>
      </c>
      <c r="H2138" s="7" t="s">
        <v>172</v>
      </c>
      <c r="I2138" s="7" t="s">
        <v>179</v>
      </c>
      <c r="J2138" s="8">
        <v>0.14275566768441669</v>
      </c>
      <c r="K2138" s="8">
        <v>0.13113290598888241</v>
      </c>
      <c r="L2138" s="8">
        <v>5.06608479865738E-3</v>
      </c>
      <c r="M2138" s="8">
        <v>11.038878970403031</v>
      </c>
      <c r="N2138" s="8">
        <v>2.7071940055275019</v>
      </c>
      <c r="O2138" s="8">
        <v>5.6027874060307781</v>
      </c>
      <c r="P2138" s="8">
        <v>1.0887709080426973E-2</v>
      </c>
      <c r="Q2138" t="s">
        <v>137</v>
      </c>
    </row>
    <row r="2139" spans="1:17" x14ac:dyDescent="0.25">
      <c r="A2139" s="7" t="s">
        <v>162</v>
      </c>
      <c r="B2139" s="7" t="s">
        <v>18</v>
      </c>
      <c r="C2139" s="7" t="s">
        <v>19</v>
      </c>
      <c r="D2139" s="7"/>
      <c r="E2139" s="7"/>
      <c r="F2139" s="7" t="s">
        <v>83</v>
      </c>
      <c r="G2139" s="7" t="s">
        <v>84</v>
      </c>
      <c r="H2139" s="7" t="s">
        <v>172</v>
      </c>
      <c r="I2139" s="7" t="s">
        <v>180</v>
      </c>
      <c r="J2139" s="8">
        <v>7.6883548175660926E-2</v>
      </c>
      <c r="K2139" s="8">
        <v>7.0729954118418176E-2</v>
      </c>
      <c r="L2139" s="8">
        <v>1.6068385405287307E-3</v>
      </c>
      <c r="M2139" s="8">
        <v>3.0830275289490934</v>
      </c>
      <c r="N2139" s="8">
        <v>1.35486432160804</v>
      </c>
      <c r="O2139" s="8">
        <v>2.5433596242079965</v>
      </c>
      <c r="P2139" s="8">
        <v>3.8054402447017695E-3</v>
      </c>
      <c r="Q2139" t="s">
        <v>137</v>
      </c>
    </row>
    <row r="2140" spans="1:17" x14ac:dyDescent="0.25">
      <c r="A2140" s="7" t="s">
        <v>162</v>
      </c>
      <c r="B2140" s="7" t="s">
        <v>18</v>
      </c>
      <c r="C2140" s="7" t="s">
        <v>19</v>
      </c>
      <c r="D2140" s="7"/>
      <c r="E2140" s="7"/>
      <c r="F2140" s="7" t="s">
        <v>83</v>
      </c>
      <c r="G2140" s="7" t="s">
        <v>84</v>
      </c>
      <c r="H2140" s="7" t="s">
        <v>172</v>
      </c>
      <c r="I2140" s="7" t="s">
        <v>181</v>
      </c>
      <c r="J2140" s="8">
        <v>0.18484683004567692</v>
      </c>
      <c r="K2140" s="8">
        <v>0.1628554925266599</v>
      </c>
      <c r="L2140" s="8">
        <v>1.4304894132749196E-2</v>
      </c>
      <c r="M2140" s="8">
        <v>37.57484564671168</v>
      </c>
      <c r="N2140" s="8">
        <v>7.5860414931281532</v>
      </c>
      <c r="O2140" s="8">
        <v>4.3057500186256563</v>
      </c>
      <c r="P2140" s="8">
        <v>4.9182033114966106E-2</v>
      </c>
      <c r="Q2140" t="s">
        <v>26</v>
      </c>
    </row>
    <row r="2141" spans="1:17" x14ac:dyDescent="0.25">
      <c r="A2141" s="7" t="s">
        <v>162</v>
      </c>
      <c r="B2141" s="7" t="s">
        <v>18</v>
      </c>
      <c r="C2141" s="7" t="s">
        <v>19</v>
      </c>
      <c r="D2141" s="7" t="s">
        <v>20</v>
      </c>
      <c r="E2141" s="7" t="s">
        <v>21</v>
      </c>
      <c r="F2141" s="7" t="s">
        <v>85</v>
      </c>
      <c r="G2141" s="7" t="s">
        <v>86</v>
      </c>
      <c r="H2141" s="7" t="s">
        <v>172</v>
      </c>
      <c r="I2141" s="7" t="s">
        <v>173</v>
      </c>
      <c r="J2141" s="8">
        <v>0.72727251184834119</v>
      </c>
      <c r="K2141" s="8">
        <v>0.64336071616640345</v>
      </c>
      <c r="L2141" s="8">
        <v>0.20451421800947872</v>
      </c>
      <c r="M2141" s="8">
        <v>745.59188678251701</v>
      </c>
      <c r="N2141" s="8">
        <v>31.508306564858696</v>
      </c>
      <c r="O2141" s="8">
        <v>56.872023170089506</v>
      </c>
      <c r="P2141" s="8">
        <v>0.73359083728278052</v>
      </c>
      <c r="Q2141" t="s">
        <v>26</v>
      </c>
    </row>
    <row r="2142" spans="1:17" x14ac:dyDescent="0.25">
      <c r="A2142" s="7" t="s">
        <v>162</v>
      </c>
      <c r="B2142" s="7" t="s">
        <v>18</v>
      </c>
      <c r="C2142" s="7" t="s">
        <v>19</v>
      </c>
      <c r="D2142" s="7" t="s">
        <v>20</v>
      </c>
      <c r="E2142" s="7" t="s">
        <v>21</v>
      </c>
      <c r="F2142" s="7" t="s">
        <v>85</v>
      </c>
      <c r="G2142" s="7" t="s">
        <v>86</v>
      </c>
      <c r="H2142" s="7" t="s">
        <v>172</v>
      </c>
      <c r="I2142" s="7" t="s">
        <v>174</v>
      </c>
      <c r="J2142" s="8">
        <v>23.275156563721293</v>
      </c>
      <c r="K2142" s="8">
        <v>20.589995935986995</v>
      </c>
      <c r="L2142" s="8">
        <v>1.2276403418062465</v>
      </c>
      <c r="M2142" s="8">
        <v>3200.9800914359948</v>
      </c>
      <c r="N2142" s="8">
        <v>853.03299957435888</v>
      </c>
      <c r="O2142" s="8">
        <v>281.90673330723746</v>
      </c>
      <c r="P2142" s="8">
        <v>4.6737401535163325</v>
      </c>
      <c r="Q2142" t="s">
        <v>26</v>
      </c>
    </row>
    <row r="2143" spans="1:17" x14ac:dyDescent="0.25">
      <c r="A2143" s="7" t="s">
        <v>162</v>
      </c>
      <c r="B2143" s="7" t="s">
        <v>18</v>
      </c>
      <c r="C2143" s="7" t="s">
        <v>19</v>
      </c>
      <c r="D2143" s="7" t="s">
        <v>20</v>
      </c>
      <c r="E2143" s="7" t="s">
        <v>21</v>
      </c>
      <c r="F2143" s="7" t="s">
        <v>85</v>
      </c>
      <c r="G2143" s="7" t="s">
        <v>86</v>
      </c>
      <c r="H2143" s="7" t="s">
        <v>172</v>
      </c>
      <c r="I2143" s="7" t="s">
        <v>175</v>
      </c>
      <c r="J2143" s="8">
        <v>1.004502090561338</v>
      </c>
      <c r="K2143" s="8">
        <v>0.88865403433858214</v>
      </c>
      <c r="L2143" s="8">
        <v>0.17348705631171607</v>
      </c>
      <c r="M2143" s="8">
        <v>437.12610125300239</v>
      </c>
      <c r="N2143" s="8">
        <v>214.92022013700162</v>
      </c>
      <c r="O2143" s="8">
        <v>20.12675764315156</v>
      </c>
      <c r="P2143" s="8">
        <v>0.48634237208951214</v>
      </c>
      <c r="Q2143" t="s">
        <v>26</v>
      </c>
    </row>
    <row r="2144" spans="1:17" x14ac:dyDescent="0.25">
      <c r="A2144" s="7" t="s">
        <v>162</v>
      </c>
      <c r="B2144" s="7" t="s">
        <v>18</v>
      </c>
      <c r="C2144" s="7" t="s">
        <v>19</v>
      </c>
      <c r="D2144" s="7" t="s">
        <v>20</v>
      </c>
      <c r="E2144" s="7" t="s">
        <v>21</v>
      </c>
      <c r="F2144" s="7" t="s">
        <v>85</v>
      </c>
      <c r="G2144" s="7" t="s">
        <v>86</v>
      </c>
      <c r="H2144" s="7" t="s">
        <v>172</v>
      </c>
      <c r="I2144" s="7" t="s">
        <v>176</v>
      </c>
      <c r="J2144" s="8">
        <v>3.3249471518154654</v>
      </c>
      <c r="K2144" s="8">
        <v>2.9442816554195375</v>
      </c>
      <c r="L2144" s="8">
        <v>0.39540384646450966</v>
      </c>
      <c r="M2144" s="8">
        <v>776.68050054583875</v>
      </c>
      <c r="N2144" s="8">
        <v>172.69505301655136</v>
      </c>
      <c r="O2144" s="8">
        <v>84.58117633494642</v>
      </c>
      <c r="P2144" s="8">
        <v>1.2053161183936045</v>
      </c>
      <c r="Q2144" t="s">
        <v>26</v>
      </c>
    </row>
    <row r="2145" spans="1:17" x14ac:dyDescent="0.25">
      <c r="A2145" s="7" t="s">
        <v>162</v>
      </c>
      <c r="B2145" s="7" t="s">
        <v>18</v>
      </c>
      <c r="C2145" s="7" t="s">
        <v>19</v>
      </c>
      <c r="D2145" s="7" t="s">
        <v>20</v>
      </c>
      <c r="E2145" s="7" t="s">
        <v>21</v>
      </c>
      <c r="F2145" s="7" t="s">
        <v>85</v>
      </c>
      <c r="G2145" s="7" t="s">
        <v>86</v>
      </c>
      <c r="H2145" s="7" t="s">
        <v>172</v>
      </c>
      <c r="I2145" s="7" t="s">
        <v>177</v>
      </c>
      <c r="J2145" s="8">
        <v>4.0946934547573316E-3</v>
      </c>
      <c r="K2145" s="8">
        <v>3.6137639775399525E-3</v>
      </c>
      <c r="L2145" s="8">
        <v>3.4471344808019672E-4</v>
      </c>
      <c r="M2145" s="8">
        <v>0.64564962081919597</v>
      </c>
      <c r="N2145" s="8">
        <v>0.16213859214157525</v>
      </c>
      <c r="O2145" s="8">
        <v>5.673172895888378E-2</v>
      </c>
      <c r="P2145" s="8">
        <v>1.270096463022508E-3</v>
      </c>
      <c r="Q2145" t="s">
        <v>26</v>
      </c>
    </row>
    <row r="2146" spans="1:17" x14ac:dyDescent="0.25">
      <c r="A2146" s="7" t="s">
        <v>162</v>
      </c>
      <c r="B2146" s="7" t="s">
        <v>18</v>
      </c>
      <c r="C2146" s="7" t="s">
        <v>19</v>
      </c>
      <c r="D2146" s="7" t="s">
        <v>20</v>
      </c>
      <c r="E2146" s="7" t="s">
        <v>21</v>
      </c>
      <c r="F2146" s="7" t="s">
        <v>85</v>
      </c>
      <c r="G2146" s="7" t="s">
        <v>86</v>
      </c>
      <c r="H2146" s="7" t="s">
        <v>172</v>
      </c>
      <c r="I2146" s="7" t="s">
        <v>178</v>
      </c>
      <c r="J2146" s="8">
        <v>5.9666515978176156</v>
      </c>
      <c r="K2146" s="8">
        <v>5.4892330475448166</v>
      </c>
      <c r="L2146" s="8">
        <v>9.1987529228371029E-2</v>
      </c>
      <c r="M2146" s="8">
        <v>151.12475681995323</v>
      </c>
      <c r="N2146" s="8">
        <v>83.722875292283717</v>
      </c>
      <c r="O2146" s="8">
        <v>107.69487451286048</v>
      </c>
      <c r="P2146" s="8">
        <v>0.16426812159002332</v>
      </c>
      <c r="Q2146" t="s">
        <v>137</v>
      </c>
    </row>
    <row r="2147" spans="1:17" x14ac:dyDescent="0.25">
      <c r="A2147" s="7" t="s">
        <v>162</v>
      </c>
      <c r="B2147" s="7" t="s">
        <v>18</v>
      </c>
      <c r="C2147" s="7" t="s">
        <v>19</v>
      </c>
      <c r="D2147" s="7" t="s">
        <v>20</v>
      </c>
      <c r="E2147" s="7" t="s">
        <v>21</v>
      </c>
      <c r="F2147" s="7" t="s">
        <v>85</v>
      </c>
      <c r="G2147" s="7" t="s">
        <v>86</v>
      </c>
      <c r="H2147" s="7" t="s">
        <v>172</v>
      </c>
      <c r="I2147" s="7" t="s">
        <v>179</v>
      </c>
      <c r="J2147" s="8">
        <v>5.4923877954336922</v>
      </c>
      <c r="K2147" s="8">
        <v>5.0461469501829725</v>
      </c>
      <c r="L2147" s="8">
        <v>0.1885964182423743</v>
      </c>
      <c r="M2147" s="8">
        <v>393.23601215533682</v>
      </c>
      <c r="N2147" s="8">
        <v>104.0526030196812</v>
      </c>
      <c r="O2147" s="8">
        <v>206.73146543687898</v>
      </c>
      <c r="P2147" s="8">
        <v>0.41575515752525788</v>
      </c>
      <c r="Q2147" t="s">
        <v>137</v>
      </c>
    </row>
    <row r="2148" spans="1:17" x14ac:dyDescent="0.25">
      <c r="A2148" s="7" t="s">
        <v>162</v>
      </c>
      <c r="B2148" s="7" t="s">
        <v>18</v>
      </c>
      <c r="C2148" s="7" t="s">
        <v>19</v>
      </c>
      <c r="D2148" s="7" t="s">
        <v>20</v>
      </c>
      <c r="E2148" s="7" t="s">
        <v>21</v>
      </c>
      <c r="F2148" s="7" t="s">
        <v>85</v>
      </c>
      <c r="G2148" s="7" t="s">
        <v>86</v>
      </c>
      <c r="H2148" s="7" t="s">
        <v>172</v>
      </c>
      <c r="I2148" s="7" t="s">
        <v>180</v>
      </c>
      <c r="J2148" s="8">
        <v>4.2798508484451254</v>
      </c>
      <c r="K2148" s="8">
        <v>3.9373007792586119</v>
      </c>
      <c r="L2148" s="8">
        <v>8.9447345422766E-2</v>
      </c>
      <c r="M2148" s="8">
        <v>171.62186577816618</v>
      </c>
      <c r="N2148" s="8">
        <v>75.420780569514221</v>
      </c>
      <c r="O2148" s="8">
        <v>141.58035241424511</v>
      </c>
      <c r="P2148" s="8">
        <v>0.21183617362173185</v>
      </c>
      <c r="Q2148" t="s">
        <v>137</v>
      </c>
    </row>
    <row r="2149" spans="1:17" x14ac:dyDescent="0.25">
      <c r="A2149" s="7" t="s">
        <v>162</v>
      </c>
      <c r="B2149" s="7" t="s">
        <v>18</v>
      </c>
      <c r="C2149" s="7" t="s">
        <v>19</v>
      </c>
      <c r="D2149" s="7" t="s">
        <v>20</v>
      </c>
      <c r="E2149" s="7" t="s">
        <v>21</v>
      </c>
      <c r="F2149" s="7" t="s">
        <v>85</v>
      </c>
      <c r="G2149" s="7" t="s">
        <v>86</v>
      </c>
      <c r="H2149" s="7" t="s">
        <v>172</v>
      </c>
      <c r="I2149" s="7" t="s">
        <v>181</v>
      </c>
      <c r="J2149" s="8">
        <v>10.547873292875977</v>
      </c>
      <c r="K2149" s="8">
        <v>9.3569113380183424</v>
      </c>
      <c r="L2149" s="8">
        <v>0.67574973331707699</v>
      </c>
      <c r="M2149" s="8">
        <v>1762.9741195574347</v>
      </c>
      <c r="N2149" s="8">
        <v>367.31977709103444</v>
      </c>
      <c r="O2149" s="8">
        <v>201.10133230697087</v>
      </c>
      <c r="P2149" s="8">
        <v>2.3676535551939772</v>
      </c>
      <c r="Q2149" t="s">
        <v>26</v>
      </c>
    </row>
    <row r="2150" spans="1:17" x14ac:dyDescent="0.25">
      <c r="A2150" s="7" t="s">
        <v>162</v>
      </c>
      <c r="B2150" s="7" t="s">
        <v>18</v>
      </c>
      <c r="C2150" s="7" t="s">
        <v>19</v>
      </c>
      <c r="D2150" s="7"/>
      <c r="E2150" s="7"/>
      <c r="F2150" s="7" t="s">
        <v>87</v>
      </c>
      <c r="G2150" s="7" t="s">
        <v>88</v>
      </c>
      <c r="H2150" s="7" t="s">
        <v>172</v>
      </c>
      <c r="I2150" s="7" t="s">
        <v>173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t="s">
        <v>26</v>
      </c>
    </row>
    <row r="2151" spans="1:17" x14ac:dyDescent="0.25">
      <c r="A2151" s="7" t="s">
        <v>162</v>
      </c>
      <c r="B2151" s="7" t="s">
        <v>18</v>
      </c>
      <c r="C2151" s="7" t="s">
        <v>19</v>
      </c>
      <c r="D2151" s="7"/>
      <c r="E2151" s="7"/>
      <c r="F2151" s="7" t="s">
        <v>87</v>
      </c>
      <c r="G2151" s="7" t="s">
        <v>88</v>
      </c>
      <c r="H2151" s="7" t="s">
        <v>172</v>
      </c>
      <c r="I2151" s="7" t="s">
        <v>174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t="s">
        <v>26</v>
      </c>
    </row>
    <row r="2152" spans="1:17" x14ac:dyDescent="0.25">
      <c r="A2152" s="7" t="s">
        <v>162</v>
      </c>
      <c r="B2152" s="7" t="s">
        <v>18</v>
      </c>
      <c r="C2152" s="7" t="s">
        <v>19</v>
      </c>
      <c r="D2152" s="7"/>
      <c r="E2152" s="7"/>
      <c r="F2152" s="7" t="s">
        <v>87</v>
      </c>
      <c r="G2152" s="7" t="s">
        <v>88</v>
      </c>
      <c r="H2152" s="7" t="s">
        <v>172</v>
      </c>
      <c r="I2152" s="7" t="s">
        <v>175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t="s">
        <v>26</v>
      </c>
    </row>
    <row r="2153" spans="1:17" x14ac:dyDescent="0.25">
      <c r="A2153" s="7" t="s">
        <v>162</v>
      </c>
      <c r="B2153" s="7" t="s">
        <v>18</v>
      </c>
      <c r="C2153" s="7" t="s">
        <v>19</v>
      </c>
      <c r="D2153" s="7"/>
      <c r="E2153" s="7"/>
      <c r="F2153" s="7" t="s">
        <v>87</v>
      </c>
      <c r="G2153" s="7" t="s">
        <v>88</v>
      </c>
      <c r="H2153" s="7" t="s">
        <v>172</v>
      </c>
      <c r="I2153" s="7" t="s">
        <v>176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t="s">
        <v>26</v>
      </c>
    </row>
    <row r="2154" spans="1:17" x14ac:dyDescent="0.25">
      <c r="A2154" s="7" t="s">
        <v>162</v>
      </c>
      <c r="B2154" s="7" t="s">
        <v>18</v>
      </c>
      <c r="C2154" s="7" t="s">
        <v>19</v>
      </c>
      <c r="D2154" s="7"/>
      <c r="E2154" s="7"/>
      <c r="F2154" s="7" t="s">
        <v>87</v>
      </c>
      <c r="G2154" s="7" t="s">
        <v>88</v>
      </c>
      <c r="H2154" s="7" t="s">
        <v>172</v>
      </c>
      <c r="I2154" s="7" t="s">
        <v>177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t="s">
        <v>26</v>
      </c>
    </row>
    <row r="2155" spans="1:17" x14ac:dyDescent="0.25">
      <c r="A2155" s="7" t="s">
        <v>162</v>
      </c>
      <c r="B2155" s="7" t="s">
        <v>18</v>
      </c>
      <c r="C2155" s="7" t="s">
        <v>19</v>
      </c>
      <c r="D2155" s="7"/>
      <c r="E2155" s="7"/>
      <c r="F2155" s="7" t="s">
        <v>87</v>
      </c>
      <c r="G2155" s="7" t="s">
        <v>88</v>
      </c>
      <c r="H2155" s="7" t="s">
        <v>172</v>
      </c>
      <c r="I2155" s="7" t="s">
        <v>178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t="s">
        <v>137</v>
      </c>
    </row>
    <row r="2156" spans="1:17" x14ac:dyDescent="0.25">
      <c r="A2156" s="7" t="s">
        <v>162</v>
      </c>
      <c r="B2156" s="7" t="s">
        <v>18</v>
      </c>
      <c r="C2156" s="7" t="s">
        <v>19</v>
      </c>
      <c r="D2156" s="7"/>
      <c r="E2156" s="7"/>
      <c r="F2156" s="7" t="s">
        <v>87</v>
      </c>
      <c r="G2156" s="7" t="s">
        <v>88</v>
      </c>
      <c r="H2156" s="7" t="s">
        <v>172</v>
      </c>
      <c r="I2156" s="7" t="s">
        <v>179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t="s">
        <v>137</v>
      </c>
    </row>
    <row r="2157" spans="1:17" x14ac:dyDescent="0.25">
      <c r="A2157" s="7" t="s">
        <v>162</v>
      </c>
      <c r="B2157" s="7" t="s">
        <v>18</v>
      </c>
      <c r="C2157" s="7" t="s">
        <v>19</v>
      </c>
      <c r="D2157" s="7"/>
      <c r="E2157" s="7"/>
      <c r="F2157" s="7" t="s">
        <v>87</v>
      </c>
      <c r="G2157" s="7" t="s">
        <v>88</v>
      </c>
      <c r="H2157" s="7" t="s">
        <v>172</v>
      </c>
      <c r="I2157" s="7" t="s">
        <v>180</v>
      </c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t="s">
        <v>137</v>
      </c>
    </row>
    <row r="2158" spans="1:17" x14ac:dyDescent="0.25">
      <c r="A2158" s="7" t="s">
        <v>162</v>
      </c>
      <c r="B2158" s="7" t="s">
        <v>18</v>
      </c>
      <c r="C2158" s="7" t="s">
        <v>19</v>
      </c>
      <c r="D2158" s="7"/>
      <c r="E2158" s="7"/>
      <c r="F2158" s="7" t="s">
        <v>87</v>
      </c>
      <c r="G2158" s="7" t="s">
        <v>88</v>
      </c>
      <c r="H2158" s="7" t="s">
        <v>172</v>
      </c>
      <c r="I2158" s="7" t="s">
        <v>181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t="s">
        <v>26</v>
      </c>
    </row>
    <row r="2159" spans="1:17" x14ac:dyDescent="0.25">
      <c r="A2159" s="7" t="s">
        <v>162</v>
      </c>
      <c r="B2159" s="7" t="s">
        <v>18</v>
      </c>
      <c r="C2159" s="7" t="s">
        <v>19</v>
      </c>
      <c r="D2159" s="7"/>
      <c r="E2159" s="7"/>
      <c r="F2159" s="7" t="s">
        <v>89</v>
      </c>
      <c r="G2159" s="7" t="s">
        <v>90</v>
      </c>
      <c r="H2159" s="7" t="s">
        <v>172</v>
      </c>
      <c r="I2159" s="7" t="s">
        <v>173</v>
      </c>
      <c r="J2159" s="8">
        <v>0.36752310426540291</v>
      </c>
      <c r="K2159" s="8">
        <v>0.3251187467087942</v>
      </c>
      <c r="L2159" s="8">
        <v>0.10335011848341236</v>
      </c>
      <c r="M2159" s="8">
        <v>376.78069813059506</v>
      </c>
      <c r="N2159" s="8">
        <v>15.922546844830611</v>
      </c>
      <c r="O2159" s="8">
        <v>28.739959452343331</v>
      </c>
      <c r="P2159" s="8">
        <v>0.37071603475513432</v>
      </c>
      <c r="Q2159" t="s">
        <v>26</v>
      </c>
    </row>
    <row r="2160" spans="1:17" x14ac:dyDescent="0.25">
      <c r="A2160" s="7" t="s">
        <v>162</v>
      </c>
      <c r="B2160" s="7" t="s">
        <v>18</v>
      </c>
      <c r="C2160" s="7" t="s">
        <v>19</v>
      </c>
      <c r="D2160" s="7"/>
      <c r="E2160" s="7"/>
      <c r="F2160" s="7" t="s">
        <v>89</v>
      </c>
      <c r="G2160" s="7" t="s">
        <v>90</v>
      </c>
      <c r="H2160" s="7" t="s">
        <v>172</v>
      </c>
      <c r="I2160" s="7" t="s">
        <v>174</v>
      </c>
      <c r="J2160" s="8">
        <v>7.4386509380350034</v>
      </c>
      <c r="K2160" s="8">
        <v>6.5804945695483994</v>
      </c>
      <c r="L2160" s="8">
        <v>0.3923676029216267</v>
      </c>
      <c r="M2160" s="8">
        <v>1023.1264603388948</v>
      </c>
      <c r="N2160" s="8">
        <v>272.65922361845043</v>
      </c>
      <c r="O2160" s="8">
        <v>90.093744047767288</v>
      </c>
      <c r="P2160" s="8">
        <v>1.4937377256925932</v>
      </c>
      <c r="Q2160" t="s">
        <v>26</v>
      </c>
    </row>
    <row r="2161" spans="1:17" x14ac:dyDescent="0.25">
      <c r="A2161" s="7" t="s">
        <v>162</v>
      </c>
      <c r="B2161" s="7" t="s">
        <v>18</v>
      </c>
      <c r="C2161" s="7" t="s">
        <v>19</v>
      </c>
      <c r="D2161" s="7"/>
      <c r="E2161" s="7"/>
      <c r="F2161" s="7" t="s">
        <v>89</v>
      </c>
      <c r="G2161" s="7" t="s">
        <v>90</v>
      </c>
      <c r="H2161" s="7" t="s">
        <v>172</v>
      </c>
      <c r="I2161" s="7" t="s">
        <v>175</v>
      </c>
      <c r="J2161" s="8">
        <v>9.5935592918779455E-2</v>
      </c>
      <c r="K2161" s="8">
        <v>8.4871452717729737E-2</v>
      </c>
      <c r="L2161" s="8">
        <v>1.6568988524152659E-2</v>
      </c>
      <c r="M2161" s="8">
        <v>41.747998434275509</v>
      </c>
      <c r="N2161" s="8">
        <v>20.526088440050714</v>
      </c>
      <c r="O2161" s="8">
        <v>1.9222184265931261</v>
      </c>
      <c r="P2161" s="8">
        <v>4.6448428795065763E-2</v>
      </c>
      <c r="Q2161" t="s">
        <v>26</v>
      </c>
    </row>
    <row r="2162" spans="1:17" x14ac:dyDescent="0.25">
      <c r="A2162" s="7" t="s">
        <v>162</v>
      </c>
      <c r="B2162" s="7" t="s">
        <v>18</v>
      </c>
      <c r="C2162" s="7" t="s">
        <v>19</v>
      </c>
      <c r="D2162" s="7"/>
      <c r="E2162" s="7"/>
      <c r="F2162" s="7" t="s">
        <v>89</v>
      </c>
      <c r="G2162" s="7" t="s">
        <v>90</v>
      </c>
      <c r="H2162" s="7" t="s">
        <v>172</v>
      </c>
      <c r="I2162" s="7" t="s">
        <v>176</v>
      </c>
      <c r="J2162" s="8">
        <v>1.4316010224395457</v>
      </c>
      <c r="K2162" s="8">
        <v>1.2683724757444188</v>
      </c>
      <c r="L2162" s="8">
        <v>0.16810118664995977</v>
      </c>
      <c r="M2162" s="8">
        <v>330.01863577726385</v>
      </c>
      <c r="N2162" s="8">
        <v>73.491828526933546</v>
      </c>
      <c r="O2162" s="8">
        <v>35.936241746930818</v>
      </c>
      <c r="P2162" s="8">
        <v>0.5127776721087226</v>
      </c>
      <c r="Q2162" t="s">
        <v>26</v>
      </c>
    </row>
    <row r="2163" spans="1:17" x14ac:dyDescent="0.25">
      <c r="A2163" s="7" t="s">
        <v>162</v>
      </c>
      <c r="B2163" s="7" t="s">
        <v>18</v>
      </c>
      <c r="C2163" s="7" t="s">
        <v>19</v>
      </c>
      <c r="D2163" s="7"/>
      <c r="E2163" s="7"/>
      <c r="F2163" s="7" t="s">
        <v>89</v>
      </c>
      <c r="G2163" s="7" t="s">
        <v>90</v>
      </c>
      <c r="H2163" s="7" t="s">
        <v>172</v>
      </c>
      <c r="I2163" s="7" t="s">
        <v>177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t="s">
        <v>26</v>
      </c>
    </row>
    <row r="2164" spans="1:17" x14ac:dyDescent="0.25">
      <c r="A2164" s="7" t="s">
        <v>162</v>
      </c>
      <c r="B2164" s="7" t="s">
        <v>18</v>
      </c>
      <c r="C2164" s="7" t="s">
        <v>19</v>
      </c>
      <c r="D2164" s="7"/>
      <c r="E2164" s="7"/>
      <c r="F2164" s="7" t="s">
        <v>89</v>
      </c>
      <c r="G2164" s="7" t="s">
        <v>90</v>
      </c>
      <c r="H2164" s="7" t="s">
        <v>172</v>
      </c>
      <c r="I2164" s="7" t="s">
        <v>178</v>
      </c>
      <c r="J2164" s="8">
        <v>1.6337260327357757</v>
      </c>
      <c r="K2164" s="8">
        <v>1.5030042868277476</v>
      </c>
      <c r="L2164" s="8">
        <v>2.5187061574434923E-2</v>
      </c>
      <c r="M2164" s="8">
        <v>41.379397700701482</v>
      </c>
      <c r="N2164" s="8">
        <v>22.92412061574435</v>
      </c>
      <c r="O2164" s="8">
        <v>29.48788230709275</v>
      </c>
      <c r="P2164" s="8">
        <v>4.497817614964926E-2</v>
      </c>
      <c r="Q2164" t="s">
        <v>137</v>
      </c>
    </row>
    <row r="2165" spans="1:17" x14ac:dyDescent="0.25">
      <c r="A2165" s="7" t="s">
        <v>162</v>
      </c>
      <c r="B2165" s="7" t="s">
        <v>18</v>
      </c>
      <c r="C2165" s="7" t="s">
        <v>19</v>
      </c>
      <c r="D2165" s="7"/>
      <c r="E2165" s="7"/>
      <c r="F2165" s="7" t="s">
        <v>89</v>
      </c>
      <c r="G2165" s="7" t="s">
        <v>90</v>
      </c>
      <c r="H2165" s="7" t="s">
        <v>172</v>
      </c>
      <c r="I2165" s="7" t="s">
        <v>179</v>
      </c>
      <c r="J2165" s="8">
        <v>3.0214387542559669</v>
      </c>
      <c r="K2165" s="8">
        <v>2.7746413812412287</v>
      </c>
      <c r="L2165" s="8">
        <v>0.11263823274812874</v>
      </c>
      <c r="M2165" s="8">
        <v>262.29572749874245</v>
      </c>
      <c r="N2165" s="8">
        <v>57.817478480635415</v>
      </c>
      <c r="O2165" s="8">
        <v>126.15251918062731</v>
      </c>
      <c r="P2165" s="8">
        <v>0.24177808718078003</v>
      </c>
      <c r="Q2165" t="s">
        <v>137</v>
      </c>
    </row>
    <row r="2166" spans="1:17" x14ac:dyDescent="0.25">
      <c r="A2166" s="7" t="s">
        <v>162</v>
      </c>
      <c r="B2166" s="7" t="s">
        <v>18</v>
      </c>
      <c r="C2166" s="7" t="s">
        <v>19</v>
      </c>
      <c r="D2166" s="7"/>
      <c r="E2166" s="7"/>
      <c r="F2166" s="7" t="s">
        <v>89</v>
      </c>
      <c r="G2166" s="7" t="s">
        <v>90</v>
      </c>
      <c r="H2166" s="7" t="s">
        <v>172</v>
      </c>
      <c r="I2166" s="7" t="s">
        <v>180</v>
      </c>
      <c r="J2166" s="8">
        <v>1.6401823610807666</v>
      </c>
      <c r="K2166" s="8">
        <v>1.5089056878595877</v>
      </c>
      <c r="L2166" s="8">
        <v>3.4279222197946248E-2</v>
      </c>
      <c r="M2166" s="8">
        <v>65.771253950914002</v>
      </c>
      <c r="N2166" s="8">
        <v>28.90377219430485</v>
      </c>
      <c r="O2166" s="8">
        <v>54.258338649770586</v>
      </c>
      <c r="P2166" s="8">
        <v>8.1182725220304425E-2</v>
      </c>
      <c r="Q2166" t="s">
        <v>137</v>
      </c>
    </row>
    <row r="2167" spans="1:17" x14ac:dyDescent="0.25">
      <c r="A2167" s="7" t="s">
        <v>162</v>
      </c>
      <c r="B2167" s="7" t="s">
        <v>18</v>
      </c>
      <c r="C2167" s="7" t="s">
        <v>19</v>
      </c>
      <c r="D2167" s="7"/>
      <c r="E2167" s="7"/>
      <c r="F2167" s="7" t="s">
        <v>89</v>
      </c>
      <c r="G2167" s="7" t="s">
        <v>90</v>
      </c>
      <c r="H2167" s="7" t="s">
        <v>172</v>
      </c>
      <c r="I2167" s="7" t="s">
        <v>181</v>
      </c>
      <c r="J2167" s="8">
        <v>6.5117862634279895</v>
      </c>
      <c r="K2167" s="8">
        <v>5.7852099473129854</v>
      </c>
      <c r="L2167" s="8">
        <v>0.39478268532565974</v>
      </c>
      <c r="M2167" s="8">
        <v>1043.1121585720214</v>
      </c>
      <c r="N2167" s="8">
        <v>219.00227364848496</v>
      </c>
      <c r="O2167" s="8">
        <v>120.11742857988541</v>
      </c>
      <c r="P2167" s="8">
        <v>1.3821291080165838</v>
      </c>
      <c r="Q2167" t="s">
        <v>26</v>
      </c>
    </row>
    <row r="2168" spans="1:17" x14ac:dyDescent="0.25">
      <c r="A2168" s="7" t="s">
        <v>162</v>
      </c>
      <c r="B2168" s="7" t="s">
        <v>18</v>
      </c>
      <c r="C2168" s="7" t="s">
        <v>19</v>
      </c>
      <c r="D2168" s="7"/>
      <c r="E2168" s="7"/>
      <c r="F2168" s="7" t="s">
        <v>29</v>
      </c>
      <c r="G2168" s="7" t="s">
        <v>30</v>
      </c>
      <c r="H2168" s="7" t="s">
        <v>172</v>
      </c>
      <c r="I2168" s="7" t="s">
        <v>173</v>
      </c>
      <c r="J2168" s="8">
        <v>2.5912322274881513E-3</v>
      </c>
      <c r="K2168" s="8">
        <v>2.2922590837282783E-3</v>
      </c>
      <c r="L2168" s="8">
        <v>7.2867298578199063E-4</v>
      </c>
      <c r="M2168" s="8">
        <v>2.656503159557662</v>
      </c>
      <c r="N2168" s="8">
        <v>0.1122623749341759</v>
      </c>
      <c r="O2168" s="8">
        <v>0.20263191153238541</v>
      </c>
      <c r="P2168" s="8">
        <v>2.6137440758293843E-3</v>
      </c>
      <c r="Q2168" t="s">
        <v>26</v>
      </c>
    </row>
    <row r="2169" spans="1:17" x14ac:dyDescent="0.25">
      <c r="A2169" s="7" t="s">
        <v>162</v>
      </c>
      <c r="B2169" s="7" t="s">
        <v>18</v>
      </c>
      <c r="C2169" s="7" t="s">
        <v>19</v>
      </c>
      <c r="D2169" s="7"/>
      <c r="E2169" s="7"/>
      <c r="F2169" s="7" t="s">
        <v>29</v>
      </c>
      <c r="G2169" s="7" t="s">
        <v>30</v>
      </c>
      <c r="H2169" s="7" t="s">
        <v>172</v>
      </c>
      <c r="I2169" s="7" t="s">
        <v>174</v>
      </c>
      <c r="J2169" s="8">
        <v>8.6703654740226635E-2</v>
      </c>
      <c r="K2169" s="8">
        <v>7.6700667227245847E-2</v>
      </c>
      <c r="L2169" s="8">
        <v>4.5725723450154724E-3</v>
      </c>
      <c r="M2169" s="8">
        <v>11.920826689243777</v>
      </c>
      <c r="N2169" s="8">
        <v>3.1766362691015817</v>
      </c>
      <c r="O2169" s="8">
        <v>1.0502285130979807</v>
      </c>
      <c r="P2169" s="8">
        <v>1.740953134705412E-2</v>
      </c>
      <c r="Q2169" t="s">
        <v>26</v>
      </c>
    </row>
    <row r="2170" spans="1:17" x14ac:dyDescent="0.25">
      <c r="A2170" s="7" t="s">
        <v>162</v>
      </c>
      <c r="B2170" s="7" t="s">
        <v>18</v>
      </c>
      <c r="C2170" s="7" t="s">
        <v>19</v>
      </c>
      <c r="D2170" s="7"/>
      <c r="E2170" s="7"/>
      <c r="F2170" s="7" t="s">
        <v>29</v>
      </c>
      <c r="G2170" s="7" t="s">
        <v>30</v>
      </c>
      <c r="H2170" s="7" t="s">
        <v>172</v>
      </c>
      <c r="I2170" s="7" t="s">
        <v>175</v>
      </c>
      <c r="J2170" s="8">
        <v>1.4108175429232274E-3</v>
      </c>
      <c r="K2170" s="8">
        <v>1.2481095987901432E-3</v>
      </c>
      <c r="L2170" s="8">
        <v>2.4366159594342143E-4</v>
      </c>
      <c r="M2170" s="8">
        <v>0.61394115344522815</v>
      </c>
      <c r="N2170" s="8">
        <v>0.30185424176545167</v>
      </c>
      <c r="O2170" s="8">
        <v>2.8267918038134214E-2</v>
      </c>
      <c r="P2170" s="8">
        <v>6.830651293392025E-4</v>
      </c>
      <c r="Q2170" t="s">
        <v>26</v>
      </c>
    </row>
    <row r="2171" spans="1:17" x14ac:dyDescent="0.25">
      <c r="A2171" s="7" t="s">
        <v>162</v>
      </c>
      <c r="B2171" s="7" t="s">
        <v>18</v>
      </c>
      <c r="C2171" s="7" t="s">
        <v>19</v>
      </c>
      <c r="D2171" s="7"/>
      <c r="E2171" s="7"/>
      <c r="F2171" s="7" t="s">
        <v>29</v>
      </c>
      <c r="G2171" s="7" t="s">
        <v>30</v>
      </c>
      <c r="H2171" s="7" t="s">
        <v>172</v>
      </c>
      <c r="I2171" s="7" t="s">
        <v>176</v>
      </c>
      <c r="J2171" s="8">
        <v>1.028427404064511E-2</v>
      </c>
      <c r="K2171" s="8">
        <v>9.0998445888624806E-3</v>
      </c>
      <c r="L2171" s="8">
        <v>1.2453731222199771E-3</v>
      </c>
      <c r="M2171" s="8">
        <v>2.4481036872790058</v>
      </c>
      <c r="N2171" s="8">
        <v>0.54316746620180212</v>
      </c>
      <c r="O2171" s="8">
        <v>0.26663263027230127</v>
      </c>
      <c r="P2171" s="8">
        <v>3.7926218289925009E-3</v>
      </c>
      <c r="Q2171" t="s">
        <v>26</v>
      </c>
    </row>
    <row r="2172" spans="1:17" x14ac:dyDescent="0.25">
      <c r="A2172" s="7" t="s">
        <v>162</v>
      </c>
      <c r="B2172" s="7" t="s">
        <v>18</v>
      </c>
      <c r="C2172" s="7" t="s">
        <v>19</v>
      </c>
      <c r="D2172" s="7"/>
      <c r="E2172" s="7"/>
      <c r="F2172" s="7" t="s">
        <v>29</v>
      </c>
      <c r="G2172" s="7" t="s">
        <v>30</v>
      </c>
      <c r="H2172" s="7" t="s">
        <v>172</v>
      </c>
      <c r="I2172" s="7" t="s">
        <v>177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t="s">
        <v>26</v>
      </c>
    </row>
    <row r="2173" spans="1:17" x14ac:dyDescent="0.25">
      <c r="A2173" s="7" t="s">
        <v>162</v>
      </c>
      <c r="B2173" s="7" t="s">
        <v>18</v>
      </c>
      <c r="C2173" s="7" t="s">
        <v>19</v>
      </c>
      <c r="D2173" s="7"/>
      <c r="E2173" s="7"/>
      <c r="F2173" s="7" t="s">
        <v>29</v>
      </c>
      <c r="G2173" s="7" t="s">
        <v>30</v>
      </c>
      <c r="H2173" s="7" t="s">
        <v>172</v>
      </c>
      <c r="I2173" s="7" t="s">
        <v>178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t="s">
        <v>137</v>
      </c>
    </row>
    <row r="2174" spans="1:17" x14ac:dyDescent="0.25">
      <c r="A2174" s="7" t="s">
        <v>162</v>
      </c>
      <c r="B2174" s="7" t="s">
        <v>18</v>
      </c>
      <c r="C2174" s="7" t="s">
        <v>19</v>
      </c>
      <c r="D2174" s="7"/>
      <c r="E2174" s="7"/>
      <c r="F2174" s="7" t="s">
        <v>29</v>
      </c>
      <c r="G2174" s="7" t="s">
        <v>30</v>
      </c>
      <c r="H2174" s="7" t="s">
        <v>172</v>
      </c>
      <c r="I2174" s="7" t="s">
        <v>179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t="s">
        <v>137</v>
      </c>
    </row>
    <row r="2175" spans="1:17" x14ac:dyDescent="0.25">
      <c r="A2175" s="7" t="s">
        <v>162</v>
      </c>
      <c r="B2175" s="7" t="s">
        <v>18</v>
      </c>
      <c r="C2175" s="7" t="s">
        <v>19</v>
      </c>
      <c r="D2175" s="7"/>
      <c r="E2175" s="7"/>
      <c r="F2175" s="7" t="s">
        <v>29</v>
      </c>
      <c r="G2175" s="7" t="s">
        <v>30</v>
      </c>
      <c r="H2175" s="7" t="s">
        <v>172</v>
      </c>
      <c r="I2175" s="7" t="s">
        <v>180</v>
      </c>
      <c r="J2175" s="8">
        <v>5.1255698783773958E-2</v>
      </c>
      <c r="K2175" s="8">
        <v>4.7153302745612115E-2</v>
      </c>
      <c r="L2175" s="8">
        <v>1.0712256936858202E-3</v>
      </c>
      <c r="M2175" s="8">
        <v>2.0553516859660625</v>
      </c>
      <c r="N2175" s="8">
        <v>0.90324288107202655</v>
      </c>
      <c r="O2175" s="8">
        <v>1.6955730828053308</v>
      </c>
      <c r="P2175" s="8">
        <v>2.5369601631345133E-3</v>
      </c>
      <c r="Q2175" t="s">
        <v>137</v>
      </c>
    </row>
    <row r="2176" spans="1:17" x14ac:dyDescent="0.25">
      <c r="A2176" s="7" t="s">
        <v>162</v>
      </c>
      <c r="B2176" s="7" t="s">
        <v>18</v>
      </c>
      <c r="C2176" s="7" t="s">
        <v>19</v>
      </c>
      <c r="D2176" s="7"/>
      <c r="E2176" s="7"/>
      <c r="F2176" s="7" t="s">
        <v>29</v>
      </c>
      <c r="G2176" s="7" t="s">
        <v>30</v>
      </c>
      <c r="H2176" s="7" t="s">
        <v>172</v>
      </c>
      <c r="I2176" s="7" t="s">
        <v>181</v>
      </c>
      <c r="J2176" s="8">
        <v>0.14187614939966886</v>
      </c>
      <c r="K2176" s="8">
        <v>0.12530446366121148</v>
      </c>
      <c r="L2176" s="8">
        <v>1.0072522675015089E-2</v>
      </c>
      <c r="M2176" s="8">
        <v>27.207808671919427</v>
      </c>
      <c r="N2176" s="8">
        <v>5.5544006099287824</v>
      </c>
      <c r="O2176" s="8">
        <v>3.1783510683052327</v>
      </c>
      <c r="P2176" s="8">
        <v>3.4667605699206787E-2</v>
      </c>
      <c r="Q2176" t="s">
        <v>26</v>
      </c>
    </row>
    <row r="2177" spans="1:17" x14ac:dyDescent="0.25">
      <c r="A2177" s="7" t="s">
        <v>162</v>
      </c>
      <c r="B2177" s="7" t="s">
        <v>18</v>
      </c>
      <c r="C2177" s="7" t="s">
        <v>19</v>
      </c>
      <c r="D2177" s="7"/>
      <c r="E2177" s="7"/>
      <c r="F2177" s="7" t="s">
        <v>77</v>
      </c>
      <c r="G2177" s="7" t="s">
        <v>78</v>
      </c>
      <c r="H2177" s="7" t="s">
        <v>172</v>
      </c>
      <c r="I2177" s="7" t="s">
        <v>173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t="s">
        <v>26</v>
      </c>
    </row>
    <row r="2178" spans="1:17" x14ac:dyDescent="0.25">
      <c r="A2178" s="7" t="s">
        <v>162</v>
      </c>
      <c r="B2178" s="7" t="s">
        <v>18</v>
      </c>
      <c r="C2178" s="7" t="s">
        <v>19</v>
      </c>
      <c r="D2178" s="7"/>
      <c r="E2178" s="7"/>
      <c r="F2178" s="7" t="s">
        <v>77</v>
      </c>
      <c r="G2178" s="7" t="s">
        <v>78</v>
      </c>
      <c r="H2178" s="7" t="s">
        <v>172</v>
      </c>
      <c r="I2178" s="7" t="s">
        <v>174</v>
      </c>
      <c r="J2178" s="8">
        <v>0.14846516222641545</v>
      </c>
      <c r="K2178" s="8">
        <v>0.13133675895076341</v>
      </c>
      <c r="L2178" s="8">
        <v>7.8297471661223864E-3</v>
      </c>
      <c r="M2178" s="8">
        <v>20.412374467883183</v>
      </c>
      <c r="N2178" s="8">
        <v>5.4394456662698314</v>
      </c>
      <c r="O2178" s="8">
        <v>1.7983364950307887</v>
      </c>
      <c r="P2178" s="8">
        <v>2.9810841347695412E-2</v>
      </c>
      <c r="Q2178" t="s">
        <v>26</v>
      </c>
    </row>
    <row r="2179" spans="1:17" x14ac:dyDescent="0.25">
      <c r="A2179" s="7" t="s">
        <v>162</v>
      </c>
      <c r="B2179" s="7" t="s">
        <v>18</v>
      </c>
      <c r="C2179" s="7" t="s">
        <v>19</v>
      </c>
      <c r="D2179" s="7"/>
      <c r="E2179" s="7"/>
      <c r="F2179" s="7" t="s">
        <v>77</v>
      </c>
      <c r="G2179" s="7" t="s">
        <v>78</v>
      </c>
      <c r="H2179" s="7" t="s">
        <v>172</v>
      </c>
      <c r="I2179" s="7" t="s">
        <v>175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t="s">
        <v>26</v>
      </c>
    </row>
    <row r="2180" spans="1:17" x14ac:dyDescent="0.25">
      <c r="A2180" s="7" t="s">
        <v>162</v>
      </c>
      <c r="B2180" s="7" t="s">
        <v>18</v>
      </c>
      <c r="C2180" s="7" t="s">
        <v>19</v>
      </c>
      <c r="D2180" s="7"/>
      <c r="E2180" s="7"/>
      <c r="F2180" s="7" t="s">
        <v>77</v>
      </c>
      <c r="G2180" s="7" t="s">
        <v>78</v>
      </c>
      <c r="H2180" s="7" t="s">
        <v>172</v>
      </c>
      <c r="I2180" s="7" t="s">
        <v>176</v>
      </c>
      <c r="J2180" s="8">
        <v>2.5367875966924604E-2</v>
      </c>
      <c r="K2180" s="8">
        <v>2.244628331919412E-2</v>
      </c>
      <c r="L2180" s="8">
        <v>3.0719203681426103E-3</v>
      </c>
      <c r="M2180" s="8">
        <v>6.0386557619548817</v>
      </c>
      <c r="N2180" s="8">
        <v>1.3398130832977786</v>
      </c>
      <c r="O2180" s="8">
        <v>0.65769382133834309</v>
      </c>
      <c r="P2180" s="8">
        <v>9.3551338448481687E-3</v>
      </c>
      <c r="Q2180" t="s">
        <v>26</v>
      </c>
    </row>
    <row r="2181" spans="1:17" x14ac:dyDescent="0.25">
      <c r="A2181" s="7" t="s">
        <v>162</v>
      </c>
      <c r="B2181" s="7" t="s">
        <v>18</v>
      </c>
      <c r="C2181" s="7" t="s">
        <v>19</v>
      </c>
      <c r="D2181" s="7"/>
      <c r="E2181" s="7"/>
      <c r="F2181" s="7" t="s">
        <v>77</v>
      </c>
      <c r="G2181" s="7" t="s">
        <v>78</v>
      </c>
      <c r="H2181" s="7" t="s">
        <v>172</v>
      </c>
      <c r="I2181" s="7" t="s">
        <v>177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t="s">
        <v>26</v>
      </c>
    </row>
    <row r="2182" spans="1:17" x14ac:dyDescent="0.25">
      <c r="A2182" s="7" t="s">
        <v>162</v>
      </c>
      <c r="B2182" s="7" t="s">
        <v>18</v>
      </c>
      <c r="C2182" s="7" t="s">
        <v>19</v>
      </c>
      <c r="D2182" s="7"/>
      <c r="E2182" s="7"/>
      <c r="F2182" s="7" t="s">
        <v>77</v>
      </c>
      <c r="G2182" s="7" t="s">
        <v>78</v>
      </c>
      <c r="H2182" s="7" t="s">
        <v>172</v>
      </c>
      <c r="I2182" s="7" t="s">
        <v>178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t="s">
        <v>137</v>
      </c>
    </row>
    <row r="2183" spans="1:17" x14ac:dyDescent="0.25">
      <c r="A2183" s="7" t="s">
        <v>162</v>
      </c>
      <c r="B2183" s="7" t="s">
        <v>18</v>
      </c>
      <c r="C2183" s="7" t="s">
        <v>19</v>
      </c>
      <c r="D2183" s="7"/>
      <c r="E2183" s="7"/>
      <c r="F2183" s="7" t="s">
        <v>77</v>
      </c>
      <c r="G2183" s="7" t="s">
        <v>78</v>
      </c>
      <c r="H2183" s="7" t="s">
        <v>172</v>
      </c>
      <c r="I2183" s="7" t="s">
        <v>179</v>
      </c>
      <c r="J2183" s="8">
        <v>2.9462166104020711E-3</v>
      </c>
      <c r="K2183" s="8">
        <v>2.6062944343372817E-3</v>
      </c>
      <c r="L2183" s="8">
        <v>7.8130649704047264E-4</v>
      </c>
      <c r="M2183" s="8">
        <v>3.7325991950317663</v>
      </c>
      <c r="N2183" s="8">
        <v>0.10098844433544597</v>
      </c>
      <c r="O2183" s="8">
        <v>1.0617479567476211</v>
      </c>
      <c r="P2183" s="8">
        <v>1.2437626276925889E-3</v>
      </c>
      <c r="Q2183" t="s">
        <v>137</v>
      </c>
    </row>
    <row r="2184" spans="1:17" x14ac:dyDescent="0.25">
      <c r="A2184" s="7" t="s">
        <v>162</v>
      </c>
      <c r="B2184" s="7" t="s">
        <v>18</v>
      </c>
      <c r="C2184" s="7" t="s">
        <v>19</v>
      </c>
      <c r="D2184" s="7"/>
      <c r="E2184" s="7"/>
      <c r="F2184" s="7" t="s">
        <v>77</v>
      </c>
      <c r="G2184" s="7" t="s">
        <v>78</v>
      </c>
      <c r="H2184" s="7" t="s">
        <v>172</v>
      </c>
      <c r="I2184" s="7" t="s">
        <v>180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t="s">
        <v>137</v>
      </c>
    </row>
    <row r="2185" spans="1:17" x14ac:dyDescent="0.25">
      <c r="A2185" s="7" t="s">
        <v>162</v>
      </c>
      <c r="B2185" s="7" t="s">
        <v>18</v>
      </c>
      <c r="C2185" s="7" t="s">
        <v>19</v>
      </c>
      <c r="D2185" s="7"/>
      <c r="E2185" s="7"/>
      <c r="F2185" s="7" t="s">
        <v>77</v>
      </c>
      <c r="G2185" s="7" t="s">
        <v>78</v>
      </c>
      <c r="H2185" s="7" t="s">
        <v>172</v>
      </c>
      <c r="I2185" s="7" t="s">
        <v>181</v>
      </c>
      <c r="J2185" s="8">
        <v>0.24817306090387067</v>
      </c>
      <c r="K2185" s="8">
        <v>0.21923511695985909</v>
      </c>
      <c r="L2185" s="8">
        <v>1.7602152609348883E-2</v>
      </c>
      <c r="M2185" s="8">
        <v>46.923024655915341</v>
      </c>
      <c r="N2185" s="8">
        <v>9.5971352778928658</v>
      </c>
      <c r="O2185" s="8">
        <v>5.4355616352366694</v>
      </c>
      <c r="P2185" s="8">
        <v>6.0619673017725514E-2</v>
      </c>
      <c r="Q2185" t="s">
        <v>26</v>
      </c>
    </row>
    <row r="2186" spans="1:17" x14ac:dyDescent="0.25">
      <c r="A2186" s="7" t="s">
        <v>162</v>
      </c>
      <c r="B2186" s="7" t="s">
        <v>18</v>
      </c>
      <c r="C2186" s="7" t="s">
        <v>19</v>
      </c>
      <c r="D2186" s="7"/>
      <c r="E2186" s="7"/>
      <c r="F2186" s="7" t="s">
        <v>106</v>
      </c>
      <c r="G2186" s="7" t="s">
        <v>107</v>
      </c>
      <c r="H2186" s="7" t="s">
        <v>172</v>
      </c>
      <c r="I2186" s="7" t="s">
        <v>173</v>
      </c>
      <c r="J2186" s="8">
        <v>7.3418246445497619E-3</v>
      </c>
      <c r="K2186" s="8">
        <v>6.4947340705634547E-3</v>
      </c>
      <c r="L2186" s="8">
        <v>2.0645734597156402E-3</v>
      </c>
      <c r="M2186" s="8">
        <v>7.5267589520800424</v>
      </c>
      <c r="N2186" s="8">
        <v>0.31807672898016504</v>
      </c>
      <c r="O2186" s="8">
        <v>0.57412374934175869</v>
      </c>
      <c r="P2186" s="8">
        <v>7.4056082148499227E-3</v>
      </c>
      <c r="Q2186" t="s">
        <v>26</v>
      </c>
    </row>
    <row r="2187" spans="1:17" x14ac:dyDescent="0.25">
      <c r="A2187" s="7" t="s">
        <v>162</v>
      </c>
      <c r="B2187" s="7" t="s">
        <v>18</v>
      </c>
      <c r="C2187" s="7" t="s">
        <v>19</v>
      </c>
      <c r="D2187" s="7"/>
      <c r="E2187" s="7"/>
      <c r="F2187" s="7" t="s">
        <v>106</v>
      </c>
      <c r="G2187" s="7" t="s">
        <v>107</v>
      </c>
      <c r="H2187" s="7" t="s">
        <v>172</v>
      </c>
      <c r="I2187" s="7" t="s">
        <v>174</v>
      </c>
      <c r="J2187" s="8">
        <v>0.42876738850988783</v>
      </c>
      <c r="K2187" s="8">
        <v>0.37930055984980482</v>
      </c>
      <c r="L2187" s="8">
        <v>2.2612309815761445E-2</v>
      </c>
      <c r="M2187" s="8">
        <v>58.950937463246625</v>
      </c>
      <c r="N2187" s="8">
        <v>15.709119084187273</v>
      </c>
      <c r="O2187" s="8">
        <v>5.1935957976489178</v>
      </c>
      <c r="P2187" s="8">
        <v>8.6093709812144342E-2</v>
      </c>
      <c r="Q2187" t="s">
        <v>26</v>
      </c>
    </row>
    <row r="2188" spans="1:17" x14ac:dyDescent="0.25">
      <c r="A2188" s="7" t="s">
        <v>162</v>
      </c>
      <c r="B2188" s="7" t="s">
        <v>18</v>
      </c>
      <c r="C2188" s="7" t="s">
        <v>19</v>
      </c>
      <c r="D2188" s="7"/>
      <c r="E2188" s="7"/>
      <c r="F2188" s="7" t="s">
        <v>106</v>
      </c>
      <c r="G2188" s="7" t="s">
        <v>107</v>
      </c>
      <c r="H2188" s="7" t="s">
        <v>172</v>
      </c>
      <c r="I2188" s="7" t="s">
        <v>175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t="s">
        <v>26</v>
      </c>
    </row>
    <row r="2189" spans="1:17" x14ac:dyDescent="0.25">
      <c r="A2189" s="7" t="s">
        <v>162</v>
      </c>
      <c r="B2189" s="7" t="s">
        <v>18</v>
      </c>
      <c r="C2189" s="7" t="s">
        <v>19</v>
      </c>
      <c r="D2189" s="7"/>
      <c r="E2189" s="7"/>
      <c r="F2189" s="7" t="s">
        <v>106</v>
      </c>
      <c r="G2189" s="7" t="s">
        <v>107</v>
      </c>
      <c r="H2189" s="7" t="s">
        <v>172</v>
      </c>
      <c r="I2189" s="7" t="s">
        <v>176</v>
      </c>
      <c r="J2189" s="8">
        <v>7.9531719247655508E-2</v>
      </c>
      <c r="K2189" s="8">
        <v>7.0372131487203171E-2</v>
      </c>
      <c r="L2189" s="8">
        <v>9.6308854785011576E-3</v>
      </c>
      <c r="M2189" s="8">
        <v>18.932001848290977</v>
      </c>
      <c r="N2189" s="8">
        <v>4.2004950719606038</v>
      </c>
      <c r="O2189" s="8">
        <v>2.0619590074391296</v>
      </c>
      <c r="P2189" s="8">
        <v>2.9329608810875343E-2</v>
      </c>
      <c r="Q2189" t="s">
        <v>26</v>
      </c>
    </row>
    <row r="2190" spans="1:17" x14ac:dyDescent="0.25">
      <c r="A2190" s="7" t="s">
        <v>162</v>
      </c>
      <c r="B2190" s="7" t="s">
        <v>18</v>
      </c>
      <c r="C2190" s="7" t="s">
        <v>19</v>
      </c>
      <c r="D2190" s="7"/>
      <c r="E2190" s="7"/>
      <c r="F2190" s="7" t="s">
        <v>106</v>
      </c>
      <c r="G2190" s="7" t="s">
        <v>107</v>
      </c>
      <c r="H2190" s="7" t="s">
        <v>172</v>
      </c>
      <c r="I2190" s="7" t="s">
        <v>177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t="s">
        <v>26</v>
      </c>
    </row>
    <row r="2191" spans="1:17" x14ac:dyDescent="0.25">
      <c r="A2191" s="7" t="s">
        <v>162</v>
      </c>
      <c r="B2191" s="7" t="s">
        <v>18</v>
      </c>
      <c r="C2191" s="7" t="s">
        <v>19</v>
      </c>
      <c r="D2191" s="7"/>
      <c r="E2191" s="7"/>
      <c r="F2191" s="7" t="s">
        <v>106</v>
      </c>
      <c r="G2191" s="7" t="s">
        <v>107</v>
      </c>
      <c r="H2191" s="7" t="s">
        <v>172</v>
      </c>
      <c r="I2191" s="7" t="s">
        <v>178</v>
      </c>
      <c r="J2191" s="8">
        <v>0.49722096648480135</v>
      </c>
      <c r="K2191" s="8">
        <v>0.45743608729540147</v>
      </c>
      <c r="L2191" s="8">
        <v>7.6656274356975826E-3</v>
      </c>
      <c r="M2191" s="8">
        <v>12.593729734996105</v>
      </c>
      <c r="N2191" s="8">
        <v>6.9769062743569767</v>
      </c>
      <c r="O2191" s="8">
        <v>8.9745728760717061</v>
      </c>
      <c r="P2191" s="8">
        <v>1.3689010132501947E-2</v>
      </c>
      <c r="Q2191" t="s">
        <v>137</v>
      </c>
    </row>
    <row r="2192" spans="1:17" x14ac:dyDescent="0.25">
      <c r="A2192" s="7" t="s">
        <v>162</v>
      </c>
      <c r="B2192" s="7" t="s">
        <v>18</v>
      </c>
      <c r="C2192" s="7" t="s">
        <v>19</v>
      </c>
      <c r="D2192" s="7"/>
      <c r="E2192" s="7"/>
      <c r="F2192" s="7" t="s">
        <v>106</v>
      </c>
      <c r="G2192" s="7" t="s">
        <v>107</v>
      </c>
      <c r="H2192" s="7" t="s">
        <v>172</v>
      </c>
      <c r="I2192" s="7" t="s">
        <v>179</v>
      </c>
      <c r="J2192" s="8">
        <v>0.44223889229931268</v>
      </c>
      <c r="K2192" s="8">
        <v>0.40656655418367005</v>
      </c>
      <c r="L2192" s="8">
        <v>1.3438246872280126E-2</v>
      </c>
      <c r="M2192" s="8">
        <v>22.514452756170378</v>
      </c>
      <c r="N2192" s="8">
        <v>8.2361528697189375</v>
      </c>
      <c r="O2192" s="8">
        <v>14.203000263272061</v>
      </c>
      <c r="P2192" s="8">
        <v>3.0331869995710116E-2</v>
      </c>
      <c r="Q2192" t="s">
        <v>137</v>
      </c>
    </row>
    <row r="2193" spans="1:17" x14ac:dyDescent="0.25">
      <c r="A2193" s="7" t="s">
        <v>162</v>
      </c>
      <c r="B2193" s="7" t="s">
        <v>18</v>
      </c>
      <c r="C2193" s="7" t="s">
        <v>19</v>
      </c>
      <c r="D2193" s="7"/>
      <c r="E2193" s="7"/>
      <c r="F2193" s="7" t="s">
        <v>106</v>
      </c>
      <c r="G2193" s="7" t="s">
        <v>107</v>
      </c>
      <c r="H2193" s="7" t="s">
        <v>172</v>
      </c>
      <c r="I2193" s="7" t="s">
        <v>180</v>
      </c>
      <c r="J2193" s="8">
        <v>0.20502279513509583</v>
      </c>
      <c r="K2193" s="8">
        <v>0.18861321098244846</v>
      </c>
      <c r="L2193" s="8">
        <v>4.284902774743281E-3</v>
      </c>
      <c r="M2193" s="8">
        <v>8.2214067438642502</v>
      </c>
      <c r="N2193" s="8">
        <v>3.6129715242881062</v>
      </c>
      <c r="O2193" s="8">
        <v>6.7822923312213232</v>
      </c>
      <c r="P2193" s="8">
        <v>1.0147840652538053E-2</v>
      </c>
      <c r="Q2193" t="s">
        <v>137</v>
      </c>
    </row>
    <row r="2194" spans="1:17" x14ac:dyDescent="0.25">
      <c r="A2194" s="7" t="s">
        <v>162</v>
      </c>
      <c r="B2194" s="7" t="s">
        <v>18</v>
      </c>
      <c r="C2194" s="7" t="s">
        <v>19</v>
      </c>
      <c r="D2194" s="7"/>
      <c r="E2194" s="7"/>
      <c r="F2194" s="7" t="s">
        <v>106</v>
      </c>
      <c r="G2194" s="7" t="s">
        <v>107</v>
      </c>
      <c r="H2194" s="7" t="s">
        <v>172</v>
      </c>
      <c r="I2194" s="7" t="s">
        <v>181</v>
      </c>
      <c r="J2194" s="8">
        <v>0.89211512747527622</v>
      </c>
      <c r="K2194" s="8">
        <v>0.79138057092988701</v>
      </c>
      <c r="L2194" s="8">
        <v>5.6931783977858794E-2</v>
      </c>
      <c r="M2194" s="8">
        <v>153.11074201607099</v>
      </c>
      <c r="N2194" s="8">
        <v>31.672398856555183</v>
      </c>
      <c r="O2194" s="8">
        <v>17.869390037115402</v>
      </c>
      <c r="P2194" s="8">
        <v>0.196462421203243</v>
      </c>
      <c r="Q2194" t="s">
        <v>26</v>
      </c>
    </row>
    <row r="2195" spans="1:17" x14ac:dyDescent="0.25">
      <c r="A2195" s="7" t="s">
        <v>162</v>
      </c>
      <c r="B2195" s="7" t="s">
        <v>18</v>
      </c>
      <c r="C2195" s="7" t="s">
        <v>19</v>
      </c>
      <c r="D2195" s="7"/>
      <c r="E2195" s="7"/>
      <c r="F2195" s="7" t="s">
        <v>91</v>
      </c>
      <c r="G2195" s="7" t="s">
        <v>92</v>
      </c>
      <c r="H2195" s="7" t="s">
        <v>172</v>
      </c>
      <c r="I2195" s="7" t="s">
        <v>173</v>
      </c>
      <c r="J2195" s="8">
        <v>1.6843009478672986E-2</v>
      </c>
      <c r="K2195" s="8">
        <v>1.4899684044233809E-2</v>
      </c>
      <c r="L2195" s="8">
        <v>4.7363744075829394E-3</v>
      </c>
      <c r="M2195" s="8">
        <v>17.267270537124801</v>
      </c>
      <c r="N2195" s="8">
        <v>0.7297054370721433</v>
      </c>
      <c r="O2195" s="8">
        <v>1.3171074249605053</v>
      </c>
      <c r="P2195" s="8">
        <v>1.6989336492891E-2</v>
      </c>
      <c r="Q2195" t="s">
        <v>26</v>
      </c>
    </row>
    <row r="2196" spans="1:17" x14ac:dyDescent="0.25">
      <c r="A2196" s="7" t="s">
        <v>162</v>
      </c>
      <c r="B2196" s="7" t="s">
        <v>18</v>
      </c>
      <c r="C2196" s="7" t="s">
        <v>19</v>
      </c>
      <c r="D2196" s="7"/>
      <c r="E2196" s="7"/>
      <c r="F2196" s="7" t="s">
        <v>91</v>
      </c>
      <c r="G2196" s="7" t="s">
        <v>92</v>
      </c>
      <c r="H2196" s="7" t="s">
        <v>172</v>
      </c>
      <c r="I2196" s="7" t="s">
        <v>174</v>
      </c>
      <c r="J2196" s="8">
        <v>0.82546630197887005</v>
      </c>
      <c r="K2196" s="8">
        <v>0.73023237976624455</v>
      </c>
      <c r="L2196" s="8">
        <v>4.3533394243640458E-2</v>
      </c>
      <c r="M2196" s="8">
        <v>113.49280204143048</v>
      </c>
      <c r="N2196" s="8">
        <v>30.243317904460259</v>
      </c>
      <c r="O2196" s="8">
        <v>9.998750912371186</v>
      </c>
      <c r="P2196" s="8">
        <v>0.16574827789318647</v>
      </c>
      <c r="Q2196" t="s">
        <v>26</v>
      </c>
    </row>
    <row r="2197" spans="1:17" x14ac:dyDescent="0.25">
      <c r="A2197" s="7" t="s">
        <v>162</v>
      </c>
      <c r="B2197" s="7" t="s">
        <v>18</v>
      </c>
      <c r="C2197" s="7" t="s">
        <v>19</v>
      </c>
      <c r="D2197" s="7"/>
      <c r="E2197" s="7"/>
      <c r="F2197" s="7" t="s">
        <v>91</v>
      </c>
      <c r="G2197" s="7" t="s">
        <v>92</v>
      </c>
      <c r="H2197" s="7" t="s">
        <v>172</v>
      </c>
      <c r="I2197" s="7" t="s">
        <v>175</v>
      </c>
      <c r="J2197" s="8">
        <v>4.2324526287696815E-3</v>
      </c>
      <c r="K2197" s="8">
        <v>3.74432879637043E-3</v>
      </c>
      <c r="L2197" s="8">
        <v>7.3098478783026419E-4</v>
      </c>
      <c r="M2197" s="8">
        <v>1.841823460335684</v>
      </c>
      <c r="N2197" s="8">
        <v>0.90556272529635506</v>
      </c>
      <c r="O2197" s="8">
        <v>8.4803754114402635E-2</v>
      </c>
      <c r="P2197" s="8">
        <v>2.0491953880176074E-3</v>
      </c>
      <c r="Q2197" t="s">
        <v>26</v>
      </c>
    </row>
    <row r="2198" spans="1:17" x14ac:dyDescent="0.25">
      <c r="A2198" s="7" t="s">
        <v>162</v>
      </c>
      <c r="B2198" s="7" t="s">
        <v>18</v>
      </c>
      <c r="C2198" s="7" t="s">
        <v>19</v>
      </c>
      <c r="D2198" s="7"/>
      <c r="E2198" s="7"/>
      <c r="F2198" s="7" t="s">
        <v>91</v>
      </c>
      <c r="G2198" s="7" t="s">
        <v>92</v>
      </c>
      <c r="H2198" s="7" t="s">
        <v>172</v>
      </c>
      <c r="I2198" s="7" t="s">
        <v>176</v>
      </c>
      <c r="J2198" s="8">
        <v>9.1187229827053309E-2</v>
      </c>
      <c r="K2198" s="8">
        <v>8.0685288687913997E-2</v>
      </c>
      <c r="L2198" s="8">
        <v>1.1042308350350463E-2</v>
      </c>
      <c r="M2198" s="8">
        <v>21.706519360540522</v>
      </c>
      <c r="N2198" s="8">
        <v>4.8160848669893124</v>
      </c>
      <c r="O2198" s="8">
        <v>2.3641426550810714</v>
      </c>
      <c r="P2198" s="8">
        <v>3.3627913550400172E-2</v>
      </c>
      <c r="Q2198" t="s">
        <v>26</v>
      </c>
    </row>
    <row r="2199" spans="1:17" x14ac:dyDescent="0.25">
      <c r="A2199" s="7" t="s">
        <v>162</v>
      </c>
      <c r="B2199" s="7" t="s">
        <v>18</v>
      </c>
      <c r="C2199" s="7" t="s">
        <v>19</v>
      </c>
      <c r="D2199" s="7"/>
      <c r="E2199" s="7"/>
      <c r="F2199" s="7" t="s">
        <v>91</v>
      </c>
      <c r="G2199" s="7" t="s">
        <v>92</v>
      </c>
      <c r="H2199" s="7" t="s">
        <v>172</v>
      </c>
      <c r="I2199" s="7" t="s">
        <v>177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t="s">
        <v>26</v>
      </c>
    </row>
    <row r="2200" spans="1:17" x14ac:dyDescent="0.25">
      <c r="A2200" s="7" t="s">
        <v>162</v>
      </c>
      <c r="B2200" s="7" t="s">
        <v>18</v>
      </c>
      <c r="C2200" s="7" t="s">
        <v>19</v>
      </c>
      <c r="D2200" s="7"/>
      <c r="E2200" s="7"/>
      <c r="F2200" s="7" t="s">
        <v>91</v>
      </c>
      <c r="G2200" s="7" t="s">
        <v>92</v>
      </c>
      <c r="H2200" s="7" t="s">
        <v>172</v>
      </c>
      <c r="I2200" s="7" t="s">
        <v>178</v>
      </c>
      <c r="J2200" s="8">
        <v>0.14206313328137182</v>
      </c>
      <c r="K2200" s="8">
        <v>0.13069602494154328</v>
      </c>
      <c r="L2200" s="8">
        <v>2.1901792673421671E-3</v>
      </c>
      <c r="M2200" s="8">
        <v>3.5982084957131724</v>
      </c>
      <c r="N2200" s="8">
        <v>1.9934017926734218</v>
      </c>
      <c r="O2200" s="8">
        <v>2.5641636788776307</v>
      </c>
      <c r="P2200" s="8">
        <v>3.9111457521434131E-3</v>
      </c>
      <c r="Q2200" t="s">
        <v>137</v>
      </c>
    </row>
    <row r="2201" spans="1:17" x14ac:dyDescent="0.25">
      <c r="A2201" s="7" t="s">
        <v>162</v>
      </c>
      <c r="B2201" s="7" t="s">
        <v>18</v>
      </c>
      <c r="C2201" s="7" t="s">
        <v>19</v>
      </c>
      <c r="D2201" s="7"/>
      <c r="E2201" s="7"/>
      <c r="F2201" s="7" t="s">
        <v>91</v>
      </c>
      <c r="G2201" s="7" t="s">
        <v>92</v>
      </c>
      <c r="H2201" s="7" t="s">
        <v>172</v>
      </c>
      <c r="I2201" s="7" t="s">
        <v>179</v>
      </c>
      <c r="J2201" s="8">
        <v>0.54821213166039795</v>
      </c>
      <c r="K2201" s="8">
        <v>0.50354490443549493</v>
      </c>
      <c r="L2201" s="8">
        <v>1.9680427227200113E-2</v>
      </c>
      <c r="M2201" s="8">
        <v>43.559902451555544</v>
      </c>
      <c r="N2201" s="8">
        <v>10.411239835967239</v>
      </c>
      <c r="O2201" s="8">
        <v>21.831267708700523</v>
      </c>
      <c r="P2201" s="8">
        <v>4.2150805684200925E-2</v>
      </c>
      <c r="Q2201" t="s">
        <v>137</v>
      </c>
    </row>
    <row r="2202" spans="1:17" x14ac:dyDescent="0.25">
      <c r="A2202" s="7" t="s">
        <v>162</v>
      </c>
      <c r="B2202" s="7" t="s">
        <v>18</v>
      </c>
      <c r="C2202" s="7" t="s">
        <v>19</v>
      </c>
      <c r="D2202" s="7"/>
      <c r="E2202" s="7"/>
      <c r="F2202" s="7" t="s">
        <v>91</v>
      </c>
      <c r="G2202" s="7" t="s">
        <v>92</v>
      </c>
      <c r="H2202" s="7" t="s">
        <v>172</v>
      </c>
      <c r="I2202" s="7" t="s">
        <v>180</v>
      </c>
      <c r="J2202" s="8">
        <v>0.3075341927026437</v>
      </c>
      <c r="K2202" s="8">
        <v>0.2829198164736727</v>
      </c>
      <c r="L2202" s="8">
        <v>6.4273541621149228E-3</v>
      </c>
      <c r="M2202" s="8">
        <v>12.332110115796374</v>
      </c>
      <c r="N2202" s="8">
        <v>5.4194572864321602</v>
      </c>
      <c r="O2202" s="8">
        <v>10.173438496831986</v>
      </c>
      <c r="P2202" s="8">
        <v>1.5221760978807078E-2</v>
      </c>
      <c r="Q2202" t="s">
        <v>137</v>
      </c>
    </row>
    <row r="2203" spans="1:17" x14ac:dyDescent="0.25">
      <c r="A2203" s="7" t="s">
        <v>162</v>
      </c>
      <c r="B2203" s="7" t="s">
        <v>18</v>
      </c>
      <c r="C2203" s="7" t="s">
        <v>19</v>
      </c>
      <c r="D2203" s="7"/>
      <c r="E2203" s="7"/>
      <c r="F2203" s="7" t="s">
        <v>91</v>
      </c>
      <c r="G2203" s="7" t="s">
        <v>92</v>
      </c>
      <c r="H2203" s="7" t="s">
        <v>172</v>
      </c>
      <c r="I2203" s="7" t="s">
        <v>181</v>
      </c>
      <c r="J2203" s="8">
        <v>0.47516617236175857</v>
      </c>
      <c r="K2203" s="8">
        <v>0.4199796184106287</v>
      </c>
      <c r="L2203" s="8">
        <v>3.3324021545235658E-2</v>
      </c>
      <c r="M2203" s="8">
        <v>87.828551112032983</v>
      </c>
      <c r="N2203" s="8">
        <v>18.026252334923011</v>
      </c>
      <c r="O2203" s="8">
        <v>10.100689146252</v>
      </c>
      <c r="P2203" s="8">
        <v>0.11485620553336851</v>
      </c>
      <c r="Q2203" t="s">
        <v>26</v>
      </c>
    </row>
    <row r="2204" spans="1:17" x14ac:dyDescent="0.25">
      <c r="A2204" s="7" t="s">
        <v>162</v>
      </c>
      <c r="B2204" s="7" t="s">
        <v>18</v>
      </c>
      <c r="C2204" s="7" t="s">
        <v>19</v>
      </c>
      <c r="D2204" s="7"/>
      <c r="E2204" s="7"/>
      <c r="F2204" s="7" t="s">
        <v>93</v>
      </c>
      <c r="G2204" s="7" t="s">
        <v>94</v>
      </c>
      <c r="H2204" s="7" t="s">
        <v>172</v>
      </c>
      <c r="I2204" s="7" t="s">
        <v>173</v>
      </c>
      <c r="J2204" s="8">
        <v>8.6374407582938384E-4</v>
      </c>
      <c r="K2204" s="8">
        <v>7.6408636124275942E-4</v>
      </c>
      <c r="L2204" s="8">
        <v>2.4289099526066354E-4</v>
      </c>
      <c r="M2204" s="8">
        <v>0.88550105318588723</v>
      </c>
      <c r="N2204" s="8">
        <v>3.7420791644725303E-2</v>
      </c>
      <c r="O2204" s="8">
        <v>6.7543970510795137E-2</v>
      </c>
      <c r="P2204" s="8">
        <v>8.712480252764614E-4</v>
      </c>
      <c r="Q2204" t="s">
        <v>26</v>
      </c>
    </row>
    <row r="2205" spans="1:17" x14ac:dyDescent="0.25">
      <c r="A2205" s="7" t="s">
        <v>162</v>
      </c>
      <c r="B2205" s="7" t="s">
        <v>18</v>
      </c>
      <c r="C2205" s="7" t="s">
        <v>19</v>
      </c>
      <c r="D2205" s="7"/>
      <c r="E2205" s="7"/>
      <c r="F2205" s="7" t="s">
        <v>93</v>
      </c>
      <c r="G2205" s="7" t="s">
        <v>94</v>
      </c>
      <c r="H2205" s="7" t="s">
        <v>172</v>
      </c>
      <c r="I2205" s="7" t="s">
        <v>174</v>
      </c>
      <c r="J2205" s="8">
        <v>0.14727744092860412</v>
      </c>
      <c r="K2205" s="8">
        <v>0.13028606487915731</v>
      </c>
      <c r="L2205" s="8">
        <v>7.7671091887934057E-3</v>
      </c>
      <c r="M2205" s="8">
        <v>20.249075472140117</v>
      </c>
      <c r="N2205" s="8">
        <v>5.3959301009396725</v>
      </c>
      <c r="O2205" s="8">
        <v>1.7839498030705427</v>
      </c>
      <c r="P2205" s="8">
        <v>2.9572354616913848E-2</v>
      </c>
      <c r="Q2205" t="s">
        <v>26</v>
      </c>
    </row>
    <row r="2206" spans="1:17" x14ac:dyDescent="0.25">
      <c r="A2206" s="7" t="s">
        <v>162</v>
      </c>
      <c r="B2206" s="7" t="s">
        <v>18</v>
      </c>
      <c r="C2206" s="7" t="s">
        <v>19</v>
      </c>
      <c r="D2206" s="7"/>
      <c r="E2206" s="7"/>
      <c r="F2206" s="7" t="s">
        <v>93</v>
      </c>
      <c r="G2206" s="7" t="s">
        <v>94</v>
      </c>
      <c r="H2206" s="7" t="s">
        <v>172</v>
      </c>
      <c r="I2206" s="7" t="s">
        <v>175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t="s">
        <v>26</v>
      </c>
    </row>
    <row r="2207" spans="1:17" x14ac:dyDescent="0.25">
      <c r="A2207" s="7" t="s">
        <v>162</v>
      </c>
      <c r="B2207" s="7" t="s">
        <v>18</v>
      </c>
      <c r="C2207" s="7" t="s">
        <v>19</v>
      </c>
      <c r="D2207" s="7"/>
      <c r="E2207" s="7"/>
      <c r="F2207" s="7" t="s">
        <v>93</v>
      </c>
      <c r="G2207" s="7" t="s">
        <v>94</v>
      </c>
      <c r="H2207" s="7" t="s">
        <v>172</v>
      </c>
      <c r="I2207" s="7" t="s">
        <v>176</v>
      </c>
      <c r="J2207" s="8">
        <v>1.9197311542537541E-2</v>
      </c>
      <c r="K2207" s="8">
        <v>1.6986376565876631E-2</v>
      </c>
      <c r="L2207" s="8">
        <v>2.3246964948106237E-3</v>
      </c>
      <c r="M2207" s="8">
        <v>4.5697935495874775</v>
      </c>
      <c r="N2207" s="8">
        <v>1.0139126035766974</v>
      </c>
      <c r="O2207" s="8">
        <v>0.49771424317496232</v>
      </c>
      <c r="P2207" s="8">
        <v>7.0795607474526678E-3</v>
      </c>
      <c r="Q2207" t="s">
        <v>26</v>
      </c>
    </row>
    <row r="2208" spans="1:17" x14ac:dyDescent="0.25">
      <c r="A2208" s="7" t="s">
        <v>162</v>
      </c>
      <c r="B2208" s="7" t="s">
        <v>18</v>
      </c>
      <c r="C2208" s="7" t="s">
        <v>19</v>
      </c>
      <c r="D2208" s="7"/>
      <c r="E2208" s="7"/>
      <c r="F2208" s="7" t="s">
        <v>93</v>
      </c>
      <c r="G2208" s="7" t="s">
        <v>94</v>
      </c>
      <c r="H2208" s="7" t="s">
        <v>172</v>
      </c>
      <c r="I2208" s="7" t="s">
        <v>177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t="s">
        <v>26</v>
      </c>
    </row>
    <row r="2209" spans="1:17" x14ac:dyDescent="0.25">
      <c r="A2209" s="7" t="s">
        <v>162</v>
      </c>
      <c r="B2209" s="7" t="s">
        <v>18</v>
      </c>
      <c r="C2209" s="7" t="s">
        <v>19</v>
      </c>
      <c r="D2209" s="7"/>
      <c r="E2209" s="7"/>
      <c r="F2209" s="7" t="s">
        <v>93</v>
      </c>
      <c r="G2209" s="7" t="s">
        <v>94</v>
      </c>
      <c r="H2209" s="7" t="s">
        <v>172</v>
      </c>
      <c r="I2209" s="7" t="s">
        <v>178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t="s">
        <v>137</v>
      </c>
    </row>
    <row r="2210" spans="1:17" x14ac:dyDescent="0.25">
      <c r="A2210" s="7" t="s">
        <v>162</v>
      </c>
      <c r="B2210" s="7" t="s">
        <v>18</v>
      </c>
      <c r="C2210" s="7" t="s">
        <v>19</v>
      </c>
      <c r="D2210" s="7"/>
      <c r="E2210" s="7"/>
      <c r="F2210" s="7" t="s">
        <v>93</v>
      </c>
      <c r="G2210" s="7" t="s">
        <v>94</v>
      </c>
      <c r="H2210" s="7" t="s">
        <v>172</v>
      </c>
      <c r="I2210" s="7" t="s">
        <v>179</v>
      </c>
      <c r="J2210" s="8">
        <v>2.5756755687670833E-2</v>
      </c>
      <c r="K2210" s="8">
        <v>2.3593013954371925E-2</v>
      </c>
      <c r="L2210" s="8">
        <v>1.3652184644698784E-3</v>
      </c>
      <c r="M2210" s="8">
        <v>4.3282126250883488</v>
      </c>
      <c r="N2210" s="8">
        <v>0.51852463047821429</v>
      </c>
      <c r="O2210" s="8">
        <v>1.6416298721702105</v>
      </c>
      <c r="P2210" s="8">
        <v>2.6437932651995552E-3</v>
      </c>
      <c r="Q2210" t="s">
        <v>137</v>
      </c>
    </row>
    <row r="2211" spans="1:17" x14ac:dyDescent="0.25">
      <c r="A2211" s="7" t="s">
        <v>162</v>
      </c>
      <c r="B2211" s="7" t="s">
        <v>18</v>
      </c>
      <c r="C2211" s="7" t="s">
        <v>19</v>
      </c>
      <c r="D2211" s="7"/>
      <c r="E2211" s="7"/>
      <c r="F2211" s="7" t="s">
        <v>93</v>
      </c>
      <c r="G2211" s="7" t="s">
        <v>94</v>
      </c>
      <c r="H2211" s="7" t="s">
        <v>172</v>
      </c>
      <c r="I2211" s="7" t="s">
        <v>180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t="s">
        <v>137</v>
      </c>
    </row>
    <row r="2212" spans="1:17" x14ac:dyDescent="0.25">
      <c r="A2212" s="7" t="s">
        <v>162</v>
      </c>
      <c r="B2212" s="7" t="s">
        <v>18</v>
      </c>
      <c r="C2212" s="7" t="s">
        <v>19</v>
      </c>
      <c r="D2212" s="7"/>
      <c r="E2212" s="7"/>
      <c r="F2212" s="7" t="s">
        <v>93</v>
      </c>
      <c r="G2212" s="7" t="s">
        <v>94</v>
      </c>
      <c r="H2212" s="7" t="s">
        <v>172</v>
      </c>
      <c r="I2212" s="7" t="s">
        <v>181</v>
      </c>
      <c r="J2212" s="8">
        <v>9.1063161861319034E-2</v>
      </c>
      <c r="K2212" s="8">
        <v>8.0365947363567697E-2</v>
      </c>
      <c r="L2212" s="8">
        <v>6.6440849463828486E-3</v>
      </c>
      <c r="M2212" s="8">
        <v>17.785517841061917</v>
      </c>
      <c r="N2212" s="8">
        <v>3.6180227195332191</v>
      </c>
      <c r="O2212" s="8">
        <v>2.0649868412607586</v>
      </c>
      <c r="P2212" s="8">
        <v>2.2859647954440305E-2</v>
      </c>
      <c r="Q2212" t="s">
        <v>26</v>
      </c>
    </row>
    <row r="2213" spans="1:17" x14ac:dyDescent="0.25">
      <c r="A2213" s="7" t="s">
        <v>162</v>
      </c>
      <c r="B2213" s="7" t="s">
        <v>18</v>
      </c>
      <c r="C2213" s="7" t="s">
        <v>19</v>
      </c>
      <c r="D2213" s="7"/>
      <c r="E2213" s="7"/>
      <c r="F2213" s="7" t="s">
        <v>95</v>
      </c>
      <c r="G2213" s="7" t="s">
        <v>96</v>
      </c>
      <c r="H2213" s="7" t="s">
        <v>172</v>
      </c>
      <c r="I2213" s="7" t="s">
        <v>173</v>
      </c>
      <c r="J2213" s="8">
        <v>6.4780805687203796E-3</v>
      </c>
      <c r="K2213" s="8">
        <v>5.7306477093206952E-3</v>
      </c>
      <c r="L2213" s="8">
        <v>1.8216824644549767E-3</v>
      </c>
      <c r="M2213" s="8">
        <v>6.6412578988941551</v>
      </c>
      <c r="N2213" s="8">
        <v>0.2806559373354397</v>
      </c>
      <c r="O2213" s="8">
        <v>0.5065797788309635</v>
      </c>
      <c r="P2213" s="8">
        <v>6.5343601895734606E-3</v>
      </c>
      <c r="Q2213" t="s">
        <v>26</v>
      </c>
    </row>
    <row r="2214" spans="1:17" x14ac:dyDescent="0.25">
      <c r="A2214" s="7" t="s">
        <v>162</v>
      </c>
      <c r="B2214" s="7" t="s">
        <v>18</v>
      </c>
      <c r="C2214" s="7" t="s">
        <v>19</v>
      </c>
      <c r="D2214" s="7"/>
      <c r="E2214" s="7"/>
      <c r="F2214" s="7" t="s">
        <v>95</v>
      </c>
      <c r="G2214" s="7" t="s">
        <v>96</v>
      </c>
      <c r="H2214" s="7" t="s">
        <v>172</v>
      </c>
      <c r="I2214" s="7" t="s">
        <v>174</v>
      </c>
      <c r="J2214" s="8">
        <v>0.11402124458988709</v>
      </c>
      <c r="K2214" s="8">
        <v>0.10086663087418631</v>
      </c>
      <c r="L2214" s="8">
        <v>6.0132458235819912E-3</v>
      </c>
      <c r="M2214" s="8">
        <v>15.676703591334283</v>
      </c>
      <c r="N2214" s="8">
        <v>4.177494271695231</v>
      </c>
      <c r="O2214" s="8">
        <v>1.3811224281836456</v>
      </c>
      <c r="P2214" s="8">
        <v>2.2894726155030073E-2</v>
      </c>
      <c r="Q2214" t="s">
        <v>26</v>
      </c>
    </row>
    <row r="2215" spans="1:17" x14ac:dyDescent="0.25">
      <c r="A2215" s="7" t="s">
        <v>162</v>
      </c>
      <c r="B2215" s="7" t="s">
        <v>18</v>
      </c>
      <c r="C2215" s="7" t="s">
        <v>19</v>
      </c>
      <c r="D2215" s="7"/>
      <c r="E2215" s="7"/>
      <c r="F2215" s="7" t="s">
        <v>95</v>
      </c>
      <c r="G2215" s="7" t="s">
        <v>96</v>
      </c>
      <c r="H2215" s="7" t="s">
        <v>172</v>
      </c>
      <c r="I2215" s="7" t="s">
        <v>175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t="s">
        <v>26</v>
      </c>
    </row>
    <row r="2216" spans="1:17" x14ac:dyDescent="0.25">
      <c r="A2216" s="7" t="s">
        <v>162</v>
      </c>
      <c r="B2216" s="7" t="s">
        <v>18</v>
      </c>
      <c r="C2216" s="7" t="s">
        <v>19</v>
      </c>
      <c r="D2216" s="7"/>
      <c r="E2216" s="7"/>
      <c r="F2216" s="7" t="s">
        <v>95</v>
      </c>
      <c r="G2216" s="7" t="s">
        <v>96</v>
      </c>
      <c r="H2216" s="7" t="s">
        <v>172</v>
      </c>
      <c r="I2216" s="7" t="s">
        <v>176</v>
      </c>
      <c r="J2216" s="8">
        <v>4.182271443195678E-2</v>
      </c>
      <c r="K2216" s="8">
        <v>3.7006034661374088E-2</v>
      </c>
      <c r="L2216" s="8">
        <v>5.0645173636945737E-3</v>
      </c>
      <c r="M2216" s="8">
        <v>9.9556216616012918</v>
      </c>
      <c r="N2216" s="8">
        <v>2.2088810292206627</v>
      </c>
      <c r="O2216" s="8">
        <v>1.0843060297740252</v>
      </c>
      <c r="P2216" s="8">
        <v>1.5423328771236172E-2</v>
      </c>
      <c r="Q2216" t="s">
        <v>26</v>
      </c>
    </row>
    <row r="2217" spans="1:17" x14ac:dyDescent="0.25">
      <c r="A2217" s="7" t="s">
        <v>162</v>
      </c>
      <c r="B2217" s="7" t="s">
        <v>18</v>
      </c>
      <c r="C2217" s="7" t="s">
        <v>19</v>
      </c>
      <c r="D2217" s="7"/>
      <c r="E2217" s="7"/>
      <c r="F2217" s="7" t="s">
        <v>95</v>
      </c>
      <c r="G2217" s="7" t="s">
        <v>96</v>
      </c>
      <c r="H2217" s="7" t="s">
        <v>172</v>
      </c>
      <c r="I2217" s="7" t="s">
        <v>177</v>
      </c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t="s">
        <v>26</v>
      </c>
    </row>
    <row r="2218" spans="1:17" x14ac:dyDescent="0.25">
      <c r="A2218" s="7" t="s">
        <v>162</v>
      </c>
      <c r="B2218" s="7" t="s">
        <v>18</v>
      </c>
      <c r="C2218" s="7" t="s">
        <v>19</v>
      </c>
      <c r="D2218" s="7"/>
      <c r="E2218" s="7"/>
      <c r="F2218" s="7" t="s">
        <v>95</v>
      </c>
      <c r="G2218" s="7" t="s">
        <v>96</v>
      </c>
      <c r="H2218" s="7" t="s">
        <v>172</v>
      </c>
      <c r="I2218" s="7" t="s">
        <v>178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t="s">
        <v>137</v>
      </c>
    </row>
    <row r="2219" spans="1:17" x14ac:dyDescent="0.25">
      <c r="A2219" s="7" t="s">
        <v>162</v>
      </c>
      <c r="B2219" s="7" t="s">
        <v>18</v>
      </c>
      <c r="C2219" s="7" t="s">
        <v>19</v>
      </c>
      <c r="D2219" s="7"/>
      <c r="E2219" s="7"/>
      <c r="F2219" s="7" t="s">
        <v>95</v>
      </c>
      <c r="G2219" s="7" t="s">
        <v>96</v>
      </c>
      <c r="H2219" s="7" t="s">
        <v>172</v>
      </c>
      <c r="I2219" s="7" t="s">
        <v>179</v>
      </c>
      <c r="J2219" s="8">
        <v>9.7134589529879189E-2</v>
      </c>
      <c r="K2219" s="8">
        <v>8.9159466948813118E-2</v>
      </c>
      <c r="L2219" s="8">
        <v>3.898260863798568E-3</v>
      </c>
      <c r="M2219" s="8">
        <v>9.8476521102898644</v>
      </c>
      <c r="N2219" s="8">
        <v>1.8721216332419655</v>
      </c>
      <c r="O2219" s="8">
        <v>4.4430235751855989</v>
      </c>
      <c r="P2219" s="8">
        <v>8.08764780541304E-3</v>
      </c>
      <c r="Q2219" t="s">
        <v>137</v>
      </c>
    </row>
    <row r="2220" spans="1:17" x14ac:dyDescent="0.25">
      <c r="A2220" s="7" t="s">
        <v>162</v>
      </c>
      <c r="B2220" s="7" t="s">
        <v>18</v>
      </c>
      <c r="C2220" s="7" t="s">
        <v>19</v>
      </c>
      <c r="D2220" s="7"/>
      <c r="E2220" s="7"/>
      <c r="F2220" s="7" t="s">
        <v>95</v>
      </c>
      <c r="G2220" s="7" t="s">
        <v>96</v>
      </c>
      <c r="H2220" s="7" t="s">
        <v>172</v>
      </c>
      <c r="I2220" s="7" t="s">
        <v>180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t="s">
        <v>137</v>
      </c>
    </row>
    <row r="2221" spans="1:17" x14ac:dyDescent="0.25">
      <c r="A2221" s="7" t="s">
        <v>162</v>
      </c>
      <c r="B2221" s="7" t="s">
        <v>18</v>
      </c>
      <c r="C2221" s="7" t="s">
        <v>19</v>
      </c>
      <c r="D2221" s="7"/>
      <c r="E2221" s="7"/>
      <c r="F2221" s="7" t="s">
        <v>95</v>
      </c>
      <c r="G2221" s="7" t="s">
        <v>96</v>
      </c>
      <c r="H2221" s="7" t="s">
        <v>172</v>
      </c>
      <c r="I2221" s="7" t="s">
        <v>181</v>
      </c>
      <c r="J2221" s="8">
        <v>0.45665890201999271</v>
      </c>
      <c r="K2221" s="8">
        <v>0.40465458278268274</v>
      </c>
      <c r="L2221" s="8">
        <v>2.9948951564898622E-2</v>
      </c>
      <c r="M2221" s="8">
        <v>80.548952266856929</v>
      </c>
      <c r="N2221" s="8">
        <v>16.608777340163293</v>
      </c>
      <c r="O2221" s="8">
        <v>9.3964897178363991</v>
      </c>
      <c r="P2221" s="8">
        <v>0.10328335280021714</v>
      </c>
      <c r="Q2221" t="s">
        <v>26</v>
      </c>
    </row>
    <row r="2222" spans="1:17" x14ac:dyDescent="0.25">
      <c r="A2222" s="7" t="s">
        <v>162</v>
      </c>
      <c r="B2222" s="7" t="s">
        <v>18</v>
      </c>
      <c r="C2222" s="7" t="s">
        <v>19</v>
      </c>
      <c r="D2222" s="7"/>
      <c r="E2222" s="7"/>
      <c r="F2222" s="7" t="s">
        <v>97</v>
      </c>
      <c r="G2222" s="7" t="s">
        <v>98</v>
      </c>
      <c r="H2222" s="7" t="s">
        <v>172</v>
      </c>
      <c r="I2222" s="7" t="s">
        <v>173</v>
      </c>
      <c r="J2222" s="8">
        <v>6.4780805687203796E-3</v>
      </c>
      <c r="K2222" s="8">
        <v>5.7306477093206952E-3</v>
      </c>
      <c r="L2222" s="8">
        <v>1.8216824644549767E-3</v>
      </c>
      <c r="M2222" s="8">
        <v>6.6412578988941551</v>
      </c>
      <c r="N2222" s="8">
        <v>0.2806559373354397</v>
      </c>
      <c r="O2222" s="8">
        <v>0.5065797788309635</v>
      </c>
      <c r="P2222" s="8">
        <v>6.5343601895734606E-3</v>
      </c>
      <c r="Q2222" t="s">
        <v>26</v>
      </c>
    </row>
    <row r="2223" spans="1:17" x14ac:dyDescent="0.25">
      <c r="A2223" s="7" t="s">
        <v>162</v>
      </c>
      <c r="B2223" s="7" t="s">
        <v>18</v>
      </c>
      <c r="C2223" s="7" t="s">
        <v>19</v>
      </c>
      <c r="D2223" s="7"/>
      <c r="E2223" s="7"/>
      <c r="F2223" s="7" t="s">
        <v>97</v>
      </c>
      <c r="G2223" s="7" t="s">
        <v>98</v>
      </c>
      <c r="H2223" s="7" t="s">
        <v>172</v>
      </c>
      <c r="I2223" s="7" t="s">
        <v>174</v>
      </c>
      <c r="J2223" s="8">
        <v>0.55229040348226555</v>
      </c>
      <c r="K2223" s="8">
        <v>0.48857274329683986</v>
      </c>
      <c r="L2223" s="8">
        <v>2.9126659457975271E-2</v>
      </c>
      <c r="M2223" s="8">
        <v>75.934033020525433</v>
      </c>
      <c r="N2223" s="8">
        <v>20.23473787852377</v>
      </c>
      <c r="O2223" s="8">
        <v>6.6898117615145338</v>
      </c>
      <c r="P2223" s="8">
        <v>0.11089632981342692</v>
      </c>
      <c r="Q2223" t="s">
        <v>26</v>
      </c>
    </row>
    <row r="2224" spans="1:17" x14ac:dyDescent="0.25">
      <c r="A2224" s="7" t="s">
        <v>162</v>
      </c>
      <c r="B2224" s="7" t="s">
        <v>18</v>
      </c>
      <c r="C2224" s="7" t="s">
        <v>19</v>
      </c>
      <c r="D2224" s="7"/>
      <c r="E2224" s="7"/>
      <c r="F2224" s="7" t="s">
        <v>97</v>
      </c>
      <c r="G2224" s="7" t="s">
        <v>98</v>
      </c>
      <c r="H2224" s="7" t="s">
        <v>172</v>
      </c>
      <c r="I2224" s="7" t="s">
        <v>175</v>
      </c>
      <c r="J2224" s="8">
        <v>1.2697357886309046E-2</v>
      </c>
      <c r="K2224" s="8">
        <v>1.123298638911129E-2</v>
      </c>
      <c r="L2224" s="8">
        <v>2.1929543634907926E-3</v>
      </c>
      <c r="M2224" s="8">
        <v>5.525470381007052</v>
      </c>
      <c r="N2224" s="8">
        <v>2.7166881758890646</v>
      </c>
      <c r="O2224" s="8">
        <v>0.25441126234320788</v>
      </c>
      <c r="P2224" s="8">
        <v>6.1475861640528217E-3</v>
      </c>
      <c r="Q2224" t="s">
        <v>26</v>
      </c>
    </row>
    <row r="2225" spans="1:17" x14ac:dyDescent="0.25">
      <c r="A2225" s="7" t="s">
        <v>162</v>
      </c>
      <c r="B2225" s="7" t="s">
        <v>18</v>
      </c>
      <c r="C2225" s="7" t="s">
        <v>19</v>
      </c>
      <c r="D2225" s="7"/>
      <c r="E2225" s="7"/>
      <c r="F2225" s="7" t="s">
        <v>97</v>
      </c>
      <c r="G2225" s="7" t="s">
        <v>98</v>
      </c>
      <c r="H2225" s="7" t="s">
        <v>172</v>
      </c>
      <c r="I2225" s="7" t="s">
        <v>176</v>
      </c>
      <c r="J2225" s="8">
        <v>7.6103627900773796E-2</v>
      </c>
      <c r="K2225" s="8">
        <v>6.7338849957582353E-2</v>
      </c>
      <c r="L2225" s="8">
        <v>9.2157611044278304E-3</v>
      </c>
      <c r="M2225" s="8">
        <v>18.115967285864642</v>
      </c>
      <c r="N2225" s="8">
        <v>4.0194392498933373</v>
      </c>
      <c r="O2225" s="8">
        <v>1.9730814640150294</v>
      </c>
      <c r="P2225" s="8">
        <v>2.806540153454451E-2</v>
      </c>
      <c r="Q2225" t="s">
        <v>26</v>
      </c>
    </row>
    <row r="2226" spans="1:17" x14ac:dyDescent="0.25">
      <c r="A2226" s="7" t="s">
        <v>162</v>
      </c>
      <c r="B2226" s="7" t="s">
        <v>18</v>
      </c>
      <c r="C2226" s="7" t="s">
        <v>19</v>
      </c>
      <c r="D2226" s="7"/>
      <c r="E2226" s="7"/>
      <c r="F2226" s="7" t="s">
        <v>97</v>
      </c>
      <c r="G2226" s="7" t="s">
        <v>98</v>
      </c>
      <c r="H2226" s="7" t="s">
        <v>172</v>
      </c>
      <c r="I2226" s="7" t="s">
        <v>177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t="s">
        <v>26</v>
      </c>
    </row>
    <row r="2227" spans="1:17" x14ac:dyDescent="0.25">
      <c r="A2227" s="7" t="s">
        <v>162</v>
      </c>
      <c r="B2227" s="7" t="s">
        <v>18</v>
      </c>
      <c r="C2227" s="7" t="s">
        <v>19</v>
      </c>
      <c r="D2227" s="7"/>
      <c r="E2227" s="7"/>
      <c r="F2227" s="7" t="s">
        <v>97</v>
      </c>
      <c r="G2227" s="7" t="s">
        <v>98</v>
      </c>
      <c r="H2227" s="7" t="s">
        <v>172</v>
      </c>
      <c r="I2227" s="7" t="s">
        <v>178</v>
      </c>
      <c r="J2227" s="8">
        <v>7.1031566640685911E-2</v>
      </c>
      <c r="K2227" s="8">
        <v>6.5348012470771641E-2</v>
      </c>
      <c r="L2227" s="8">
        <v>1.0950896336710835E-3</v>
      </c>
      <c r="M2227" s="8">
        <v>1.7991042478565862</v>
      </c>
      <c r="N2227" s="8">
        <v>0.99670089633671088</v>
      </c>
      <c r="O2227" s="8">
        <v>1.2820818394388154</v>
      </c>
      <c r="P2227" s="8">
        <v>1.9555728760717065E-3</v>
      </c>
      <c r="Q2227" t="s">
        <v>137</v>
      </c>
    </row>
    <row r="2228" spans="1:17" x14ac:dyDescent="0.25">
      <c r="A2228" s="7" t="s">
        <v>162</v>
      </c>
      <c r="B2228" s="7" t="s">
        <v>18</v>
      </c>
      <c r="C2228" s="7" t="s">
        <v>19</v>
      </c>
      <c r="D2228" s="7"/>
      <c r="E2228" s="7"/>
      <c r="F2228" s="7" t="s">
        <v>97</v>
      </c>
      <c r="G2228" s="7" t="s">
        <v>98</v>
      </c>
      <c r="H2228" s="7" t="s">
        <v>172</v>
      </c>
      <c r="I2228" s="7" t="s">
        <v>179</v>
      </c>
      <c r="J2228" s="8">
        <v>0.1883767458389542</v>
      </c>
      <c r="K2228" s="8">
        <v>0.17310634502895167</v>
      </c>
      <c r="L2228" s="8">
        <v>6.2339087335161912E-3</v>
      </c>
      <c r="M2228" s="8">
        <v>12.230105830516196</v>
      </c>
      <c r="N2228" s="8">
        <v>3.5422663778130379</v>
      </c>
      <c r="O2228" s="8">
        <v>6.7625512368759573</v>
      </c>
      <c r="P2228" s="8">
        <v>1.3687770355440906E-2</v>
      </c>
      <c r="Q2228" t="s">
        <v>137</v>
      </c>
    </row>
    <row r="2229" spans="1:17" x14ac:dyDescent="0.25">
      <c r="A2229" s="7" t="s">
        <v>162</v>
      </c>
      <c r="B2229" s="7" t="s">
        <v>18</v>
      </c>
      <c r="C2229" s="7" t="s">
        <v>19</v>
      </c>
      <c r="D2229" s="7"/>
      <c r="E2229" s="7"/>
      <c r="F2229" s="7" t="s">
        <v>97</v>
      </c>
      <c r="G2229" s="7" t="s">
        <v>98</v>
      </c>
      <c r="H2229" s="7" t="s">
        <v>172</v>
      </c>
      <c r="I2229" s="7" t="s">
        <v>180</v>
      </c>
      <c r="J2229" s="8">
        <v>0.25627849391886975</v>
      </c>
      <c r="K2229" s="8">
        <v>0.23576651372806059</v>
      </c>
      <c r="L2229" s="8">
        <v>5.3561284684291019E-3</v>
      </c>
      <c r="M2229" s="8">
        <v>10.276758429830311</v>
      </c>
      <c r="N2229" s="8">
        <v>4.5162144053601327</v>
      </c>
      <c r="O2229" s="8">
        <v>8.4778654140266543</v>
      </c>
      <c r="P2229" s="8">
        <v>1.2684800815672565E-2</v>
      </c>
      <c r="Q2229" t="s">
        <v>137</v>
      </c>
    </row>
    <row r="2230" spans="1:17" x14ac:dyDescent="0.25">
      <c r="A2230" s="7" t="s">
        <v>162</v>
      </c>
      <c r="B2230" s="7" t="s">
        <v>18</v>
      </c>
      <c r="C2230" s="7" t="s">
        <v>19</v>
      </c>
      <c r="D2230" s="7"/>
      <c r="E2230" s="7"/>
      <c r="F2230" s="7" t="s">
        <v>97</v>
      </c>
      <c r="G2230" s="7" t="s">
        <v>98</v>
      </c>
      <c r="H2230" s="7" t="s">
        <v>172</v>
      </c>
      <c r="I2230" s="7" t="s">
        <v>181</v>
      </c>
      <c r="J2230" s="8">
        <v>0.4638072018225422</v>
      </c>
      <c r="K2230" s="8">
        <v>0.41049714877674209</v>
      </c>
      <c r="L2230" s="8">
        <v>3.1528855130934896E-2</v>
      </c>
      <c r="M2230" s="8">
        <v>83.856754870165986</v>
      </c>
      <c r="N2230" s="8">
        <v>17.23353548046212</v>
      </c>
      <c r="O2230" s="8">
        <v>9.706889736192803</v>
      </c>
      <c r="P2230" s="8">
        <v>0.10868944036318501</v>
      </c>
      <c r="Q2230" t="s">
        <v>26</v>
      </c>
    </row>
    <row r="2231" spans="1:17" x14ac:dyDescent="0.25">
      <c r="A2231" s="7" t="s">
        <v>162</v>
      </c>
      <c r="B2231" s="7" t="s">
        <v>18</v>
      </c>
      <c r="C2231" s="7" t="s">
        <v>19</v>
      </c>
      <c r="D2231" s="7"/>
      <c r="E2231" s="7"/>
      <c r="F2231" s="7" t="s">
        <v>99</v>
      </c>
      <c r="G2231" s="7" t="s">
        <v>100</v>
      </c>
      <c r="H2231" s="7" t="s">
        <v>172</v>
      </c>
      <c r="I2231" s="7" t="s">
        <v>173</v>
      </c>
      <c r="J2231" s="8">
        <v>0.49017476303317536</v>
      </c>
      <c r="K2231" s="8">
        <v>0.43361901000526593</v>
      </c>
      <c r="L2231" s="8">
        <v>0.13784063981042657</v>
      </c>
      <c r="M2231" s="8">
        <v>502.52184768299111</v>
      </c>
      <c r="N2231" s="8">
        <v>21.23629925838161</v>
      </c>
      <c r="O2231" s="8">
        <v>38.331203264876237</v>
      </c>
      <c r="P2231" s="8">
        <v>0.49443325434439189</v>
      </c>
      <c r="Q2231" t="s">
        <v>26</v>
      </c>
    </row>
    <row r="2232" spans="1:17" x14ac:dyDescent="0.25">
      <c r="A2232" s="7" t="s">
        <v>162</v>
      </c>
      <c r="B2232" s="7" t="s">
        <v>18</v>
      </c>
      <c r="C2232" s="7" t="s">
        <v>19</v>
      </c>
      <c r="D2232" s="7"/>
      <c r="E2232" s="7"/>
      <c r="F2232" s="7" t="s">
        <v>99</v>
      </c>
      <c r="G2232" s="7" t="s">
        <v>100</v>
      </c>
      <c r="H2232" s="7" t="s">
        <v>172</v>
      </c>
      <c r="I2232" s="7" t="s">
        <v>174</v>
      </c>
      <c r="J2232" s="8">
        <v>9.162034541159235</v>
      </c>
      <c r="K2232" s="8">
        <v>8.105051667448862</v>
      </c>
      <c r="L2232" s="8">
        <v>0.48325530802597538</v>
      </c>
      <c r="M2232" s="8">
        <v>1260.0733031620828</v>
      </c>
      <c r="N2232" s="8">
        <v>335.80030891251067</v>
      </c>
      <c r="O2232" s="8">
        <v>110.96883408208468</v>
      </c>
      <c r="P2232" s="8">
        <v>1.8397819720566413</v>
      </c>
      <c r="Q2232" t="s">
        <v>26</v>
      </c>
    </row>
    <row r="2233" spans="1:17" x14ac:dyDescent="0.25">
      <c r="A2233" s="7" t="s">
        <v>162</v>
      </c>
      <c r="B2233" s="7" t="s">
        <v>18</v>
      </c>
      <c r="C2233" s="7" t="s">
        <v>19</v>
      </c>
      <c r="D2233" s="7"/>
      <c r="E2233" s="7"/>
      <c r="F2233" s="7" t="s">
        <v>99</v>
      </c>
      <c r="G2233" s="7" t="s">
        <v>100</v>
      </c>
      <c r="H2233" s="7" t="s">
        <v>172</v>
      </c>
      <c r="I2233" s="7" t="s">
        <v>175</v>
      </c>
      <c r="J2233" s="8">
        <v>0.24689307001156477</v>
      </c>
      <c r="K2233" s="8">
        <v>0.2184191797882751</v>
      </c>
      <c r="L2233" s="8">
        <v>4.2640779290098754E-2</v>
      </c>
      <c r="M2233" s="8">
        <v>107.43970185291491</v>
      </c>
      <c r="N2233" s="8">
        <v>52.824492308954035</v>
      </c>
      <c r="O2233" s="8">
        <v>4.9468856566734862</v>
      </c>
      <c r="P2233" s="8">
        <v>0.11953639763436043</v>
      </c>
      <c r="Q2233" t="s">
        <v>26</v>
      </c>
    </row>
    <row r="2234" spans="1:17" x14ac:dyDescent="0.25">
      <c r="A2234" s="7" t="s">
        <v>162</v>
      </c>
      <c r="B2234" s="7" t="s">
        <v>18</v>
      </c>
      <c r="C2234" s="7" t="s">
        <v>19</v>
      </c>
      <c r="D2234" s="7"/>
      <c r="E2234" s="7"/>
      <c r="F2234" s="7" t="s">
        <v>99</v>
      </c>
      <c r="G2234" s="7" t="s">
        <v>100</v>
      </c>
      <c r="H2234" s="7" t="s">
        <v>172</v>
      </c>
      <c r="I2234" s="7" t="s">
        <v>176</v>
      </c>
      <c r="J2234" s="8">
        <v>1.7175113597649163</v>
      </c>
      <c r="K2234" s="8">
        <v>1.5217666825584863</v>
      </c>
      <c r="L2234" s="8">
        <v>0.20140887145690986</v>
      </c>
      <c r="M2234" s="8">
        <v>395.38656891062692</v>
      </c>
      <c r="N2234" s="8">
        <v>88.062613395254317</v>
      </c>
      <c r="O2234" s="8">
        <v>43.053873771757416</v>
      </c>
      <c r="P2234" s="8">
        <v>0.61442373733295585</v>
      </c>
      <c r="Q2234" t="s">
        <v>26</v>
      </c>
    </row>
    <row r="2235" spans="1:17" x14ac:dyDescent="0.25">
      <c r="A2235" s="7" t="s">
        <v>162</v>
      </c>
      <c r="B2235" s="7" t="s">
        <v>18</v>
      </c>
      <c r="C2235" s="7" t="s">
        <v>19</v>
      </c>
      <c r="D2235" s="7"/>
      <c r="E2235" s="7"/>
      <c r="F2235" s="7" t="s">
        <v>99</v>
      </c>
      <c r="G2235" s="7" t="s">
        <v>100</v>
      </c>
      <c r="H2235" s="7" t="s">
        <v>172</v>
      </c>
      <c r="I2235" s="7" t="s">
        <v>177</v>
      </c>
      <c r="J2235" s="8">
        <v>0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t="s">
        <v>26</v>
      </c>
    </row>
    <row r="2236" spans="1:17" x14ac:dyDescent="0.25">
      <c r="A2236" s="7" t="s">
        <v>162</v>
      </c>
      <c r="B2236" s="7" t="s">
        <v>18</v>
      </c>
      <c r="C2236" s="7" t="s">
        <v>19</v>
      </c>
      <c r="D2236" s="7"/>
      <c r="E2236" s="7"/>
      <c r="F2236" s="7" t="s">
        <v>99</v>
      </c>
      <c r="G2236" s="7" t="s">
        <v>100</v>
      </c>
      <c r="H2236" s="7" t="s">
        <v>172</v>
      </c>
      <c r="I2236" s="7" t="s">
        <v>178</v>
      </c>
      <c r="J2236" s="8">
        <v>0.63928409976617306</v>
      </c>
      <c r="K2236" s="8">
        <v>0.58813211223694473</v>
      </c>
      <c r="L2236" s="8">
        <v>9.8558067030397514E-3</v>
      </c>
      <c r="M2236" s="8">
        <v>16.191938230709273</v>
      </c>
      <c r="N2236" s="8">
        <v>8.9703080670303983</v>
      </c>
      <c r="O2236" s="8">
        <v>11.538736554949338</v>
      </c>
      <c r="P2236" s="8">
        <v>1.760015588464536E-2</v>
      </c>
      <c r="Q2236" t="s">
        <v>137</v>
      </c>
    </row>
    <row r="2237" spans="1:17" x14ac:dyDescent="0.25">
      <c r="A2237" s="7" t="s">
        <v>162</v>
      </c>
      <c r="B2237" s="7" t="s">
        <v>18</v>
      </c>
      <c r="C2237" s="7" t="s">
        <v>19</v>
      </c>
      <c r="D2237" s="7"/>
      <c r="E2237" s="7"/>
      <c r="F2237" s="7" t="s">
        <v>99</v>
      </c>
      <c r="G2237" s="7" t="s">
        <v>100</v>
      </c>
      <c r="H2237" s="7" t="s">
        <v>172</v>
      </c>
      <c r="I2237" s="7" t="s">
        <v>179</v>
      </c>
      <c r="J2237" s="8">
        <v>4.8949397338157965</v>
      </c>
      <c r="K2237" s="8">
        <v>4.4950069257027243</v>
      </c>
      <c r="L2237" s="8">
        <v>0.18318517411291751</v>
      </c>
      <c r="M2237" s="8">
        <v>429.12446262420951</v>
      </c>
      <c r="N2237" s="8">
        <v>93.854676433317067</v>
      </c>
      <c r="O2237" s="8">
        <v>205.35924319951317</v>
      </c>
      <c r="P2237" s="8">
        <v>0.39556002419789554</v>
      </c>
      <c r="Q2237" t="s">
        <v>137</v>
      </c>
    </row>
    <row r="2238" spans="1:17" x14ac:dyDescent="0.25">
      <c r="A2238" s="7" t="s">
        <v>162</v>
      </c>
      <c r="B2238" s="7" t="s">
        <v>18</v>
      </c>
      <c r="C2238" s="7" t="s">
        <v>19</v>
      </c>
      <c r="D2238" s="7"/>
      <c r="E2238" s="7"/>
      <c r="F2238" s="7" t="s">
        <v>99</v>
      </c>
      <c r="G2238" s="7" t="s">
        <v>100</v>
      </c>
      <c r="H2238" s="7" t="s">
        <v>172</v>
      </c>
      <c r="I2238" s="7" t="s">
        <v>180</v>
      </c>
      <c r="J2238" s="8">
        <v>3.3828761197290813</v>
      </c>
      <c r="K2238" s="8">
        <v>3.1121179812103996</v>
      </c>
      <c r="L2238" s="8">
        <v>7.0700895783264148E-2</v>
      </c>
      <c r="M2238" s="8">
        <v>135.65321127376009</v>
      </c>
      <c r="N2238" s="8">
        <v>59.614030150753756</v>
      </c>
      <c r="O2238" s="8">
        <v>111.90782346515182</v>
      </c>
      <c r="P2238" s="8">
        <v>0.16743937076687787</v>
      </c>
      <c r="Q2238" t="s">
        <v>137</v>
      </c>
    </row>
    <row r="2239" spans="1:17" x14ac:dyDescent="0.25">
      <c r="A2239" s="7" t="s">
        <v>162</v>
      </c>
      <c r="B2239" s="7" t="s">
        <v>18</v>
      </c>
      <c r="C2239" s="7" t="s">
        <v>19</v>
      </c>
      <c r="D2239" s="7"/>
      <c r="E2239" s="7"/>
      <c r="F2239" s="7" t="s">
        <v>99</v>
      </c>
      <c r="G2239" s="7" t="s">
        <v>100</v>
      </c>
      <c r="H2239" s="7" t="s">
        <v>172</v>
      </c>
      <c r="I2239" s="7" t="s">
        <v>181</v>
      </c>
      <c r="J2239" s="8">
        <v>7.1929919279583494</v>
      </c>
      <c r="K2239" s="8">
        <v>6.3837044342686573</v>
      </c>
      <c r="L2239" s="8">
        <v>0.4525210285638685</v>
      </c>
      <c r="M2239" s="8">
        <v>1196.3437453309441</v>
      </c>
      <c r="N2239" s="8">
        <v>249.35551512680524</v>
      </c>
      <c r="O2239" s="8">
        <v>137.77783436079446</v>
      </c>
      <c r="P2239" s="8">
        <v>1.5800491939107033</v>
      </c>
      <c r="Q2239" t="s">
        <v>26</v>
      </c>
    </row>
    <row r="2240" spans="1:17" x14ac:dyDescent="0.25">
      <c r="A2240" s="7" t="s">
        <v>162</v>
      </c>
      <c r="B2240" s="7" t="s">
        <v>18</v>
      </c>
      <c r="C2240" s="7" t="s">
        <v>19</v>
      </c>
      <c r="D2240" s="7" t="s">
        <v>20</v>
      </c>
      <c r="E2240" s="7" t="s">
        <v>21</v>
      </c>
      <c r="F2240" s="7" t="s">
        <v>101</v>
      </c>
      <c r="G2240" s="7" t="s">
        <v>21</v>
      </c>
      <c r="H2240" s="7" t="s">
        <v>172</v>
      </c>
      <c r="I2240" s="7" t="s">
        <v>173</v>
      </c>
      <c r="J2240" s="8">
        <v>6.422800947867298</v>
      </c>
      <c r="K2240" s="8">
        <v>5.6817461822011586</v>
      </c>
      <c r="L2240" s="8">
        <v>1.8061374407582942</v>
      </c>
      <c r="M2240" s="8">
        <v>6584.5858314902589</v>
      </c>
      <c r="N2240" s="8">
        <v>278.26100667017727</v>
      </c>
      <c r="O2240" s="8">
        <v>502.25696471827263</v>
      </c>
      <c r="P2240" s="8">
        <v>6.4786003159557666</v>
      </c>
      <c r="Q2240" t="s">
        <v>26</v>
      </c>
    </row>
    <row r="2241" spans="1:17" x14ac:dyDescent="0.25">
      <c r="A2241" s="7" t="s">
        <v>162</v>
      </c>
      <c r="B2241" s="7" t="s">
        <v>18</v>
      </c>
      <c r="C2241" s="7" t="s">
        <v>19</v>
      </c>
      <c r="D2241" s="7" t="s">
        <v>20</v>
      </c>
      <c r="E2241" s="7" t="s">
        <v>21</v>
      </c>
      <c r="F2241" s="7" t="s">
        <v>101</v>
      </c>
      <c r="G2241" s="7" t="s">
        <v>21</v>
      </c>
      <c r="H2241" s="7" t="s">
        <v>172</v>
      </c>
      <c r="I2241" s="7" t="s">
        <v>174</v>
      </c>
      <c r="J2241" s="8">
        <v>283.33257601289552</v>
      </c>
      <c r="K2241" s="8">
        <v>250.64683444920809</v>
      </c>
      <c r="L2241" s="8">
        <v>14.946337878407105</v>
      </c>
      <c r="M2241" s="8">
        <v>38977.848295068274</v>
      </c>
      <c r="N2241" s="8">
        <v>10387.814220472726</v>
      </c>
      <c r="O2241" s="8">
        <v>3431.4140008014069</v>
      </c>
      <c r="P2241" s="8">
        <v>56.897411003956726</v>
      </c>
      <c r="Q2241" t="s">
        <v>26</v>
      </c>
    </row>
    <row r="2242" spans="1:17" x14ac:dyDescent="0.25">
      <c r="A2242" s="7" t="s">
        <v>162</v>
      </c>
      <c r="B2242" s="7" t="s">
        <v>18</v>
      </c>
      <c r="C2242" s="7" t="s">
        <v>19</v>
      </c>
      <c r="D2242" s="7" t="s">
        <v>20</v>
      </c>
      <c r="E2242" s="7" t="s">
        <v>21</v>
      </c>
      <c r="F2242" s="7" t="s">
        <v>101</v>
      </c>
      <c r="G2242" s="7" t="s">
        <v>21</v>
      </c>
      <c r="H2242" s="7" t="s">
        <v>172</v>
      </c>
      <c r="I2242" s="7" t="s">
        <v>175</v>
      </c>
      <c r="J2242" s="8">
        <v>18.013318388043764</v>
      </c>
      <c r="K2242" s="8">
        <v>15.935863357352551</v>
      </c>
      <c r="L2242" s="8">
        <v>3.1110712570056047</v>
      </c>
      <c r="M2242" s="8">
        <v>7838.903448667781</v>
      </c>
      <c r="N2242" s="8">
        <v>3854.4283369510817</v>
      </c>
      <c r="O2242" s="8">
        <v>360.92477751089768</v>
      </c>
      <c r="P2242" s="8">
        <v>8.7295269668881925</v>
      </c>
      <c r="Q2242" t="s">
        <v>26</v>
      </c>
    </row>
    <row r="2243" spans="1:17" x14ac:dyDescent="0.25">
      <c r="A2243" s="7" t="s">
        <v>162</v>
      </c>
      <c r="B2243" s="7" t="s">
        <v>18</v>
      </c>
      <c r="C2243" s="7" t="s">
        <v>19</v>
      </c>
      <c r="D2243" s="7" t="s">
        <v>20</v>
      </c>
      <c r="E2243" s="7" t="s">
        <v>21</v>
      </c>
      <c r="F2243" s="7" t="s">
        <v>101</v>
      </c>
      <c r="G2243" s="7" t="s">
        <v>21</v>
      </c>
      <c r="H2243" s="7" t="s">
        <v>172</v>
      </c>
      <c r="I2243" s="7" t="s">
        <v>176</v>
      </c>
      <c r="J2243" s="8">
        <v>54.363232334453862</v>
      </c>
      <c r="K2243" s="8">
        <v>48.245606008613564</v>
      </c>
      <c r="L2243" s="8">
        <v>6.1256298286440432</v>
      </c>
      <c r="M2243" s="8">
        <v>12004.502106576778</v>
      </c>
      <c r="N2243" s="8">
        <v>2687.0794149516978</v>
      </c>
      <c r="O2243" s="8">
        <v>1306.791983426634</v>
      </c>
      <c r="P2243" s="8">
        <v>18.730143517008511</v>
      </c>
      <c r="Q2243" t="s">
        <v>26</v>
      </c>
    </row>
    <row r="2244" spans="1:17" x14ac:dyDescent="0.25">
      <c r="A2244" s="7" t="s">
        <v>162</v>
      </c>
      <c r="B2244" s="7" t="s">
        <v>18</v>
      </c>
      <c r="C2244" s="7" t="s">
        <v>19</v>
      </c>
      <c r="D2244" s="7" t="s">
        <v>20</v>
      </c>
      <c r="E2244" s="7" t="s">
        <v>21</v>
      </c>
      <c r="F2244" s="7" t="s">
        <v>101</v>
      </c>
      <c r="G2244" s="7" t="s">
        <v>21</v>
      </c>
      <c r="H2244" s="7" t="s">
        <v>172</v>
      </c>
      <c r="I2244" s="7" t="s">
        <v>177</v>
      </c>
      <c r="J2244" s="8">
        <v>1.0277680571440904</v>
      </c>
      <c r="K2244" s="8">
        <v>0.90705475836252802</v>
      </c>
      <c r="L2244" s="8">
        <v>8.6523075468129373E-2</v>
      </c>
      <c r="M2244" s="8">
        <v>162.05805482561823</v>
      </c>
      <c r="N2244" s="8">
        <v>40.696786627535388</v>
      </c>
      <c r="O2244" s="8">
        <v>14.239663968679825</v>
      </c>
      <c r="P2244" s="8">
        <v>0.31879421221864956</v>
      </c>
      <c r="Q2244" t="s">
        <v>26</v>
      </c>
    </row>
    <row r="2245" spans="1:17" x14ac:dyDescent="0.25">
      <c r="A2245" s="7" t="s">
        <v>162</v>
      </c>
      <c r="B2245" s="7" t="s">
        <v>18</v>
      </c>
      <c r="C2245" s="7" t="s">
        <v>19</v>
      </c>
      <c r="D2245" s="7" t="s">
        <v>20</v>
      </c>
      <c r="E2245" s="7" t="s">
        <v>21</v>
      </c>
      <c r="F2245" s="7" t="s">
        <v>101</v>
      </c>
      <c r="G2245" s="7" t="s">
        <v>21</v>
      </c>
      <c r="H2245" s="7" t="s">
        <v>172</v>
      </c>
      <c r="I2245" s="7" t="s">
        <v>178</v>
      </c>
      <c r="J2245" s="8">
        <v>157.33492010911928</v>
      </c>
      <c r="K2245" s="8">
        <v>144.74584762275919</v>
      </c>
      <c r="L2245" s="8">
        <v>2.42562353858145</v>
      </c>
      <c r="M2245" s="8">
        <v>3985.0159090023385</v>
      </c>
      <c r="N2245" s="8">
        <v>2207.6924853858145</v>
      </c>
      <c r="O2245" s="8">
        <v>2839.8112743569759</v>
      </c>
      <c r="P2245" s="8">
        <v>4.3315939204988299</v>
      </c>
      <c r="Q2245" t="s">
        <v>137</v>
      </c>
    </row>
    <row r="2246" spans="1:17" x14ac:dyDescent="0.25">
      <c r="A2246" s="7" t="s">
        <v>162</v>
      </c>
      <c r="B2246" s="7" t="s">
        <v>18</v>
      </c>
      <c r="C2246" s="7" t="s">
        <v>19</v>
      </c>
      <c r="D2246" s="7" t="s">
        <v>20</v>
      </c>
      <c r="E2246" s="7" t="s">
        <v>21</v>
      </c>
      <c r="F2246" s="7" t="s">
        <v>101</v>
      </c>
      <c r="G2246" s="7" t="s">
        <v>21</v>
      </c>
      <c r="H2246" s="7" t="s">
        <v>172</v>
      </c>
      <c r="I2246" s="7" t="s">
        <v>179</v>
      </c>
      <c r="J2246" s="8">
        <v>137.89427137765793</v>
      </c>
      <c r="K2246" s="8">
        <v>126.73220960870539</v>
      </c>
      <c r="L2246" s="8">
        <v>4.454578231738207</v>
      </c>
      <c r="M2246" s="8">
        <v>8476.0738606283085</v>
      </c>
      <c r="N2246" s="8">
        <v>2602.2547121571047</v>
      </c>
      <c r="O2246" s="8">
        <v>4798.2759583625184</v>
      </c>
      <c r="P2246" s="8">
        <v>10.273000329424653</v>
      </c>
      <c r="Q2246" t="s">
        <v>137</v>
      </c>
    </row>
    <row r="2247" spans="1:17" x14ac:dyDescent="0.25">
      <c r="A2247" s="7" t="s">
        <v>162</v>
      </c>
      <c r="B2247" s="7" t="s">
        <v>18</v>
      </c>
      <c r="C2247" s="7" t="s">
        <v>19</v>
      </c>
      <c r="D2247" s="7" t="s">
        <v>20</v>
      </c>
      <c r="E2247" s="7" t="s">
        <v>21</v>
      </c>
      <c r="F2247" s="7" t="s">
        <v>101</v>
      </c>
      <c r="G2247" s="7" t="s">
        <v>21</v>
      </c>
      <c r="H2247" s="7" t="s">
        <v>172</v>
      </c>
      <c r="I2247" s="7" t="s">
        <v>180</v>
      </c>
      <c r="J2247" s="8">
        <v>194.1822148423276</v>
      </c>
      <c r="K2247" s="8">
        <v>178.64028745175148</v>
      </c>
      <c r="L2247" s="8">
        <v>4.0583385405287302</v>
      </c>
      <c r="M2247" s="8">
        <v>7786.6998622824258</v>
      </c>
      <c r="N2247" s="8">
        <v>3421.9356549413724</v>
      </c>
      <c r="O2247" s="8">
        <v>6423.6786242079961</v>
      </c>
      <c r="P2247" s="8">
        <v>9.6112735780351013</v>
      </c>
      <c r="Q2247" t="s">
        <v>137</v>
      </c>
    </row>
    <row r="2248" spans="1:17" x14ac:dyDescent="0.25">
      <c r="A2248" s="7" t="s">
        <v>162</v>
      </c>
      <c r="B2248" s="7" t="s">
        <v>18</v>
      </c>
      <c r="C2248" s="7" t="s">
        <v>19</v>
      </c>
      <c r="D2248" s="7" t="s">
        <v>20</v>
      </c>
      <c r="E2248" s="7" t="s">
        <v>21</v>
      </c>
      <c r="F2248" s="7" t="s">
        <v>101</v>
      </c>
      <c r="G2248" s="7" t="s">
        <v>21</v>
      </c>
      <c r="H2248" s="7" t="s">
        <v>172</v>
      </c>
      <c r="I2248" s="7" t="s">
        <v>181</v>
      </c>
      <c r="J2248" s="8">
        <v>181.24213575010543</v>
      </c>
      <c r="K2248" s="8">
        <v>161.09717730154864</v>
      </c>
      <c r="L2248" s="8">
        <v>10.796012345557479</v>
      </c>
      <c r="M2248" s="8">
        <v>27565.986699111352</v>
      </c>
      <c r="N2248" s="8">
        <v>5854.010096446782</v>
      </c>
      <c r="O2248" s="8">
        <v>3105.1725827879309</v>
      </c>
      <c r="P2248" s="8">
        <v>37.839923777360539</v>
      </c>
      <c r="Q2248" t="s">
        <v>26</v>
      </c>
    </row>
    <row r="2249" spans="1:17" x14ac:dyDescent="0.25">
      <c r="A2249" s="7" t="s">
        <v>162</v>
      </c>
      <c r="B2249" s="7" t="s">
        <v>18</v>
      </c>
      <c r="C2249" s="7" t="s">
        <v>19</v>
      </c>
      <c r="D2249" s="7"/>
      <c r="E2249" s="7"/>
      <c r="F2249" s="7" t="s">
        <v>102</v>
      </c>
      <c r="G2249" s="7" t="s">
        <v>103</v>
      </c>
      <c r="H2249" s="7" t="s">
        <v>172</v>
      </c>
      <c r="I2249" s="7" t="s">
        <v>173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t="s">
        <v>26</v>
      </c>
    </row>
    <row r="2250" spans="1:17" x14ac:dyDescent="0.25">
      <c r="A2250" s="7" t="s">
        <v>162</v>
      </c>
      <c r="B2250" s="7" t="s">
        <v>18</v>
      </c>
      <c r="C2250" s="7" t="s">
        <v>19</v>
      </c>
      <c r="D2250" s="7"/>
      <c r="E2250" s="7"/>
      <c r="F2250" s="7" t="s">
        <v>102</v>
      </c>
      <c r="G2250" s="7" t="s">
        <v>103</v>
      </c>
      <c r="H2250" s="7" t="s">
        <v>172</v>
      </c>
      <c r="I2250" s="7" t="s">
        <v>174</v>
      </c>
      <c r="J2250" s="8">
        <v>9.1454539931471915E-2</v>
      </c>
      <c r="K2250" s="8">
        <v>8.0903443513670278E-2</v>
      </c>
      <c r="L2250" s="8">
        <v>4.8231242543313891E-3</v>
      </c>
      <c r="M2250" s="8">
        <v>12.574022672216039</v>
      </c>
      <c r="N2250" s="8">
        <v>3.3506985304222154</v>
      </c>
      <c r="O2250" s="8">
        <v>1.1077752809389658</v>
      </c>
      <c r="P2250" s="8">
        <v>1.836347827018037E-2</v>
      </c>
      <c r="Q2250" t="s">
        <v>26</v>
      </c>
    </row>
    <row r="2251" spans="1:17" x14ac:dyDescent="0.25">
      <c r="A2251" s="7" t="s">
        <v>162</v>
      </c>
      <c r="B2251" s="7" t="s">
        <v>18</v>
      </c>
      <c r="C2251" s="7" t="s">
        <v>19</v>
      </c>
      <c r="D2251" s="7"/>
      <c r="E2251" s="7"/>
      <c r="F2251" s="7" t="s">
        <v>102</v>
      </c>
      <c r="G2251" s="7" t="s">
        <v>103</v>
      </c>
      <c r="H2251" s="7" t="s">
        <v>172</v>
      </c>
      <c r="I2251" s="7" t="s">
        <v>175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t="s">
        <v>26</v>
      </c>
    </row>
    <row r="2252" spans="1:17" x14ac:dyDescent="0.25">
      <c r="A2252" s="7" t="s">
        <v>162</v>
      </c>
      <c r="B2252" s="7" t="s">
        <v>18</v>
      </c>
      <c r="C2252" s="7" t="s">
        <v>19</v>
      </c>
      <c r="D2252" s="7"/>
      <c r="E2252" s="7"/>
      <c r="F2252" s="7" t="s">
        <v>102</v>
      </c>
      <c r="G2252" s="7" t="s">
        <v>103</v>
      </c>
      <c r="H2252" s="7" t="s">
        <v>172</v>
      </c>
      <c r="I2252" s="7" t="s">
        <v>176</v>
      </c>
      <c r="J2252" s="8">
        <v>8.9130375018924273E-3</v>
      </c>
      <c r="K2252" s="8">
        <v>7.8865319770141488E-3</v>
      </c>
      <c r="L2252" s="8">
        <v>1.0793233725906466E-3</v>
      </c>
      <c r="M2252" s="8">
        <v>2.1216898623084717</v>
      </c>
      <c r="N2252" s="8">
        <v>0.47074513737489515</v>
      </c>
      <c r="O2252" s="8">
        <v>0.23108161290266108</v>
      </c>
      <c r="P2252" s="8">
        <v>3.2869389184601678E-3</v>
      </c>
      <c r="Q2252" t="s">
        <v>26</v>
      </c>
    </row>
    <row r="2253" spans="1:17" x14ac:dyDescent="0.25">
      <c r="A2253" s="7" t="s">
        <v>162</v>
      </c>
      <c r="B2253" s="7" t="s">
        <v>18</v>
      </c>
      <c r="C2253" s="7" t="s">
        <v>19</v>
      </c>
      <c r="D2253" s="7"/>
      <c r="E2253" s="7"/>
      <c r="F2253" s="7" t="s">
        <v>102</v>
      </c>
      <c r="G2253" s="7" t="s">
        <v>103</v>
      </c>
      <c r="H2253" s="7" t="s">
        <v>172</v>
      </c>
      <c r="I2253" s="7" t="s">
        <v>177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t="s">
        <v>26</v>
      </c>
    </row>
    <row r="2254" spans="1:17" x14ac:dyDescent="0.25">
      <c r="A2254" s="7" t="s">
        <v>162</v>
      </c>
      <c r="B2254" s="7" t="s">
        <v>18</v>
      </c>
      <c r="C2254" s="7" t="s">
        <v>19</v>
      </c>
      <c r="D2254" s="7"/>
      <c r="E2254" s="7"/>
      <c r="F2254" s="7" t="s">
        <v>102</v>
      </c>
      <c r="G2254" s="7" t="s">
        <v>103</v>
      </c>
      <c r="H2254" s="7" t="s">
        <v>172</v>
      </c>
      <c r="I2254" s="7" t="s">
        <v>178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t="s">
        <v>137</v>
      </c>
    </row>
    <row r="2255" spans="1:17" x14ac:dyDescent="0.25">
      <c r="A2255" s="7" t="s">
        <v>162</v>
      </c>
      <c r="B2255" s="7" t="s">
        <v>18</v>
      </c>
      <c r="C2255" s="7" t="s">
        <v>19</v>
      </c>
      <c r="D2255" s="7"/>
      <c r="E2255" s="7"/>
      <c r="F2255" s="7" t="s">
        <v>102</v>
      </c>
      <c r="G2255" s="7" t="s">
        <v>103</v>
      </c>
      <c r="H2255" s="7" t="s">
        <v>172</v>
      </c>
      <c r="I2255" s="7" t="s">
        <v>179</v>
      </c>
      <c r="J2255" s="8">
        <v>6.8431617231806297E-2</v>
      </c>
      <c r="K2255" s="8">
        <v>6.2960158560103924E-2</v>
      </c>
      <c r="L2255" s="8">
        <v>1.7517359022882172E-3</v>
      </c>
      <c r="M2255" s="8">
        <v>1.7868402901697493</v>
      </c>
      <c r="N2255" s="8">
        <v>1.2526085584283049</v>
      </c>
      <c r="O2255" s="8">
        <v>1.7396457462677679</v>
      </c>
      <c r="P2255" s="8">
        <v>4.2000919125208978E-3</v>
      </c>
      <c r="Q2255" t="s">
        <v>137</v>
      </c>
    </row>
    <row r="2256" spans="1:17" x14ac:dyDescent="0.25">
      <c r="A2256" s="7" t="s">
        <v>162</v>
      </c>
      <c r="B2256" s="7" t="s">
        <v>18</v>
      </c>
      <c r="C2256" s="7" t="s">
        <v>19</v>
      </c>
      <c r="D2256" s="7"/>
      <c r="E2256" s="7"/>
      <c r="F2256" s="7" t="s">
        <v>102</v>
      </c>
      <c r="G2256" s="7" t="s">
        <v>103</v>
      </c>
      <c r="H2256" s="7" t="s">
        <v>172</v>
      </c>
      <c r="I2256" s="7" t="s">
        <v>180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t="s">
        <v>137</v>
      </c>
    </row>
    <row r="2257" spans="1:17" x14ac:dyDescent="0.25">
      <c r="A2257" s="7" t="s">
        <v>162</v>
      </c>
      <c r="B2257" s="7" t="s">
        <v>18</v>
      </c>
      <c r="C2257" s="7" t="s">
        <v>19</v>
      </c>
      <c r="D2257" s="7"/>
      <c r="E2257" s="7"/>
      <c r="F2257" s="7" t="s">
        <v>102</v>
      </c>
      <c r="G2257" s="7" t="s">
        <v>103</v>
      </c>
      <c r="H2257" s="7" t="s">
        <v>172</v>
      </c>
      <c r="I2257" s="7" t="s">
        <v>181</v>
      </c>
      <c r="J2257" s="8">
        <v>0.12590635331618746</v>
      </c>
      <c r="K2257" s="8">
        <v>0.11118092996766631</v>
      </c>
      <c r="L2257" s="8">
        <v>8.995013674587814E-3</v>
      </c>
      <c r="M2257" s="8">
        <v>24.246517267935637</v>
      </c>
      <c r="N2257" s="8">
        <v>4.9458247015187489</v>
      </c>
      <c r="O2257" s="8">
        <v>2.8284365969483982</v>
      </c>
      <c r="P2257" s="8">
        <v>3.0956533265137323E-2</v>
      </c>
      <c r="Q2257" t="s">
        <v>26</v>
      </c>
    </row>
    <row r="2258" spans="1:17" x14ac:dyDescent="0.25">
      <c r="A2258" s="7" t="s">
        <v>162</v>
      </c>
      <c r="B2258" s="7" t="s">
        <v>18</v>
      </c>
      <c r="C2258" s="7" t="s">
        <v>19</v>
      </c>
      <c r="D2258" s="7" t="s">
        <v>20</v>
      </c>
      <c r="E2258" s="7" t="s">
        <v>21</v>
      </c>
      <c r="F2258" s="7" t="s">
        <v>104</v>
      </c>
      <c r="G2258" s="7" t="s">
        <v>105</v>
      </c>
      <c r="H2258" s="7" t="s">
        <v>172</v>
      </c>
      <c r="I2258" s="7" t="s">
        <v>173</v>
      </c>
      <c r="J2258" s="8">
        <v>7.9032582938388621E-2</v>
      </c>
      <c r="K2258" s="8">
        <v>6.9913902053712493E-2</v>
      </c>
      <c r="L2258" s="8">
        <v>2.2224526066350715E-2</v>
      </c>
      <c r="M2258" s="8">
        <v>81.023346366508704</v>
      </c>
      <c r="N2258" s="8">
        <v>3.424002435492365</v>
      </c>
      <c r="O2258" s="8">
        <v>6.1802733017377554</v>
      </c>
      <c r="P2258" s="8">
        <v>7.9719194312796227E-2</v>
      </c>
      <c r="Q2258" t="s">
        <v>26</v>
      </c>
    </row>
    <row r="2259" spans="1:17" x14ac:dyDescent="0.25">
      <c r="A2259" s="7" t="s">
        <v>162</v>
      </c>
      <c r="B2259" s="7" t="s">
        <v>18</v>
      </c>
      <c r="C2259" s="7" t="s">
        <v>19</v>
      </c>
      <c r="D2259" s="7" t="s">
        <v>20</v>
      </c>
      <c r="E2259" s="7" t="s">
        <v>21</v>
      </c>
      <c r="F2259" s="7" t="s">
        <v>104</v>
      </c>
      <c r="G2259" s="7" t="s">
        <v>105</v>
      </c>
      <c r="H2259" s="7" t="s">
        <v>172</v>
      </c>
      <c r="I2259" s="7" t="s">
        <v>174</v>
      </c>
      <c r="J2259" s="8">
        <v>2.1533387129319301</v>
      </c>
      <c r="K2259" s="8">
        <v>1.9049083518218726</v>
      </c>
      <c r="L2259" s="8">
        <v>0.11356265289743908</v>
      </c>
      <c r="M2259" s="8">
        <v>296.06107928217773</v>
      </c>
      <c r="N2259" s="8">
        <v>78.893719943577622</v>
      </c>
      <c r="O2259" s="8">
        <v>26.083072523926564</v>
      </c>
      <c r="P2259" s="8">
        <v>0.43237644290697419</v>
      </c>
      <c r="Q2259" t="s">
        <v>26</v>
      </c>
    </row>
    <row r="2260" spans="1:17" x14ac:dyDescent="0.25">
      <c r="A2260" s="7" t="s">
        <v>162</v>
      </c>
      <c r="B2260" s="7" t="s">
        <v>18</v>
      </c>
      <c r="C2260" s="7" t="s">
        <v>19</v>
      </c>
      <c r="D2260" s="7" t="s">
        <v>20</v>
      </c>
      <c r="E2260" s="7" t="s">
        <v>21</v>
      </c>
      <c r="F2260" s="7" t="s">
        <v>104</v>
      </c>
      <c r="G2260" s="7" t="s">
        <v>105</v>
      </c>
      <c r="H2260" s="7" t="s">
        <v>172</v>
      </c>
      <c r="I2260" s="7" t="s">
        <v>175</v>
      </c>
      <c r="J2260" s="8">
        <v>0.11286540343385819</v>
      </c>
      <c r="K2260" s="8">
        <v>9.9848767903211469E-2</v>
      </c>
      <c r="L2260" s="8">
        <v>1.9492927675473712E-2</v>
      </c>
      <c r="M2260" s="8">
        <v>49.115292275618238</v>
      </c>
      <c r="N2260" s="8">
        <v>24.148339341236134</v>
      </c>
      <c r="O2260" s="8">
        <v>2.2614334430507368</v>
      </c>
      <c r="P2260" s="8">
        <v>5.4645210347136201E-2</v>
      </c>
      <c r="Q2260" t="s">
        <v>26</v>
      </c>
    </row>
    <row r="2261" spans="1:17" x14ac:dyDescent="0.25">
      <c r="A2261" s="7" t="s">
        <v>162</v>
      </c>
      <c r="B2261" s="7" t="s">
        <v>18</v>
      </c>
      <c r="C2261" s="7" t="s">
        <v>19</v>
      </c>
      <c r="D2261" s="7" t="s">
        <v>20</v>
      </c>
      <c r="E2261" s="7" t="s">
        <v>21</v>
      </c>
      <c r="F2261" s="7" t="s">
        <v>104</v>
      </c>
      <c r="G2261" s="7" t="s">
        <v>105</v>
      </c>
      <c r="H2261" s="7" t="s">
        <v>172</v>
      </c>
      <c r="I2261" s="7" t="s">
        <v>176</v>
      </c>
      <c r="J2261" s="8">
        <v>0.31949811352937479</v>
      </c>
      <c r="K2261" s="8">
        <v>0.28270183856066106</v>
      </c>
      <c r="L2261" s="8">
        <v>3.8689591663633956E-2</v>
      </c>
      <c r="M2261" s="8">
        <v>76.054421218134465</v>
      </c>
      <c r="N2261" s="8">
        <v>16.874402616669318</v>
      </c>
      <c r="O2261" s="8">
        <v>8.2833870471261601</v>
      </c>
      <c r="P2261" s="8">
        <v>0.11782411815403369</v>
      </c>
      <c r="Q2261" t="s">
        <v>26</v>
      </c>
    </row>
    <row r="2262" spans="1:17" x14ac:dyDescent="0.25">
      <c r="A2262" s="7" t="s">
        <v>162</v>
      </c>
      <c r="B2262" s="7" t="s">
        <v>18</v>
      </c>
      <c r="C2262" s="7" t="s">
        <v>19</v>
      </c>
      <c r="D2262" s="7" t="s">
        <v>20</v>
      </c>
      <c r="E2262" s="7" t="s">
        <v>21</v>
      </c>
      <c r="F2262" s="7" t="s">
        <v>104</v>
      </c>
      <c r="G2262" s="7" t="s">
        <v>105</v>
      </c>
      <c r="H2262" s="7" t="s">
        <v>172</v>
      </c>
      <c r="I2262" s="7" t="s">
        <v>177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t="s">
        <v>26</v>
      </c>
    </row>
    <row r="2263" spans="1:17" x14ac:dyDescent="0.25">
      <c r="A2263" s="7" t="s">
        <v>162</v>
      </c>
      <c r="B2263" s="7" t="s">
        <v>18</v>
      </c>
      <c r="C2263" s="7" t="s">
        <v>19</v>
      </c>
      <c r="D2263" s="7" t="s">
        <v>20</v>
      </c>
      <c r="E2263" s="7" t="s">
        <v>21</v>
      </c>
      <c r="F2263" s="7" t="s">
        <v>104</v>
      </c>
      <c r="G2263" s="7" t="s">
        <v>105</v>
      </c>
      <c r="H2263" s="7" t="s">
        <v>172</v>
      </c>
      <c r="I2263" s="7" t="s">
        <v>178</v>
      </c>
      <c r="J2263" s="8">
        <v>3.8357045985970384</v>
      </c>
      <c r="K2263" s="8">
        <v>3.5287926734216688</v>
      </c>
      <c r="L2263" s="8">
        <v>5.9134840218238512E-2</v>
      </c>
      <c r="M2263" s="8">
        <v>97.151629384255656</v>
      </c>
      <c r="N2263" s="8">
        <v>53.82184840218239</v>
      </c>
      <c r="O2263" s="8">
        <v>69.232419329696029</v>
      </c>
      <c r="P2263" s="8">
        <v>0.10560093530787217</v>
      </c>
      <c r="Q2263" t="s">
        <v>137</v>
      </c>
    </row>
    <row r="2264" spans="1:17" x14ac:dyDescent="0.25">
      <c r="A2264" s="7" t="s">
        <v>162</v>
      </c>
      <c r="B2264" s="7" t="s">
        <v>18</v>
      </c>
      <c r="C2264" s="7" t="s">
        <v>19</v>
      </c>
      <c r="D2264" s="7" t="s">
        <v>20</v>
      </c>
      <c r="E2264" s="7" t="s">
        <v>21</v>
      </c>
      <c r="F2264" s="7" t="s">
        <v>104</v>
      </c>
      <c r="G2264" s="7" t="s">
        <v>105</v>
      </c>
      <c r="H2264" s="7" t="s">
        <v>172</v>
      </c>
      <c r="I2264" s="7" t="s">
        <v>179</v>
      </c>
      <c r="J2264" s="8">
        <v>4.0522870583419701</v>
      </c>
      <c r="K2264" s="8">
        <v>3.7245290766021353</v>
      </c>
      <c r="L2264" s="8">
        <v>0.12914380425874422</v>
      </c>
      <c r="M2264" s="8">
        <v>237.7239322009448</v>
      </c>
      <c r="N2264" s="8">
        <v>75.948592603712129</v>
      </c>
      <c r="O2264" s="8">
        <v>138.54249781102232</v>
      </c>
      <c r="P2264" s="8">
        <v>0.2885738026207747</v>
      </c>
      <c r="Q2264" t="s">
        <v>137</v>
      </c>
    </row>
    <row r="2265" spans="1:17" x14ac:dyDescent="0.25">
      <c r="A2265" s="7" t="s">
        <v>162</v>
      </c>
      <c r="B2265" s="7" t="s">
        <v>18</v>
      </c>
      <c r="C2265" s="7" t="s">
        <v>19</v>
      </c>
      <c r="D2265" s="7" t="s">
        <v>20</v>
      </c>
      <c r="E2265" s="7" t="s">
        <v>21</v>
      </c>
      <c r="F2265" s="7" t="s">
        <v>104</v>
      </c>
      <c r="G2265" s="7" t="s">
        <v>105</v>
      </c>
      <c r="H2265" s="7" t="s">
        <v>172</v>
      </c>
      <c r="I2265" s="7" t="s">
        <v>180</v>
      </c>
      <c r="J2265" s="8">
        <v>3.2547368727696462</v>
      </c>
      <c r="K2265" s="8">
        <v>2.9942347243463696</v>
      </c>
      <c r="L2265" s="8">
        <v>6.8022831549049603E-2</v>
      </c>
      <c r="M2265" s="8">
        <v>130.51483205884495</v>
      </c>
      <c r="N2265" s="8">
        <v>57.355922948073683</v>
      </c>
      <c r="O2265" s="8">
        <v>107.66889075813853</v>
      </c>
      <c r="P2265" s="8">
        <v>0.16109697035904161</v>
      </c>
      <c r="Q2265" t="s">
        <v>137</v>
      </c>
    </row>
    <row r="2266" spans="1:17" x14ac:dyDescent="0.25">
      <c r="A2266" s="7" t="s">
        <v>162</v>
      </c>
      <c r="B2266" s="7" t="s">
        <v>18</v>
      </c>
      <c r="C2266" s="7" t="s">
        <v>19</v>
      </c>
      <c r="D2266" s="7" t="s">
        <v>20</v>
      </c>
      <c r="E2266" s="7" t="s">
        <v>21</v>
      </c>
      <c r="F2266" s="7" t="s">
        <v>104</v>
      </c>
      <c r="G2266" s="7" t="s">
        <v>105</v>
      </c>
      <c r="H2266" s="7" t="s">
        <v>172</v>
      </c>
      <c r="I2266" s="7" t="s">
        <v>181</v>
      </c>
      <c r="J2266" s="8">
        <v>1.9594715218572727</v>
      </c>
      <c r="K2266" s="8">
        <v>1.7387157632748904</v>
      </c>
      <c r="L2266" s="8">
        <v>0.12402535499230752</v>
      </c>
      <c r="M2266" s="8">
        <v>320.5635347377729</v>
      </c>
      <c r="N2266" s="8">
        <v>67.024150366534272</v>
      </c>
      <c r="O2266" s="8">
        <v>36.429847959311147</v>
      </c>
      <c r="P2266" s="8">
        <v>0.43059023456253354</v>
      </c>
      <c r="Q2266" t="s">
        <v>26</v>
      </c>
    </row>
    <row r="2267" spans="1:17" x14ac:dyDescent="0.25">
      <c r="A2267" s="7" t="s">
        <v>162</v>
      </c>
      <c r="B2267" s="7" t="s">
        <v>18</v>
      </c>
      <c r="C2267" s="7" t="s">
        <v>19</v>
      </c>
      <c r="D2267" s="7"/>
      <c r="E2267" s="7"/>
      <c r="F2267" s="7" t="s">
        <v>108</v>
      </c>
      <c r="G2267" s="7" t="s">
        <v>109</v>
      </c>
      <c r="H2267" s="7" t="s">
        <v>172</v>
      </c>
      <c r="I2267" s="7" t="s">
        <v>173</v>
      </c>
      <c r="J2267" s="8">
        <v>8.6374407582938384E-4</v>
      </c>
      <c r="K2267" s="8">
        <v>7.6408636124275942E-4</v>
      </c>
      <c r="L2267" s="8">
        <v>2.4289099526066354E-4</v>
      </c>
      <c r="M2267" s="8">
        <v>0.88550105318588723</v>
      </c>
      <c r="N2267" s="8">
        <v>3.7420791644725303E-2</v>
      </c>
      <c r="O2267" s="8">
        <v>6.7543970510795137E-2</v>
      </c>
      <c r="P2267" s="8">
        <v>8.712480252764614E-4</v>
      </c>
      <c r="Q2267" t="s">
        <v>26</v>
      </c>
    </row>
    <row r="2268" spans="1:17" x14ac:dyDescent="0.25">
      <c r="A2268" s="7" t="s">
        <v>162</v>
      </c>
      <c r="B2268" s="7" t="s">
        <v>18</v>
      </c>
      <c r="C2268" s="7" t="s">
        <v>19</v>
      </c>
      <c r="D2268" s="7"/>
      <c r="E2268" s="7"/>
      <c r="F2268" s="7" t="s">
        <v>108</v>
      </c>
      <c r="G2268" s="7" t="s">
        <v>109</v>
      </c>
      <c r="H2268" s="7" t="s">
        <v>172</v>
      </c>
      <c r="I2268" s="7" t="s">
        <v>174</v>
      </c>
      <c r="J2268" s="8">
        <v>6.5324671379622792E-2</v>
      </c>
      <c r="K2268" s="8">
        <v>5.77881739383359E-2</v>
      </c>
      <c r="L2268" s="8">
        <v>3.4450887530938501E-3</v>
      </c>
      <c r="M2268" s="8">
        <v>8.9814447658686003</v>
      </c>
      <c r="N2268" s="8">
        <v>2.3933560931587259</v>
      </c>
      <c r="O2268" s="8">
        <v>0.79126805781354714</v>
      </c>
      <c r="P2268" s="8">
        <v>1.3116770192985981E-2</v>
      </c>
      <c r="Q2268" t="s">
        <v>26</v>
      </c>
    </row>
    <row r="2269" spans="1:17" x14ac:dyDescent="0.25">
      <c r="A2269" s="7" t="s">
        <v>162</v>
      </c>
      <c r="B2269" s="7" t="s">
        <v>18</v>
      </c>
      <c r="C2269" s="7" t="s">
        <v>19</v>
      </c>
      <c r="D2269" s="7"/>
      <c r="E2269" s="7"/>
      <c r="F2269" s="7" t="s">
        <v>108</v>
      </c>
      <c r="G2269" s="7" t="s">
        <v>109</v>
      </c>
      <c r="H2269" s="7" t="s">
        <v>172</v>
      </c>
      <c r="I2269" s="7" t="s">
        <v>175</v>
      </c>
      <c r="J2269" s="8">
        <v>0</v>
      </c>
      <c r="K2269" s="8">
        <v>0</v>
      </c>
      <c r="L2269" s="8">
        <v>0</v>
      </c>
      <c r="M2269" s="8">
        <v>0</v>
      </c>
      <c r="N2269" s="8">
        <v>0</v>
      </c>
      <c r="O2269" s="8">
        <v>0</v>
      </c>
      <c r="P2269" s="8">
        <v>0</v>
      </c>
      <c r="Q2269" t="s">
        <v>26</v>
      </c>
    </row>
    <row r="2270" spans="1:17" x14ac:dyDescent="0.25">
      <c r="A2270" s="7" t="s">
        <v>162</v>
      </c>
      <c r="B2270" s="7" t="s">
        <v>18</v>
      </c>
      <c r="C2270" s="7" t="s">
        <v>19</v>
      </c>
      <c r="D2270" s="7"/>
      <c r="E2270" s="7"/>
      <c r="F2270" s="7" t="s">
        <v>108</v>
      </c>
      <c r="G2270" s="7" t="s">
        <v>109</v>
      </c>
      <c r="H2270" s="7" t="s">
        <v>172</v>
      </c>
      <c r="I2270" s="7" t="s">
        <v>176</v>
      </c>
      <c r="J2270" s="8">
        <v>1.7826075003784855E-2</v>
      </c>
      <c r="K2270" s="8">
        <v>1.5773063954028298E-2</v>
      </c>
      <c r="L2270" s="8">
        <v>2.1586467451812931E-3</v>
      </c>
      <c r="M2270" s="8">
        <v>4.2433797246169433</v>
      </c>
      <c r="N2270" s="8">
        <v>0.9414902747497903</v>
      </c>
      <c r="O2270" s="8">
        <v>0.46216322580532215</v>
      </c>
      <c r="P2270" s="8">
        <v>6.5738778369203357E-3</v>
      </c>
      <c r="Q2270" t="s">
        <v>26</v>
      </c>
    </row>
    <row r="2271" spans="1:17" x14ac:dyDescent="0.25">
      <c r="A2271" s="7" t="s">
        <v>162</v>
      </c>
      <c r="B2271" s="7" t="s">
        <v>18</v>
      </c>
      <c r="C2271" s="7" t="s">
        <v>19</v>
      </c>
      <c r="D2271" s="7"/>
      <c r="E2271" s="7"/>
      <c r="F2271" s="7" t="s">
        <v>108</v>
      </c>
      <c r="G2271" s="7" t="s">
        <v>109</v>
      </c>
      <c r="H2271" s="7" t="s">
        <v>172</v>
      </c>
      <c r="I2271" s="7" t="s">
        <v>177</v>
      </c>
      <c r="J2271" s="8">
        <v>0</v>
      </c>
      <c r="K2271" s="8">
        <v>0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t="s">
        <v>26</v>
      </c>
    </row>
    <row r="2272" spans="1:17" x14ac:dyDescent="0.25">
      <c r="A2272" s="7" t="s">
        <v>162</v>
      </c>
      <c r="B2272" s="7" t="s">
        <v>18</v>
      </c>
      <c r="C2272" s="7" t="s">
        <v>19</v>
      </c>
      <c r="D2272" s="7"/>
      <c r="E2272" s="7"/>
      <c r="F2272" s="7" t="s">
        <v>108</v>
      </c>
      <c r="G2272" s="7" t="s">
        <v>109</v>
      </c>
      <c r="H2272" s="7" t="s">
        <v>172</v>
      </c>
      <c r="I2272" s="7" t="s">
        <v>178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t="s">
        <v>137</v>
      </c>
    </row>
    <row r="2273" spans="1:17" x14ac:dyDescent="0.25">
      <c r="A2273" s="7" t="s">
        <v>162</v>
      </c>
      <c r="B2273" s="7" t="s">
        <v>18</v>
      </c>
      <c r="C2273" s="7" t="s">
        <v>19</v>
      </c>
      <c r="D2273" s="7"/>
      <c r="E2273" s="7"/>
      <c r="F2273" s="7" t="s">
        <v>108</v>
      </c>
      <c r="G2273" s="7" t="s">
        <v>109</v>
      </c>
      <c r="H2273" s="7" t="s">
        <v>172</v>
      </c>
      <c r="I2273" s="7" t="s">
        <v>179</v>
      </c>
      <c r="J2273" s="8">
        <v>6.8431617231806297E-2</v>
      </c>
      <c r="K2273" s="8">
        <v>6.2960158560103924E-2</v>
      </c>
      <c r="L2273" s="8">
        <v>1.7517359022882172E-3</v>
      </c>
      <c r="M2273" s="8">
        <v>1.7868402901697493</v>
      </c>
      <c r="N2273" s="8">
        <v>1.2526085584283049</v>
      </c>
      <c r="O2273" s="8">
        <v>1.7396457462677679</v>
      </c>
      <c r="P2273" s="8">
        <v>4.2000919125208978E-3</v>
      </c>
      <c r="Q2273" t="s">
        <v>137</v>
      </c>
    </row>
    <row r="2274" spans="1:17" x14ac:dyDescent="0.25">
      <c r="A2274" s="7" t="s">
        <v>162</v>
      </c>
      <c r="B2274" s="7" t="s">
        <v>18</v>
      </c>
      <c r="C2274" s="7" t="s">
        <v>19</v>
      </c>
      <c r="D2274" s="7"/>
      <c r="E2274" s="7"/>
      <c r="F2274" s="7" t="s">
        <v>108</v>
      </c>
      <c r="G2274" s="7" t="s">
        <v>109</v>
      </c>
      <c r="H2274" s="7" t="s">
        <v>172</v>
      </c>
      <c r="I2274" s="7" t="s">
        <v>180</v>
      </c>
      <c r="J2274" s="8">
        <v>0</v>
      </c>
      <c r="K2274" s="8">
        <v>0</v>
      </c>
      <c r="L2274" s="8">
        <v>0</v>
      </c>
      <c r="M2274" s="8">
        <v>0</v>
      </c>
      <c r="N2274" s="8">
        <v>0</v>
      </c>
      <c r="O2274" s="8">
        <v>0</v>
      </c>
      <c r="P2274" s="8">
        <v>0</v>
      </c>
      <c r="Q2274" t="s">
        <v>137</v>
      </c>
    </row>
    <row r="2275" spans="1:17" x14ac:dyDescent="0.25">
      <c r="A2275" s="7" t="s">
        <v>162</v>
      </c>
      <c r="B2275" s="7" t="s">
        <v>18</v>
      </c>
      <c r="C2275" s="7" t="s">
        <v>19</v>
      </c>
      <c r="D2275" s="7"/>
      <c r="E2275" s="7"/>
      <c r="F2275" s="7" t="s">
        <v>108</v>
      </c>
      <c r="G2275" s="7" t="s">
        <v>109</v>
      </c>
      <c r="H2275" s="7" t="s">
        <v>172</v>
      </c>
      <c r="I2275" s="7" t="s">
        <v>181</v>
      </c>
      <c r="J2275" s="8">
        <v>0.18212632372263807</v>
      </c>
      <c r="K2275" s="8">
        <v>0.16073189472713539</v>
      </c>
      <c r="L2275" s="8">
        <v>1.3288169892765697E-2</v>
      </c>
      <c r="M2275" s="8">
        <v>35.571035682123835</v>
      </c>
      <c r="N2275" s="8">
        <v>7.2360454390664382</v>
      </c>
      <c r="O2275" s="8">
        <v>4.1299736825215172</v>
      </c>
      <c r="P2275" s="8">
        <v>4.571929590888061E-2</v>
      </c>
      <c r="Q2275" t="s">
        <v>26</v>
      </c>
    </row>
    <row r="2276" spans="1:17" x14ac:dyDescent="0.25">
      <c r="A2276" s="7" t="s">
        <v>162</v>
      </c>
      <c r="B2276" s="7" t="s">
        <v>18</v>
      </c>
      <c r="C2276" s="7" t="s">
        <v>19</v>
      </c>
      <c r="D2276" s="7"/>
      <c r="E2276" s="7"/>
      <c r="F2276" s="7" t="s">
        <v>110</v>
      </c>
      <c r="G2276" s="7" t="s">
        <v>111</v>
      </c>
      <c r="H2276" s="7" t="s">
        <v>172</v>
      </c>
      <c r="I2276" s="7" t="s">
        <v>173</v>
      </c>
      <c r="J2276" s="8">
        <v>8.4215047393364925E-2</v>
      </c>
      <c r="K2276" s="8">
        <v>7.4498420221169051E-2</v>
      </c>
      <c r="L2276" s="8">
        <v>2.3681872037914695E-2</v>
      </c>
      <c r="M2276" s="8">
        <v>86.336352685624021</v>
      </c>
      <c r="N2276" s="8">
        <v>3.6485271853607166</v>
      </c>
      <c r="O2276" s="8">
        <v>6.5855371248025261</v>
      </c>
      <c r="P2276" s="8">
        <v>8.4946682464454984E-2</v>
      </c>
      <c r="Q2276" t="s">
        <v>26</v>
      </c>
    </row>
    <row r="2277" spans="1:17" x14ac:dyDescent="0.25">
      <c r="A2277" s="7" t="s">
        <v>162</v>
      </c>
      <c r="B2277" s="7" t="s">
        <v>18</v>
      </c>
      <c r="C2277" s="7" t="s">
        <v>19</v>
      </c>
      <c r="D2277" s="7"/>
      <c r="E2277" s="7"/>
      <c r="F2277" s="7" t="s">
        <v>110</v>
      </c>
      <c r="G2277" s="7" t="s">
        <v>111</v>
      </c>
      <c r="H2277" s="7" t="s">
        <v>172</v>
      </c>
      <c r="I2277" s="7" t="s">
        <v>174</v>
      </c>
      <c r="J2277" s="8">
        <v>4.8246664146622456</v>
      </c>
      <c r="K2277" s="8">
        <v>4.2680680460624369</v>
      </c>
      <c r="L2277" s="8">
        <v>0.25448209842720609</v>
      </c>
      <c r="M2277" s="8">
        <v>663.56376342205294</v>
      </c>
      <c r="N2277" s="8">
        <v>176.83572171224694</v>
      </c>
      <c r="O2277" s="8">
        <v>58.4350221560832</v>
      </c>
      <c r="P2277" s="8">
        <v>0.96882164471491439</v>
      </c>
      <c r="Q2277" t="s">
        <v>26</v>
      </c>
    </row>
    <row r="2278" spans="1:17" x14ac:dyDescent="0.25">
      <c r="A2278" s="7" t="s">
        <v>162</v>
      </c>
      <c r="B2278" s="7" t="s">
        <v>18</v>
      </c>
      <c r="C2278" s="7" t="s">
        <v>19</v>
      </c>
      <c r="D2278" s="7"/>
      <c r="E2278" s="7"/>
      <c r="F2278" s="7" t="s">
        <v>110</v>
      </c>
      <c r="G2278" s="7" t="s">
        <v>111</v>
      </c>
      <c r="H2278" s="7" t="s">
        <v>172</v>
      </c>
      <c r="I2278" s="7" t="s">
        <v>175</v>
      </c>
      <c r="J2278" s="8">
        <v>6.2075971888622003E-2</v>
      </c>
      <c r="K2278" s="8">
        <v>5.4916822346766314E-2</v>
      </c>
      <c r="L2278" s="8">
        <v>1.0721110221510543E-2</v>
      </c>
      <c r="M2278" s="8">
        <v>27.01341075159004</v>
      </c>
      <c r="N2278" s="8">
        <v>13.281586637679874</v>
      </c>
      <c r="O2278" s="8">
        <v>1.2437883936779055</v>
      </c>
      <c r="P2278" s="8">
        <v>3.0054865690924904E-2</v>
      </c>
      <c r="Q2278" t="s">
        <v>26</v>
      </c>
    </row>
    <row r="2279" spans="1:17" x14ac:dyDescent="0.25">
      <c r="A2279" s="7" t="s">
        <v>162</v>
      </c>
      <c r="B2279" s="7" t="s">
        <v>18</v>
      </c>
      <c r="C2279" s="7" t="s">
        <v>19</v>
      </c>
      <c r="D2279" s="7"/>
      <c r="E2279" s="7"/>
      <c r="F2279" s="7" t="s">
        <v>110</v>
      </c>
      <c r="G2279" s="7" t="s">
        <v>111</v>
      </c>
      <c r="H2279" s="7" t="s">
        <v>172</v>
      </c>
      <c r="I2279" s="7" t="s">
        <v>176</v>
      </c>
      <c r="J2279" s="8">
        <v>0.87383928180873771</v>
      </c>
      <c r="K2279" s="8">
        <v>0.77422978000957476</v>
      </c>
      <c r="L2279" s="8">
        <v>0.10253098297437756</v>
      </c>
      <c r="M2279" s="8">
        <v>201.28383652998926</v>
      </c>
      <c r="N2279" s="8">
        <v>44.827952314723134</v>
      </c>
      <c r="O2279" s="8">
        <v>21.917998076944752</v>
      </c>
      <c r="P2279" s="8">
        <v>0.31277438068233354</v>
      </c>
      <c r="Q2279" t="s">
        <v>26</v>
      </c>
    </row>
    <row r="2280" spans="1:17" x14ac:dyDescent="0.25">
      <c r="A2280" s="7" t="s">
        <v>162</v>
      </c>
      <c r="B2280" s="7" t="s">
        <v>18</v>
      </c>
      <c r="C2280" s="7" t="s">
        <v>19</v>
      </c>
      <c r="D2280" s="7"/>
      <c r="E2280" s="7"/>
      <c r="F2280" s="7" t="s">
        <v>110</v>
      </c>
      <c r="G2280" s="7" t="s">
        <v>111</v>
      </c>
      <c r="H2280" s="7" t="s">
        <v>172</v>
      </c>
      <c r="I2280" s="7" t="s">
        <v>177</v>
      </c>
      <c r="J2280" s="8">
        <v>0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  <c r="Q2280" t="s">
        <v>26</v>
      </c>
    </row>
    <row r="2281" spans="1:17" x14ac:dyDescent="0.25">
      <c r="A2281" s="7" t="s">
        <v>162</v>
      </c>
      <c r="B2281" s="7" t="s">
        <v>18</v>
      </c>
      <c r="C2281" s="7" t="s">
        <v>19</v>
      </c>
      <c r="D2281" s="7"/>
      <c r="E2281" s="7"/>
      <c r="F2281" s="7" t="s">
        <v>110</v>
      </c>
      <c r="G2281" s="7" t="s">
        <v>111</v>
      </c>
      <c r="H2281" s="7" t="s">
        <v>172</v>
      </c>
      <c r="I2281" s="7" t="s">
        <v>178</v>
      </c>
      <c r="J2281" s="8">
        <v>0.35515783320342953</v>
      </c>
      <c r="K2281" s="8">
        <v>0.32674006235385822</v>
      </c>
      <c r="L2281" s="8">
        <v>5.4754481683554172E-3</v>
      </c>
      <c r="M2281" s="8">
        <v>8.9955212392829313</v>
      </c>
      <c r="N2281" s="8">
        <v>4.9835044816835543</v>
      </c>
      <c r="O2281" s="8">
        <v>6.4104091971940766</v>
      </c>
      <c r="P2281" s="8">
        <v>9.7778643803585336E-3</v>
      </c>
      <c r="Q2281" t="s">
        <v>137</v>
      </c>
    </row>
    <row r="2282" spans="1:17" x14ac:dyDescent="0.25">
      <c r="A2282" s="7" t="s">
        <v>162</v>
      </c>
      <c r="B2282" s="7" t="s">
        <v>18</v>
      </c>
      <c r="C2282" s="7" t="s">
        <v>19</v>
      </c>
      <c r="D2282" s="7"/>
      <c r="E2282" s="7"/>
      <c r="F2282" s="7" t="s">
        <v>110</v>
      </c>
      <c r="G2282" s="7" t="s">
        <v>111</v>
      </c>
      <c r="H2282" s="7" t="s">
        <v>172</v>
      </c>
      <c r="I2282" s="7" t="s">
        <v>179</v>
      </c>
      <c r="J2282" s="8">
        <v>3.6306716823154717</v>
      </c>
      <c r="K2282" s="8">
        <v>3.3362065834588259</v>
      </c>
      <c r="L2282" s="8">
        <v>0.12117470286574739</v>
      </c>
      <c r="M2282" s="8">
        <v>241.95614937002151</v>
      </c>
      <c r="N2282" s="8">
        <v>68.577855654215625</v>
      </c>
      <c r="O2282" s="8">
        <v>131.77173324498358</v>
      </c>
      <c r="P2282" s="8">
        <v>0.27013436648918571</v>
      </c>
      <c r="Q2282" t="s">
        <v>137</v>
      </c>
    </row>
    <row r="2283" spans="1:17" x14ac:dyDescent="0.25">
      <c r="A2283" s="7" t="s">
        <v>162</v>
      </c>
      <c r="B2283" s="7" t="s">
        <v>18</v>
      </c>
      <c r="C2283" s="7" t="s">
        <v>19</v>
      </c>
      <c r="D2283" s="7"/>
      <c r="E2283" s="7"/>
      <c r="F2283" s="7" t="s">
        <v>110</v>
      </c>
      <c r="G2283" s="7" t="s">
        <v>111</v>
      </c>
      <c r="H2283" s="7" t="s">
        <v>172</v>
      </c>
      <c r="I2283" s="7" t="s">
        <v>180</v>
      </c>
      <c r="J2283" s="8">
        <v>10.789324593984418</v>
      </c>
      <c r="K2283" s="8">
        <v>9.9257702279513502</v>
      </c>
      <c r="L2283" s="8">
        <v>0.22549300852086515</v>
      </c>
      <c r="M2283" s="8">
        <v>432.65152989585602</v>
      </c>
      <c r="N2283" s="8">
        <v>190.13262646566159</v>
      </c>
      <c r="O2283" s="8">
        <v>356.91813393052217</v>
      </c>
      <c r="P2283" s="8">
        <v>0.53403011433981507</v>
      </c>
      <c r="Q2283" t="s">
        <v>137</v>
      </c>
    </row>
    <row r="2284" spans="1:17" x14ac:dyDescent="0.25">
      <c r="A2284" s="7" t="s">
        <v>162</v>
      </c>
      <c r="B2284" s="7" t="s">
        <v>18</v>
      </c>
      <c r="C2284" s="7" t="s">
        <v>19</v>
      </c>
      <c r="D2284" s="7"/>
      <c r="E2284" s="7"/>
      <c r="F2284" s="7" t="s">
        <v>110</v>
      </c>
      <c r="G2284" s="7" t="s">
        <v>111</v>
      </c>
      <c r="H2284" s="7" t="s">
        <v>172</v>
      </c>
      <c r="I2284" s="7" t="s">
        <v>181</v>
      </c>
      <c r="J2284" s="8">
        <v>4.9712841425159038</v>
      </c>
      <c r="K2284" s="8">
        <v>4.4154495566046332</v>
      </c>
      <c r="L2284" s="8">
        <v>0.30408188029180655</v>
      </c>
      <c r="M2284" s="8">
        <v>803.41214702135642</v>
      </c>
      <c r="N2284" s="8">
        <v>168.34068948936019</v>
      </c>
      <c r="O2284" s="8">
        <v>92.600270401234198</v>
      </c>
      <c r="P2284" s="8">
        <v>1.0611531318367633</v>
      </c>
      <c r="Q2284" t="s">
        <v>26</v>
      </c>
    </row>
    <row r="2285" spans="1:17" x14ac:dyDescent="0.25">
      <c r="A2285" s="7" t="s">
        <v>162</v>
      </c>
      <c r="B2285" s="7" t="s">
        <v>18</v>
      </c>
      <c r="C2285" s="7" t="s">
        <v>19</v>
      </c>
      <c r="D2285" s="7" t="s">
        <v>20</v>
      </c>
      <c r="E2285" s="7" t="s">
        <v>21</v>
      </c>
      <c r="F2285" s="7" t="s">
        <v>112</v>
      </c>
      <c r="G2285" s="7" t="s">
        <v>113</v>
      </c>
      <c r="H2285" s="7" t="s">
        <v>172</v>
      </c>
      <c r="I2285" s="7" t="s">
        <v>173</v>
      </c>
      <c r="J2285" s="8">
        <v>6.1757701421800953E-2</v>
      </c>
      <c r="K2285" s="8">
        <v>5.4632174828857301E-2</v>
      </c>
      <c r="L2285" s="8">
        <v>1.7366706161137446E-2</v>
      </c>
      <c r="M2285" s="8">
        <v>63.31332530279095</v>
      </c>
      <c r="N2285" s="8">
        <v>2.6755866025978592</v>
      </c>
      <c r="O2285" s="8">
        <v>4.8293938915218524</v>
      </c>
      <c r="P2285" s="8">
        <v>6.2294233807266987E-2</v>
      </c>
      <c r="Q2285" t="s">
        <v>26</v>
      </c>
    </row>
    <row r="2286" spans="1:17" x14ac:dyDescent="0.25">
      <c r="A2286" s="7" t="s">
        <v>162</v>
      </c>
      <c r="B2286" s="7" t="s">
        <v>18</v>
      </c>
      <c r="C2286" s="7" t="s">
        <v>19</v>
      </c>
      <c r="D2286" s="7" t="s">
        <v>20</v>
      </c>
      <c r="E2286" s="7" t="s">
        <v>21</v>
      </c>
      <c r="F2286" s="7" t="s">
        <v>112</v>
      </c>
      <c r="G2286" s="7" t="s">
        <v>113</v>
      </c>
      <c r="H2286" s="7" t="s">
        <v>172</v>
      </c>
      <c r="I2286" s="7" t="s">
        <v>174</v>
      </c>
      <c r="J2286" s="8">
        <v>3.1759667503474796</v>
      </c>
      <c r="K2286" s="8">
        <v>2.8095559474747316</v>
      </c>
      <c r="L2286" s="8">
        <v>0.16749395137769008</v>
      </c>
      <c r="M2286" s="8">
        <v>436.66151461695699</v>
      </c>
      <c r="N2286" s="8">
        <v>116.36062169284422</v>
      </c>
      <c r="O2286" s="8">
        <v>38.47001430169864</v>
      </c>
      <c r="P2286" s="8">
        <v>0.63771351810990018</v>
      </c>
      <c r="Q2286" t="s">
        <v>26</v>
      </c>
    </row>
    <row r="2287" spans="1:17" x14ac:dyDescent="0.25">
      <c r="A2287" s="7" t="s">
        <v>162</v>
      </c>
      <c r="B2287" s="7" t="s">
        <v>18</v>
      </c>
      <c r="C2287" s="7" t="s">
        <v>19</v>
      </c>
      <c r="D2287" s="7" t="s">
        <v>20</v>
      </c>
      <c r="E2287" s="7" t="s">
        <v>21</v>
      </c>
      <c r="F2287" s="7" t="s">
        <v>112</v>
      </c>
      <c r="G2287" s="7" t="s">
        <v>113</v>
      </c>
      <c r="H2287" s="7" t="s">
        <v>172</v>
      </c>
      <c r="I2287" s="7" t="s">
        <v>175</v>
      </c>
      <c r="J2287" s="8">
        <v>0.21021181389556087</v>
      </c>
      <c r="K2287" s="8">
        <v>0.18596833021973133</v>
      </c>
      <c r="L2287" s="8">
        <v>3.6305577795569796E-2</v>
      </c>
      <c r="M2287" s="8">
        <v>91.477231863338972</v>
      </c>
      <c r="N2287" s="8">
        <v>44.976282023052299</v>
      </c>
      <c r="O2287" s="8">
        <v>4.2119197876819978</v>
      </c>
      <c r="P2287" s="8">
        <v>0.10177670427154116</v>
      </c>
      <c r="Q2287" t="s">
        <v>26</v>
      </c>
    </row>
    <row r="2288" spans="1:17" x14ac:dyDescent="0.25">
      <c r="A2288" s="7" t="s">
        <v>162</v>
      </c>
      <c r="B2288" s="7" t="s">
        <v>18</v>
      </c>
      <c r="C2288" s="7" t="s">
        <v>19</v>
      </c>
      <c r="D2288" s="7" t="s">
        <v>20</v>
      </c>
      <c r="E2288" s="7" t="s">
        <v>21</v>
      </c>
      <c r="F2288" s="7" t="s">
        <v>112</v>
      </c>
      <c r="G2288" s="7" t="s">
        <v>113</v>
      </c>
      <c r="H2288" s="7" t="s">
        <v>172</v>
      </c>
      <c r="I2288" s="7" t="s">
        <v>176</v>
      </c>
      <c r="J2288" s="8">
        <v>0.51078561068537376</v>
      </c>
      <c r="K2288" s="8">
        <v>0.45195894791350322</v>
      </c>
      <c r="L2288" s="8">
        <v>6.1853531736925531E-2</v>
      </c>
      <c r="M2288" s="8">
        <v>121.58914980152397</v>
      </c>
      <c r="N2288" s="8">
        <v>26.977317488022845</v>
      </c>
      <c r="O2288" s="8">
        <v>13.242753970190963</v>
      </c>
      <c r="P2288" s="8">
        <v>0.18836688417329422</v>
      </c>
      <c r="Q2288" t="s">
        <v>26</v>
      </c>
    </row>
    <row r="2289" spans="1:17" x14ac:dyDescent="0.25">
      <c r="A2289" s="7" t="s">
        <v>162</v>
      </c>
      <c r="B2289" s="7" t="s">
        <v>18</v>
      </c>
      <c r="C2289" s="7" t="s">
        <v>19</v>
      </c>
      <c r="D2289" s="7" t="s">
        <v>20</v>
      </c>
      <c r="E2289" s="7" t="s">
        <v>21</v>
      </c>
      <c r="F2289" s="7" t="s">
        <v>112</v>
      </c>
      <c r="G2289" s="7" t="s">
        <v>113</v>
      </c>
      <c r="H2289" s="7" t="s">
        <v>172</v>
      </c>
      <c r="I2289" s="7" t="s">
        <v>177</v>
      </c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t="s">
        <v>26</v>
      </c>
    </row>
    <row r="2290" spans="1:17" x14ac:dyDescent="0.25">
      <c r="A2290" s="7" t="s">
        <v>162</v>
      </c>
      <c r="B2290" s="7" t="s">
        <v>18</v>
      </c>
      <c r="C2290" s="7" t="s">
        <v>19</v>
      </c>
      <c r="D2290" s="7" t="s">
        <v>20</v>
      </c>
      <c r="E2290" s="7" t="s">
        <v>21</v>
      </c>
      <c r="F2290" s="7" t="s">
        <v>112</v>
      </c>
      <c r="G2290" s="7" t="s">
        <v>113</v>
      </c>
      <c r="H2290" s="7" t="s">
        <v>172</v>
      </c>
      <c r="I2290" s="7" t="s">
        <v>178</v>
      </c>
      <c r="J2290" s="8">
        <v>3.9067361652377248</v>
      </c>
      <c r="K2290" s="8">
        <v>3.5941406858924405</v>
      </c>
      <c r="L2290" s="8">
        <v>6.0229929851909586E-2</v>
      </c>
      <c r="M2290" s="8">
        <v>98.950733632112247</v>
      </c>
      <c r="N2290" s="8">
        <v>54.818549298519102</v>
      </c>
      <c r="O2290" s="8">
        <v>70.514501169134846</v>
      </c>
      <c r="P2290" s="8">
        <v>0.10755650818394388</v>
      </c>
      <c r="Q2290" t="s">
        <v>137</v>
      </c>
    </row>
    <row r="2291" spans="1:17" x14ac:dyDescent="0.25">
      <c r="A2291" s="7" t="s">
        <v>162</v>
      </c>
      <c r="B2291" s="7" t="s">
        <v>18</v>
      </c>
      <c r="C2291" s="7" t="s">
        <v>19</v>
      </c>
      <c r="D2291" s="7" t="s">
        <v>20</v>
      </c>
      <c r="E2291" s="7" t="s">
        <v>21</v>
      </c>
      <c r="F2291" s="7" t="s">
        <v>112</v>
      </c>
      <c r="G2291" s="7" t="s">
        <v>113</v>
      </c>
      <c r="H2291" s="7" t="s">
        <v>172</v>
      </c>
      <c r="I2291" s="7" t="s">
        <v>179</v>
      </c>
      <c r="J2291" s="8">
        <v>2.6630311974330301</v>
      </c>
      <c r="K2291" s="8">
        <v>2.4470818443596953</v>
      </c>
      <c r="L2291" s="8">
        <v>8.8639940733696562E-2</v>
      </c>
      <c r="M2291" s="8">
        <v>176.16816981233981</v>
      </c>
      <c r="N2291" s="8">
        <v>50.268750729735061</v>
      </c>
      <c r="O2291" s="8">
        <v>96.317347188433601</v>
      </c>
      <c r="P2291" s="8">
        <v>0.19745867371164513</v>
      </c>
      <c r="Q2291" t="s">
        <v>137</v>
      </c>
    </row>
    <row r="2292" spans="1:17" x14ac:dyDescent="0.25">
      <c r="A2292" s="7" t="s">
        <v>162</v>
      </c>
      <c r="B2292" s="7" t="s">
        <v>18</v>
      </c>
      <c r="C2292" s="7" t="s">
        <v>19</v>
      </c>
      <c r="D2292" s="7" t="s">
        <v>20</v>
      </c>
      <c r="E2292" s="7" t="s">
        <v>21</v>
      </c>
      <c r="F2292" s="7" t="s">
        <v>112</v>
      </c>
      <c r="G2292" s="7" t="s">
        <v>113</v>
      </c>
      <c r="H2292" s="7" t="s">
        <v>172</v>
      </c>
      <c r="I2292" s="7" t="s">
        <v>180</v>
      </c>
      <c r="J2292" s="8">
        <v>2.332134294661715</v>
      </c>
      <c r="K2292" s="8">
        <v>2.1454752749253512</v>
      </c>
      <c r="L2292" s="8">
        <v>4.8740769062704831E-2</v>
      </c>
      <c r="M2292" s="8">
        <v>93.518501711455826</v>
      </c>
      <c r="N2292" s="8">
        <v>41.097551088777216</v>
      </c>
      <c r="O2292" s="8">
        <v>77.148575267642556</v>
      </c>
      <c r="P2292" s="8">
        <v>0.11543168742262035</v>
      </c>
      <c r="Q2292" t="s">
        <v>137</v>
      </c>
    </row>
    <row r="2293" spans="1:17" x14ac:dyDescent="0.25">
      <c r="A2293" s="7" t="s">
        <v>162</v>
      </c>
      <c r="B2293" s="7" t="s">
        <v>18</v>
      </c>
      <c r="C2293" s="7" t="s">
        <v>19</v>
      </c>
      <c r="D2293" s="7" t="s">
        <v>20</v>
      </c>
      <c r="E2293" s="7" t="s">
        <v>21</v>
      </c>
      <c r="F2293" s="7" t="s">
        <v>112</v>
      </c>
      <c r="G2293" s="7" t="s">
        <v>113</v>
      </c>
      <c r="H2293" s="7" t="s">
        <v>172</v>
      </c>
      <c r="I2293" s="7" t="s">
        <v>181</v>
      </c>
      <c r="J2293" s="8">
        <v>2.6531164558240921</v>
      </c>
      <c r="K2293" s="8">
        <v>2.3540175548707438</v>
      </c>
      <c r="L2293" s="8">
        <v>0.16774606223963279</v>
      </c>
      <c r="M2293" s="8">
        <v>436.72417716453674</v>
      </c>
      <c r="N2293" s="8">
        <v>91.267389641819562</v>
      </c>
      <c r="O2293" s="8">
        <v>49.857621410818574</v>
      </c>
      <c r="P2293" s="8">
        <v>0.58329256980131627</v>
      </c>
      <c r="Q2293" t="s">
        <v>26</v>
      </c>
    </row>
    <row r="2294" spans="1:17" x14ac:dyDescent="0.25">
      <c r="A2294" s="7" t="s">
        <v>162</v>
      </c>
      <c r="B2294" s="7" t="s">
        <v>18</v>
      </c>
      <c r="C2294" s="7" t="s">
        <v>19</v>
      </c>
      <c r="D2294" s="7" t="s">
        <v>20</v>
      </c>
      <c r="E2294" s="7" t="s">
        <v>21</v>
      </c>
      <c r="F2294" s="7" t="s">
        <v>114</v>
      </c>
      <c r="G2294" s="7" t="s">
        <v>115</v>
      </c>
      <c r="H2294" s="7" t="s">
        <v>172</v>
      </c>
      <c r="I2294" s="7" t="s">
        <v>173</v>
      </c>
      <c r="J2294" s="8">
        <v>2.0656439573459715</v>
      </c>
      <c r="K2294" s="8">
        <v>1.8273125329120592</v>
      </c>
      <c r="L2294" s="8">
        <v>0.58087381516587688</v>
      </c>
      <c r="M2294" s="8">
        <v>2117.6757686940496</v>
      </c>
      <c r="N2294" s="8">
        <v>89.491823218360551</v>
      </c>
      <c r="O2294" s="8">
        <v>161.53140547656659</v>
      </c>
      <c r="P2294" s="8">
        <v>2.0835896524486572</v>
      </c>
      <c r="Q2294" t="s">
        <v>26</v>
      </c>
    </row>
    <row r="2295" spans="1:17" x14ac:dyDescent="0.25">
      <c r="A2295" s="7" t="s">
        <v>162</v>
      </c>
      <c r="B2295" s="7" t="s">
        <v>18</v>
      </c>
      <c r="C2295" s="7" t="s">
        <v>19</v>
      </c>
      <c r="D2295" s="7" t="s">
        <v>20</v>
      </c>
      <c r="E2295" s="7" t="s">
        <v>21</v>
      </c>
      <c r="F2295" s="7" t="s">
        <v>114</v>
      </c>
      <c r="G2295" s="7" t="s">
        <v>115</v>
      </c>
      <c r="H2295" s="7" t="s">
        <v>172</v>
      </c>
      <c r="I2295" s="7" t="s">
        <v>174</v>
      </c>
      <c r="J2295" s="8">
        <v>119.7774161729802</v>
      </c>
      <c r="K2295" s="8">
        <v>105.95959207432429</v>
      </c>
      <c r="L2295" s="8">
        <v>6.3183303378441851</v>
      </c>
      <c r="M2295" s="8">
        <v>16476.782159129958</v>
      </c>
      <c r="N2295" s="8">
        <v>4391.1112046017979</v>
      </c>
      <c r="O2295" s="8">
        <v>1450.6350212577224</v>
      </c>
      <c r="P2295" s="8">
        <v>24.05285037464963</v>
      </c>
      <c r="Q2295" t="s">
        <v>26</v>
      </c>
    </row>
    <row r="2296" spans="1:17" x14ac:dyDescent="0.25">
      <c r="A2296" s="7" t="s">
        <v>162</v>
      </c>
      <c r="B2296" s="7" t="s">
        <v>18</v>
      </c>
      <c r="C2296" s="7" t="s">
        <v>19</v>
      </c>
      <c r="D2296" s="7" t="s">
        <v>20</v>
      </c>
      <c r="E2296" s="7" t="s">
        <v>21</v>
      </c>
      <c r="F2296" s="7" t="s">
        <v>114</v>
      </c>
      <c r="G2296" s="7" t="s">
        <v>115</v>
      </c>
      <c r="H2296" s="7" t="s">
        <v>172</v>
      </c>
      <c r="I2296" s="7" t="s">
        <v>175</v>
      </c>
      <c r="J2296" s="8">
        <v>6.8029621919758014</v>
      </c>
      <c r="K2296" s="8">
        <v>6.018384485366072</v>
      </c>
      <c r="L2296" s="8">
        <v>1.1749362156391783</v>
      </c>
      <c r="M2296" s="8">
        <v>2960.42424191289</v>
      </c>
      <c r="N2296" s="8">
        <v>1455.5411537930081</v>
      </c>
      <c r="O2296" s="8">
        <v>136.30790077988314</v>
      </c>
      <c r="P2296" s="8">
        <v>3.2937400536736345</v>
      </c>
      <c r="Q2296" t="s">
        <v>26</v>
      </c>
    </row>
    <row r="2297" spans="1:17" x14ac:dyDescent="0.25">
      <c r="A2297" s="7" t="s">
        <v>162</v>
      </c>
      <c r="B2297" s="7" t="s">
        <v>18</v>
      </c>
      <c r="C2297" s="7" t="s">
        <v>19</v>
      </c>
      <c r="D2297" s="7" t="s">
        <v>20</v>
      </c>
      <c r="E2297" s="7" t="s">
        <v>21</v>
      </c>
      <c r="F2297" s="7" t="s">
        <v>114</v>
      </c>
      <c r="G2297" s="7" t="s">
        <v>115</v>
      </c>
      <c r="H2297" s="7" t="s">
        <v>172</v>
      </c>
      <c r="I2297" s="7" t="s">
        <v>176</v>
      </c>
      <c r="J2297" s="8">
        <v>19.657736656218571</v>
      </c>
      <c r="K2297" s="8">
        <v>17.433108970771219</v>
      </c>
      <c r="L2297" s="8">
        <v>2.2549074702557741</v>
      </c>
      <c r="M2297" s="8">
        <v>4422.4420732064791</v>
      </c>
      <c r="N2297" s="8">
        <v>987.6796426002079</v>
      </c>
      <c r="O2297" s="8">
        <v>481.4836100091415</v>
      </c>
      <c r="P2297" s="8">
        <v>6.8872584783307103</v>
      </c>
      <c r="Q2297" t="s">
        <v>26</v>
      </c>
    </row>
    <row r="2298" spans="1:17" x14ac:dyDescent="0.25">
      <c r="A2298" s="7" t="s">
        <v>162</v>
      </c>
      <c r="B2298" s="7" t="s">
        <v>18</v>
      </c>
      <c r="C2298" s="7" t="s">
        <v>19</v>
      </c>
      <c r="D2298" s="7" t="s">
        <v>20</v>
      </c>
      <c r="E2298" s="7" t="s">
        <v>21</v>
      </c>
      <c r="F2298" s="7" t="s">
        <v>114</v>
      </c>
      <c r="G2298" s="7" t="s">
        <v>115</v>
      </c>
      <c r="H2298" s="7" t="s">
        <v>172</v>
      </c>
      <c r="I2298" s="7" t="s">
        <v>177</v>
      </c>
      <c r="J2298" s="8">
        <v>1.6378773819029326E-2</v>
      </c>
      <c r="K2298" s="8">
        <v>1.445505591015981E-2</v>
      </c>
      <c r="L2298" s="8">
        <v>1.3788537923207869E-3</v>
      </c>
      <c r="M2298" s="8">
        <v>2.5825984832767839</v>
      </c>
      <c r="N2298" s="8">
        <v>0.648554368566301</v>
      </c>
      <c r="O2298" s="8">
        <v>0.22692691583553512</v>
      </c>
      <c r="P2298" s="8">
        <v>5.080385852090032E-3</v>
      </c>
      <c r="Q2298" t="s">
        <v>26</v>
      </c>
    </row>
    <row r="2299" spans="1:17" x14ac:dyDescent="0.25">
      <c r="A2299" s="7" t="s">
        <v>162</v>
      </c>
      <c r="B2299" s="7" t="s">
        <v>18</v>
      </c>
      <c r="C2299" s="7" t="s">
        <v>19</v>
      </c>
      <c r="D2299" s="7" t="s">
        <v>20</v>
      </c>
      <c r="E2299" s="7" t="s">
        <v>21</v>
      </c>
      <c r="F2299" s="7" t="s">
        <v>114</v>
      </c>
      <c r="G2299" s="7" t="s">
        <v>115</v>
      </c>
      <c r="H2299" s="7" t="s">
        <v>172</v>
      </c>
      <c r="I2299" s="7" t="s">
        <v>178</v>
      </c>
      <c r="J2299" s="8">
        <v>48.230433749025728</v>
      </c>
      <c r="K2299" s="8">
        <v>44.371300467653938</v>
      </c>
      <c r="L2299" s="8">
        <v>0.74356586126266566</v>
      </c>
      <c r="M2299" s="8">
        <v>1221.5917842946221</v>
      </c>
      <c r="N2299" s="8">
        <v>676.75990861262665</v>
      </c>
      <c r="O2299" s="8">
        <v>870.5335689789556</v>
      </c>
      <c r="P2299" s="8">
        <v>1.3278339828526888</v>
      </c>
      <c r="Q2299" t="s">
        <v>137</v>
      </c>
    </row>
    <row r="2300" spans="1:17" x14ac:dyDescent="0.25">
      <c r="A2300" s="7" t="s">
        <v>162</v>
      </c>
      <c r="B2300" s="7" t="s">
        <v>18</v>
      </c>
      <c r="C2300" s="7" t="s">
        <v>19</v>
      </c>
      <c r="D2300" s="7" t="s">
        <v>20</v>
      </c>
      <c r="E2300" s="7" t="s">
        <v>21</v>
      </c>
      <c r="F2300" s="7" t="s">
        <v>114</v>
      </c>
      <c r="G2300" s="7" t="s">
        <v>115</v>
      </c>
      <c r="H2300" s="7" t="s">
        <v>172</v>
      </c>
      <c r="I2300" s="7" t="s">
        <v>179</v>
      </c>
      <c r="J2300" s="8">
        <v>52.23749286614629</v>
      </c>
      <c r="K2300" s="8">
        <v>48.012311441644087</v>
      </c>
      <c r="L2300" s="8">
        <v>1.6654312084913949</v>
      </c>
      <c r="M2300" s="8">
        <v>3091.2152221816982</v>
      </c>
      <c r="N2300" s="8">
        <v>983.49875478445324</v>
      </c>
      <c r="O2300" s="8">
        <v>1786.849471280018</v>
      </c>
      <c r="P2300" s="8">
        <v>3.8332691363469404</v>
      </c>
      <c r="Q2300" t="s">
        <v>137</v>
      </c>
    </row>
    <row r="2301" spans="1:17" x14ac:dyDescent="0.25">
      <c r="A2301" s="7" t="s">
        <v>162</v>
      </c>
      <c r="B2301" s="7" t="s">
        <v>18</v>
      </c>
      <c r="C2301" s="7" t="s">
        <v>19</v>
      </c>
      <c r="D2301" s="7" t="s">
        <v>20</v>
      </c>
      <c r="E2301" s="7" t="s">
        <v>21</v>
      </c>
      <c r="F2301" s="7" t="s">
        <v>114</v>
      </c>
      <c r="G2301" s="7" t="s">
        <v>115</v>
      </c>
      <c r="H2301" s="7" t="s">
        <v>172</v>
      </c>
      <c r="I2301" s="7" t="s">
        <v>180</v>
      </c>
      <c r="J2301" s="8">
        <v>61.122420799650442</v>
      </c>
      <c r="K2301" s="8">
        <v>56.230313524142453</v>
      </c>
      <c r="L2301" s="8">
        <v>1.2774366397203409</v>
      </c>
      <c r="M2301" s="8">
        <v>2451.0068855145291</v>
      </c>
      <c r="N2301" s="8">
        <v>1077.1171356783918</v>
      </c>
      <c r="O2301" s="8">
        <v>2021.9709012453568</v>
      </c>
      <c r="P2301" s="8">
        <v>3.025324994537907</v>
      </c>
      <c r="Q2301" t="s">
        <v>137</v>
      </c>
    </row>
    <row r="2302" spans="1:17" x14ac:dyDescent="0.25">
      <c r="A2302" s="7" t="s">
        <v>162</v>
      </c>
      <c r="B2302" s="7" t="s">
        <v>18</v>
      </c>
      <c r="C2302" s="7" t="s">
        <v>19</v>
      </c>
      <c r="D2302" s="7" t="s">
        <v>20</v>
      </c>
      <c r="E2302" s="7" t="s">
        <v>21</v>
      </c>
      <c r="F2302" s="7" t="s">
        <v>114</v>
      </c>
      <c r="G2302" s="7" t="s">
        <v>115</v>
      </c>
      <c r="H2302" s="7" t="s">
        <v>172</v>
      </c>
      <c r="I2302" s="7" t="s">
        <v>181</v>
      </c>
      <c r="J2302" s="8">
        <v>63.277507209910695</v>
      </c>
      <c r="K2302" s="8">
        <v>56.228630619457817</v>
      </c>
      <c r="L2302" s="8">
        <v>3.8079570540281908</v>
      </c>
      <c r="M2302" s="8">
        <v>9774.0779157685902</v>
      </c>
      <c r="N2302" s="8">
        <v>2069.1985257677047</v>
      </c>
      <c r="O2302" s="8">
        <v>1104.3946618321413</v>
      </c>
      <c r="P2302" s="8">
        <v>13.356424236614178</v>
      </c>
      <c r="Q2302" t="s">
        <v>26</v>
      </c>
    </row>
    <row r="2303" spans="1:17" x14ac:dyDescent="0.25">
      <c r="A2303" s="7" t="s">
        <v>162</v>
      </c>
      <c r="B2303" s="7" t="s">
        <v>18</v>
      </c>
      <c r="C2303" s="7" t="s">
        <v>19</v>
      </c>
      <c r="D2303" s="7" t="s">
        <v>20</v>
      </c>
      <c r="E2303" s="7" t="s">
        <v>21</v>
      </c>
      <c r="F2303" s="7" t="s">
        <v>61</v>
      </c>
      <c r="G2303" s="7" t="s">
        <v>62</v>
      </c>
      <c r="H2303" s="7" t="s">
        <v>172</v>
      </c>
      <c r="I2303" s="7" t="s">
        <v>173</v>
      </c>
      <c r="J2303" s="8">
        <v>1.2597707345971565</v>
      </c>
      <c r="K2303" s="8">
        <v>1.1144199578725646</v>
      </c>
      <c r="L2303" s="8">
        <v>0.35425651658767776</v>
      </c>
      <c r="M2303" s="8">
        <v>1291.5032860716167</v>
      </c>
      <c r="N2303" s="8">
        <v>54.578224613831857</v>
      </c>
      <c r="O2303" s="8">
        <v>98.512880989994699</v>
      </c>
      <c r="P2303" s="8">
        <v>1.2707152448657189</v>
      </c>
      <c r="Q2303" t="s">
        <v>26</v>
      </c>
    </row>
    <row r="2304" spans="1:17" x14ac:dyDescent="0.25">
      <c r="A2304" s="7" t="s">
        <v>162</v>
      </c>
      <c r="B2304" s="7" t="s">
        <v>18</v>
      </c>
      <c r="C2304" s="7" t="s">
        <v>19</v>
      </c>
      <c r="D2304" s="7" t="s">
        <v>20</v>
      </c>
      <c r="E2304" s="7" t="s">
        <v>21</v>
      </c>
      <c r="F2304" s="7" t="s">
        <v>61</v>
      </c>
      <c r="G2304" s="7" t="s">
        <v>62</v>
      </c>
      <c r="H2304" s="7" t="s">
        <v>172</v>
      </c>
      <c r="I2304" s="7" t="s">
        <v>174</v>
      </c>
      <c r="J2304" s="8">
        <v>49.850610212801726</v>
      </c>
      <c r="K2304" s="8">
        <v>44.099851489602152</v>
      </c>
      <c r="L2304" s="8">
        <v>2.6298792298915719</v>
      </c>
      <c r="M2304" s="8">
        <v>6858.8468920425757</v>
      </c>
      <c r="N2304" s="8">
        <v>1827.9656588465632</v>
      </c>
      <c r="O2304" s="8">
        <v>603.71322197795644</v>
      </c>
      <c r="P2304" s="8">
        <v>10.010997578335925</v>
      </c>
      <c r="Q2304" t="s">
        <v>26</v>
      </c>
    </row>
    <row r="2305" spans="1:17" x14ac:dyDescent="0.25">
      <c r="A2305" s="7" t="s">
        <v>162</v>
      </c>
      <c r="B2305" s="7" t="s">
        <v>18</v>
      </c>
      <c r="C2305" s="7" t="s">
        <v>19</v>
      </c>
      <c r="D2305" s="7" t="s">
        <v>20</v>
      </c>
      <c r="E2305" s="7" t="s">
        <v>21</v>
      </c>
      <c r="F2305" s="7" t="s">
        <v>61</v>
      </c>
      <c r="G2305" s="7" t="s">
        <v>62</v>
      </c>
      <c r="H2305" s="7" t="s">
        <v>172</v>
      </c>
      <c r="I2305" s="7" t="s">
        <v>175</v>
      </c>
      <c r="J2305" s="8">
        <v>2.086599145983453</v>
      </c>
      <c r="K2305" s="8">
        <v>1.845954096610622</v>
      </c>
      <c r="L2305" s="8">
        <v>0.36037550040032029</v>
      </c>
      <c r="M2305" s="8">
        <v>908.01896594549248</v>
      </c>
      <c r="N2305" s="8">
        <v>446.44242357110295</v>
      </c>
      <c r="O2305" s="8">
        <v>41.808250778400499</v>
      </c>
      <c r="P2305" s="8">
        <v>1.0102533262926805</v>
      </c>
      <c r="Q2305" t="s">
        <v>26</v>
      </c>
    </row>
    <row r="2306" spans="1:17" x14ac:dyDescent="0.25">
      <c r="A2306" s="7" t="s">
        <v>162</v>
      </c>
      <c r="B2306" s="7" t="s">
        <v>18</v>
      </c>
      <c r="C2306" s="7" t="s">
        <v>19</v>
      </c>
      <c r="D2306" s="7" t="s">
        <v>20</v>
      </c>
      <c r="E2306" s="7" t="s">
        <v>21</v>
      </c>
      <c r="F2306" s="7" t="s">
        <v>61</v>
      </c>
      <c r="G2306" s="7" t="s">
        <v>62</v>
      </c>
      <c r="H2306" s="7" t="s">
        <v>172</v>
      </c>
      <c r="I2306" s="7" t="s">
        <v>176</v>
      </c>
      <c r="J2306" s="8">
        <v>13.837696104377855</v>
      </c>
      <c r="K2306" s="8">
        <v>12.292829716385858</v>
      </c>
      <c r="L2306" s="8">
        <v>1.5198944841664808</v>
      </c>
      <c r="M2306" s="8">
        <v>2975.0724036216957</v>
      </c>
      <c r="N2306" s="8">
        <v>668.07703759752587</v>
      </c>
      <c r="O2306" s="8">
        <v>323.80794955860614</v>
      </c>
      <c r="P2306" s="8">
        <v>4.6537444672757795</v>
      </c>
      <c r="Q2306" t="s">
        <v>26</v>
      </c>
    </row>
    <row r="2307" spans="1:17" x14ac:dyDescent="0.25">
      <c r="A2307" s="7" t="s">
        <v>162</v>
      </c>
      <c r="B2307" s="7" t="s">
        <v>18</v>
      </c>
      <c r="C2307" s="7" t="s">
        <v>19</v>
      </c>
      <c r="D2307" s="7" t="s">
        <v>20</v>
      </c>
      <c r="E2307" s="7" t="s">
        <v>21</v>
      </c>
      <c r="F2307" s="7" t="s">
        <v>61</v>
      </c>
      <c r="G2307" s="7" t="s">
        <v>62</v>
      </c>
      <c r="H2307" s="7" t="s">
        <v>172</v>
      </c>
      <c r="I2307" s="7" t="s">
        <v>177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  <c r="Q2307" t="s">
        <v>26</v>
      </c>
    </row>
    <row r="2308" spans="1:17" x14ac:dyDescent="0.25">
      <c r="A2308" s="7" t="s">
        <v>162</v>
      </c>
      <c r="B2308" s="7" t="s">
        <v>18</v>
      </c>
      <c r="C2308" s="7" t="s">
        <v>19</v>
      </c>
      <c r="D2308" s="7" t="s">
        <v>20</v>
      </c>
      <c r="E2308" s="7" t="s">
        <v>21</v>
      </c>
      <c r="F2308" s="7" t="s">
        <v>61</v>
      </c>
      <c r="G2308" s="7" t="s">
        <v>62</v>
      </c>
      <c r="H2308" s="7" t="s">
        <v>172</v>
      </c>
      <c r="I2308" s="7" t="s">
        <v>178</v>
      </c>
      <c r="J2308" s="8">
        <v>9.8733877630553408</v>
      </c>
      <c r="K2308" s="8">
        <v>9.0833737334372575</v>
      </c>
      <c r="L2308" s="8">
        <v>0.15221745908028059</v>
      </c>
      <c r="M2308" s="8">
        <v>250.07549045206548</v>
      </c>
      <c r="N2308" s="8">
        <v>138.54142459080282</v>
      </c>
      <c r="O2308" s="8">
        <v>178.20937568199534</v>
      </c>
      <c r="P2308" s="8">
        <v>0.27182462977396721</v>
      </c>
      <c r="Q2308" t="s">
        <v>137</v>
      </c>
    </row>
    <row r="2309" spans="1:17" x14ac:dyDescent="0.25">
      <c r="A2309" s="7" t="s">
        <v>162</v>
      </c>
      <c r="B2309" s="7" t="s">
        <v>18</v>
      </c>
      <c r="C2309" s="7" t="s">
        <v>19</v>
      </c>
      <c r="D2309" s="7" t="s">
        <v>20</v>
      </c>
      <c r="E2309" s="7" t="s">
        <v>21</v>
      </c>
      <c r="F2309" s="7" t="s">
        <v>61</v>
      </c>
      <c r="G2309" s="7" t="s">
        <v>62</v>
      </c>
      <c r="H2309" s="7" t="s">
        <v>172</v>
      </c>
      <c r="I2309" s="7" t="s">
        <v>179</v>
      </c>
      <c r="J2309" s="8">
        <v>15.005413460300881</v>
      </c>
      <c r="K2309" s="8">
        <v>13.788017374145033</v>
      </c>
      <c r="L2309" s="8">
        <v>0.50340880928494192</v>
      </c>
      <c r="M2309" s="8">
        <v>1013.948734396528</v>
      </c>
      <c r="N2309" s="8">
        <v>283.72953914861114</v>
      </c>
      <c r="O2309" s="8">
        <v>548.24030289911479</v>
      </c>
      <c r="P2309" s="8">
        <v>1.1229180378263879</v>
      </c>
      <c r="Q2309" t="s">
        <v>137</v>
      </c>
    </row>
    <row r="2310" spans="1:17" x14ac:dyDescent="0.25">
      <c r="A2310" s="7" t="s">
        <v>162</v>
      </c>
      <c r="B2310" s="7" t="s">
        <v>18</v>
      </c>
      <c r="C2310" s="7" t="s">
        <v>19</v>
      </c>
      <c r="D2310" s="7" t="s">
        <v>20</v>
      </c>
      <c r="E2310" s="7" t="s">
        <v>21</v>
      </c>
      <c r="F2310" s="7" t="s">
        <v>61</v>
      </c>
      <c r="G2310" s="7" t="s">
        <v>62</v>
      </c>
      <c r="H2310" s="7" t="s">
        <v>172</v>
      </c>
      <c r="I2310" s="7" t="s">
        <v>180</v>
      </c>
      <c r="J2310" s="8">
        <v>32.701135824047782</v>
      </c>
      <c r="K2310" s="8">
        <v>30.083807151700533</v>
      </c>
      <c r="L2310" s="8">
        <v>0.68344199257155347</v>
      </c>
      <c r="M2310" s="8">
        <v>1311.3143756463478</v>
      </c>
      <c r="N2310" s="8">
        <v>576.26895812395276</v>
      </c>
      <c r="O2310" s="8">
        <v>1081.775626829801</v>
      </c>
      <c r="P2310" s="8">
        <v>1.6185805840798195</v>
      </c>
      <c r="Q2310" t="s">
        <v>137</v>
      </c>
    </row>
    <row r="2311" spans="1:17" x14ac:dyDescent="0.25">
      <c r="A2311" s="7" t="s">
        <v>162</v>
      </c>
      <c r="B2311" s="7" t="s">
        <v>18</v>
      </c>
      <c r="C2311" s="7" t="s">
        <v>19</v>
      </c>
      <c r="D2311" s="7" t="s">
        <v>20</v>
      </c>
      <c r="E2311" s="7" t="s">
        <v>21</v>
      </c>
      <c r="F2311" s="7" t="s">
        <v>61</v>
      </c>
      <c r="G2311" s="7" t="s">
        <v>62</v>
      </c>
      <c r="H2311" s="7" t="s">
        <v>172</v>
      </c>
      <c r="I2311" s="7" t="s">
        <v>181</v>
      </c>
      <c r="J2311" s="8">
        <v>23.957896178322656</v>
      </c>
      <c r="K2311" s="8">
        <v>21.295421552455124</v>
      </c>
      <c r="L2311" s="8">
        <v>1.4250361535452116</v>
      </c>
      <c r="M2311" s="8">
        <v>3623.4531605726365</v>
      </c>
      <c r="N2311" s="8">
        <v>770.14596856345975</v>
      </c>
      <c r="O2311" s="8">
        <v>407.3780001716674</v>
      </c>
      <c r="P2311" s="8">
        <v>4.974254146858831</v>
      </c>
      <c r="Q2311" t="s">
        <v>26</v>
      </c>
    </row>
    <row r="2312" spans="1:17" x14ac:dyDescent="0.25">
      <c r="A2312" s="7" t="s">
        <v>162</v>
      </c>
      <c r="B2312" s="7" t="s">
        <v>18</v>
      </c>
      <c r="C2312" s="7" t="s">
        <v>19</v>
      </c>
      <c r="D2312" s="7" t="s">
        <v>20</v>
      </c>
      <c r="E2312" s="7" t="s">
        <v>21</v>
      </c>
      <c r="F2312" s="7" t="s">
        <v>118</v>
      </c>
      <c r="G2312" s="7" t="s">
        <v>119</v>
      </c>
      <c r="H2312" s="7" t="s">
        <v>172</v>
      </c>
      <c r="I2312" s="7" t="s">
        <v>173</v>
      </c>
      <c r="J2312" s="8">
        <v>0.80371386255924171</v>
      </c>
      <c r="K2312" s="8">
        <v>0.71098235913638774</v>
      </c>
      <c r="L2312" s="8">
        <v>0.22601007109004742</v>
      </c>
      <c r="M2312" s="8">
        <v>823.95872998946811</v>
      </c>
      <c r="N2312" s="8">
        <v>34.820046625416893</v>
      </c>
      <c r="O2312" s="8">
        <v>62.849664560294862</v>
      </c>
      <c r="P2312" s="8">
        <v>0.81069628751974721</v>
      </c>
      <c r="Q2312" t="s">
        <v>26</v>
      </c>
    </row>
    <row r="2313" spans="1:17" x14ac:dyDescent="0.25">
      <c r="A2313" s="7" t="s">
        <v>162</v>
      </c>
      <c r="B2313" s="7" t="s">
        <v>18</v>
      </c>
      <c r="C2313" s="7" t="s">
        <v>19</v>
      </c>
      <c r="D2313" s="7" t="s">
        <v>20</v>
      </c>
      <c r="E2313" s="7" t="s">
        <v>21</v>
      </c>
      <c r="F2313" s="7" t="s">
        <v>118</v>
      </c>
      <c r="G2313" s="7" t="s">
        <v>119</v>
      </c>
      <c r="H2313" s="7" t="s">
        <v>172</v>
      </c>
      <c r="I2313" s="7" t="s">
        <v>174</v>
      </c>
      <c r="J2313" s="8">
        <v>42.873032889104103</v>
      </c>
      <c r="K2313" s="8">
        <v>37.927038224440182</v>
      </c>
      <c r="L2313" s="8">
        <v>2.2614854076224353</v>
      </c>
      <c r="M2313" s="8">
        <v>5897.1561920516115</v>
      </c>
      <c r="N2313" s="8">
        <v>1571.5842847978804</v>
      </c>
      <c r="O2313" s="8">
        <v>519.25205290704162</v>
      </c>
      <c r="P2313" s="8">
        <v>8.6093160501482693</v>
      </c>
      <c r="Q2313" t="s">
        <v>26</v>
      </c>
    </row>
    <row r="2314" spans="1:17" x14ac:dyDescent="0.25">
      <c r="A2314" s="7" t="s">
        <v>162</v>
      </c>
      <c r="B2314" s="7" t="s">
        <v>18</v>
      </c>
      <c r="C2314" s="7" t="s">
        <v>19</v>
      </c>
      <c r="D2314" s="7" t="s">
        <v>20</v>
      </c>
      <c r="E2314" s="7" t="s">
        <v>21</v>
      </c>
      <c r="F2314" s="7" t="s">
        <v>118</v>
      </c>
      <c r="G2314" s="7" t="s">
        <v>119</v>
      </c>
      <c r="H2314" s="7" t="s">
        <v>172</v>
      </c>
      <c r="I2314" s="7" t="s">
        <v>175</v>
      </c>
      <c r="J2314" s="8">
        <v>3.1715178364914149</v>
      </c>
      <c r="K2314" s="8">
        <v>2.8057503780802429</v>
      </c>
      <c r="L2314" s="8">
        <v>0.54775126768081128</v>
      </c>
      <c r="M2314" s="8">
        <v>1380.1397129448726</v>
      </c>
      <c r="N2314" s="8">
        <v>678.56833548873522</v>
      </c>
      <c r="O2314" s="8">
        <v>63.54627974972572</v>
      </c>
      <c r="P2314" s="8">
        <v>1.5355304107545273</v>
      </c>
      <c r="Q2314" t="s">
        <v>26</v>
      </c>
    </row>
    <row r="2315" spans="1:17" x14ac:dyDescent="0.25">
      <c r="A2315" s="7" t="s">
        <v>162</v>
      </c>
      <c r="B2315" s="7" t="s">
        <v>18</v>
      </c>
      <c r="C2315" s="7" t="s">
        <v>19</v>
      </c>
      <c r="D2315" s="7" t="s">
        <v>20</v>
      </c>
      <c r="E2315" s="7" t="s">
        <v>21</v>
      </c>
      <c r="F2315" s="7" t="s">
        <v>118</v>
      </c>
      <c r="G2315" s="7" t="s">
        <v>119</v>
      </c>
      <c r="H2315" s="7" t="s">
        <v>172</v>
      </c>
      <c r="I2315" s="7" t="s">
        <v>176</v>
      </c>
      <c r="J2315" s="8">
        <v>7.0699520380532057</v>
      </c>
      <c r="K2315" s="8">
        <v>6.2666274704948277</v>
      </c>
      <c r="L2315" s="8">
        <v>0.82129826489614011</v>
      </c>
      <c r="M2315" s="8">
        <v>1611.6403197075058</v>
      </c>
      <c r="N2315" s="8">
        <v>359.36574850895835</v>
      </c>
      <c r="O2315" s="8">
        <v>175.48114773982275</v>
      </c>
      <c r="P2315" s="8">
        <v>2.5067708930004819</v>
      </c>
      <c r="Q2315" t="s">
        <v>26</v>
      </c>
    </row>
    <row r="2316" spans="1:17" x14ac:dyDescent="0.25">
      <c r="A2316" s="7" t="s">
        <v>162</v>
      </c>
      <c r="B2316" s="7" t="s">
        <v>18</v>
      </c>
      <c r="C2316" s="7" t="s">
        <v>19</v>
      </c>
      <c r="D2316" s="7" t="s">
        <v>20</v>
      </c>
      <c r="E2316" s="7" t="s">
        <v>21</v>
      </c>
      <c r="F2316" s="7" t="s">
        <v>118</v>
      </c>
      <c r="G2316" s="7" t="s">
        <v>119</v>
      </c>
      <c r="H2316" s="7" t="s">
        <v>172</v>
      </c>
      <c r="I2316" s="7" t="s">
        <v>177</v>
      </c>
      <c r="J2316" s="8">
        <v>0.24082297848464579</v>
      </c>
      <c r="K2316" s="8">
        <v>0.21784973844603345</v>
      </c>
      <c r="L2316" s="8">
        <v>9.0672404009835457E-3</v>
      </c>
      <c r="M2316" s="8">
        <v>15.890558824890702</v>
      </c>
      <c r="N2316" s="8">
        <v>4.7362240553679111</v>
      </c>
      <c r="O2316" s="8">
        <v>1.3989937888003614</v>
      </c>
      <c r="P2316" s="8">
        <v>3.5482315112540193E-2</v>
      </c>
      <c r="Q2316" t="s">
        <v>26</v>
      </c>
    </row>
    <row r="2317" spans="1:17" x14ac:dyDescent="0.25">
      <c r="A2317" s="7" t="s">
        <v>162</v>
      </c>
      <c r="B2317" s="7" t="s">
        <v>18</v>
      </c>
      <c r="C2317" s="7" t="s">
        <v>19</v>
      </c>
      <c r="D2317" s="7" t="s">
        <v>20</v>
      </c>
      <c r="E2317" s="7" t="s">
        <v>21</v>
      </c>
      <c r="F2317" s="7" t="s">
        <v>118</v>
      </c>
      <c r="G2317" s="7" t="s">
        <v>119</v>
      </c>
      <c r="H2317" s="7" t="s">
        <v>172</v>
      </c>
      <c r="I2317" s="7" t="s">
        <v>178</v>
      </c>
      <c r="J2317" s="8">
        <v>12.856713561964147</v>
      </c>
      <c r="K2317" s="8">
        <v>11.827990257209668</v>
      </c>
      <c r="L2317" s="8">
        <v>0.19821122369446612</v>
      </c>
      <c r="M2317" s="8">
        <v>325.63786886204213</v>
      </c>
      <c r="N2317" s="8">
        <v>180.40286223694466</v>
      </c>
      <c r="O2317" s="8">
        <v>232.05681293842554</v>
      </c>
      <c r="P2317" s="8">
        <v>0.35395869056897888</v>
      </c>
      <c r="Q2317" t="s">
        <v>137</v>
      </c>
    </row>
    <row r="2318" spans="1:17" x14ac:dyDescent="0.25">
      <c r="A2318" s="7" t="s">
        <v>162</v>
      </c>
      <c r="B2318" s="7" t="s">
        <v>18</v>
      </c>
      <c r="C2318" s="7" t="s">
        <v>19</v>
      </c>
      <c r="D2318" s="7" t="s">
        <v>20</v>
      </c>
      <c r="E2318" s="7" t="s">
        <v>21</v>
      </c>
      <c r="F2318" s="7" t="s">
        <v>118</v>
      </c>
      <c r="G2318" s="7" t="s">
        <v>119</v>
      </c>
      <c r="H2318" s="7" t="s">
        <v>172</v>
      </c>
      <c r="I2318" s="7" t="s">
        <v>179</v>
      </c>
      <c r="J2318" s="8">
        <v>22.891480029849284</v>
      </c>
      <c r="K2318" s="8">
        <v>21.03489085140663</v>
      </c>
      <c r="L2318" s="8">
        <v>0.76386775762815207</v>
      </c>
      <c r="M2318" s="8">
        <v>1530.3607326023337</v>
      </c>
      <c r="N2318" s="8">
        <v>433.48498070597327</v>
      </c>
      <c r="O2318" s="8">
        <v>830.62582497573476</v>
      </c>
      <c r="P2318" s="8">
        <v>1.7300146862782866</v>
      </c>
      <c r="Q2318" t="s">
        <v>137</v>
      </c>
    </row>
    <row r="2319" spans="1:17" x14ac:dyDescent="0.25">
      <c r="A2319" s="7" t="s">
        <v>162</v>
      </c>
      <c r="B2319" s="7" t="s">
        <v>18</v>
      </c>
      <c r="C2319" s="7" t="s">
        <v>19</v>
      </c>
      <c r="D2319" s="7" t="s">
        <v>20</v>
      </c>
      <c r="E2319" s="7" t="s">
        <v>21</v>
      </c>
      <c r="F2319" s="7" t="s">
        <v>118</v>
      </c>
      <c r="G2319" s="7" t="s">
        <v>119</v>
      </c>
      <c r="H2319" s="7" t="s">
        <v>172</v>
      </c>
      <c r="I2319" s="7" t="s">
        <v>180</v>
      </c>
      <c r="J2319" s="8">
        <v>61.327443594785528</v>
      </c>
      <c r="K2319" s="8">
        <v>56.418926735124913</v>
      </c>
      <c r="L2319" s="8">
        <v>1.2817215424950841</v>
      </c>
      <c r="M2319" s="8">
        <v>2459.2282922583931</v>
      </c>
      <c r="N2319" s="8">
        <v>1080.7301072026798</v>
      </c>
      <c r="O2319" s="8">
        <v>2028.7531935765785</v>
      </c>
      <c r="P2319" s="8">
        <v>3.0354728351904452</v>
      </c>
      <c r="Q2319" t="s">
        <v>137</v>
      </c>
    </row>
    <row r="2320" spans="1:17" x14ac:dyDescent="0.25">
      <c r="A2320" s="7" t="s">
        <v>162</v>
      </c>
      <c r="B2320" s="7" t="s">
        <v>18</v>
      </c>
      <c r="C2320" s="7" t="s">
        <v>19</v>
      </c>
      <c r="D2320" s="7" t="s">
        <v>20</v>
      </c>
      <c r="E2320" s="7" t="s">
        <v>21</v>
      </c>
      <c r="F2320" s="7" t="s">
        <v>118</v>
      </c>
      <c r="G2320" s="7" t="s">
        <v>119</v>
      </c>
      <c r="H2320" s="7" t="s">
        <v>172</v>
      </c>
      <c r="I2320" s="7" t="s">
        <v>181</v>
      </c>
      <c r="J2320" s="8">
        <v>25.540898836705811</v>
      </c>
      <c r="K2320" s="8">
        <v>22.696006627049307</v>
      </c>
      <c r="L2320" s="8">
        <v>1.5388303917555981</v>
      </c>
      <c r="M2320" s="8">
        <v>3947.4999569706579</v>
      </c>
      <c r="N2320" s="8">
        <v>835.38560002345503</v>
      </c>
      <c r="O2320" s="8">
        <v>445.80963173668931</v>
      </c>
      <c r="P2320" s="8">
        <v>5.3977717604347628</v>
      </c>
      <c r="Q2320" t="s">
        <v>26</v>
      </c>
    </row>
    <row r="2321" spans="1:17" x14ac:dyDescent="0.25">
      <c r="A2321" s="7" t="s">
        <v>162</v>
      </c>
      <c r="B2321" s="7" t="s">
        <v>18</v>
      </c>
      <c r="C2321" s="7" t="s">
        <v>19</v>
      </c>
      <c r="D2321" s="7" t="s">
        <v>20</v>
      </c>
      <c r="E2321" s="7" t="s">
        <v>21</v>
      </c>
      <c r="F2321" s="7" t="s">
        <v>120</v>
      </c>
      <c r="G2321" s="7" t="s">
        <v>121</v>
      </c>
      <c r="H2321" s="7" t="s">
        <v>172</v>
      </c>
      <c r="I2321" s="7" t="s">
        <v>173</v>
      </c>
      <c r="J2321" s="8">
        <v>0.20211611374407581</v>
      </c>
      <c r="K2321" s="8">
        <v>0.17879620853080569</v>
      </c>
      <c r="L2321" s="8">
        <v>5.6836492890995273E-2</v>
      </c>
      <c r="M2321" s="8">
        <v>207.20724644549765</v>
      </c>
      <c r="N2321" s="8">
        <v>8.7564652448657192</v>
      </c>
      <c r="O2321" s="8">
        <v>15.80528909952606</v>
      </c>
      <c r="P2321" s="8">
        <v>0.20387203791469197</v>
      </c>
      <c r="Q2321" t="s">
        <v>26</v>
      </c>
    </row>
    <row r="2322" spans="1:17" x14ac:dyDescent="0.25">
      <c r="A2322" s="7" t="s">
        <v>162</v>
      </c>
      <c r="B2322" s="7" t="s">
        <v>18</v>
      </c>
      <c r="C2322" s="7" t="s">
        <v>19</v>
      </c>
      <c r="D2322" s="7" t="s">
        <v>20</v>
      </c>
      <c r="E2322" s="7" t="s">
        <v>21</v>
      </c>
      <c r="F2322" s="7" t="s">
        <v>120</v>
      </c>
      <c r="G2322" s="7" t="s">
        <v>121</v>
      </c>
      <c r="H2322" s="7" t="s">
        <v>172</v>
      </c>
      <c r="I2322" s="7" t="s">
        <v>174</v>
      </c>
      <c r="J2322" s="8">
        <v>10.443063212325072</v>
      </c>
      <c r="K2322" s="8">
        <v>9.2382995872752627</v>
      </c>
      <c r="L2322" s="8">
        <v>0.55083368383372577</v>
      </c>
      <c r="M2322" s="8">
        <v>1436.3128914278395</v>
      </c>
      <c r="N2322" s="8">
        <v>382.769593791658</v>
      </c>
      <c r="O2322" s="8">
        <v>126.48302106799169</v>
      </c>
      <c r="P2322" s="8">
        <v>2.0970341833446597</v>
      </c>
      <c r="Q2322" t="s">
        <v>26</v>
      </c>
    </row>
    <row r="2323" spans="1:17" x14ac:dyDescent="0.25">
      <c r="A2323" s="7" t="s">
        <v>162</v>
      </c>
      <c r="B2323" s="7" t="s">
        <v>18</v>
      </c>
      <c r="C2323" s="7" t="s">
        <v>19</v>
      </c>
      <c r="D2323" s="7" t="s">
        <v>20</v>
      </c>
      <c r="E2323" s="7" t="s">
        <v>21</v>
      </c>
      <c r="F2323" s="7" t="s">
        <v>120</v>
      </c>
      <c r="G2323" s="7" t="s">
        <v>121</v>
      </c>
      <c r="H2323" s="7" t="s">
        <v>172</v>
      </c>
      <c r="I2323" s="7" t="s">
        <v>175</v>
      </c>
      <c r="J2323" s="8">
        <v>0.19751445600925185</v>
      </c>
      <c r="K2323" s="8">
        <v>0.17473534383062003</v>
      </c>
      <c r="L2323" s="8">
        <v>3.4112623432078992E-2</v>
      </c>
      <c r="M2323" s="8">
        <v>85.951761482331932</v>
      </c>
      <c r="N2323" s="8">
        <v>42.259593847163224</v>
      </c>
      <c r="O2323" s="8">
        <v>3.9575085253387896</v>
      </c>
      <c r="P2323" s="8">
        <v>9.5629118107488351E-2</v>
      </c>
      <c r="Q2323" t="s">
        <v>26</v>
      </c>
    </row>
    <row r="2324" spans="1:17" x14ac:dyDescent="0.25">
      <c r="A2324" s="7" t="s">
        <v>162</v>
      </c>
      <c r="B2324" s="7" t="s">
        <v>18</v>
      </c>
      <c r="C2324" s="7" t="s">
        <v>19</v>
      </c>
      <c r="D2324" s="7" t="s">
        <v>20</v>
      </c>
      <c r="E2324" s="7" t="s">
        <v>21</v>
      </c>
      <c r="F2324" s="7" t="s">
        <v>120</v>
      </c>
      <c r="G2324" s="7" t="s">
        <v>121</v>
      </c>
      <c r="H2324" s="7" t="s">
        <v>172</v>
      </c>
      <c r="I2324" s="7" t="s">
        <v>176</v>
      </c>
      <c r="J2324" s="8">
        <v>1.8584322306057826</v>
      </c>
      <c r="K2324" s="8">
        <v>1.6478993987788189</v>
      </c>
      <c r="L2324" s="8">
        <v>0.21387257526364511</v>
      </c>
      <c r="M2324" s="8">
        <v>419.51286662087216</v>
      </c>
      <c r="N2324" s="8">
        <v>93.651560259906375</v>
      </c>
      <c r="O2324" s="8">
        <v>45.675097967886117</v>
      </c>
      <c r="P2324" s="8">
        <v>0.65312178071399885</v>
      </c>
      <c r="Q2324" t="s">
        <v>26</v>
      </c>
    </row>
    <row r="2325" spans="1:17" x14ac:dyDescent="0.25">
      <c r="A2325" s="7" t="s">
        <v>162</v>
      </c>
      <c r="B2325" s="7" t="s">
        <v>18</v>
      </c>
      <c r="C2325" s="7" t="s">
        <v>19</v>
      </c>
      <c r="D2325" s="7" t="s">
        <v>20</v>
      </c>
      <c r="E2325" s="7" t="s">
        <v>21</v>
      </c>
      <c r="F2325" s="7" t="s">
        <v>120</v>
      </c>
      <c r="G2325" s="7" t="s">
        <v>121</v>
      </c>
      <c r="H2325" s="7" t="s">
        <v>172</v>
      </c>
      <c r="I2325" s="7" t="s">
        <v>177</v>
      </c>
      <c r="J2325" s="8">
        <v>0</v>
      </c>
      <c r="K2325" s="8">
        <v>0</v>
      </c>
      <c r="L2325" s="8">
        <v>0</v>
      </c>
      <c r="M2325" s="8">
        <v>0</v>
      </c>
      <c r="N2325" s="8">
        <v>0</v>
      </c>
      <c r="O2325" s="8">
        <v>0</v>
      </c>
      <c r="P2325" s="8">
        <v>0</v>
      </c>
      <c r="Q2325" t="s">
        <v>26</v>
      </c>
    </row>
    <row r="2326" spans="1:17" x14ac:dyDescent="0.25">
      <c r="A2326" s="7" t="s">
        <v>162</v>
      </c>
      <c r="B2326" s="7" t="s">
        <v>18</v>
      </c>
      <c r="C2326" s="7" t="s">
        <v>19</v>
      </c>
      <c r="D2326" s="7" t="s">
        <v>20</v>
      </c>
      <c r="E2326" s="7" t="s">
        <v>21</v>
      </c>
      <c r="F2326" s="7" t="s">
        <v>120</v>
      </c>
      <c r="G2326" s="7" t="s">
        <v>121</v>
      </c>
      <c r="H2326" s="7" t="s">
        <v>172</v>
      </c>
      <c r="I2326" s="7" t="s">
        <v>178</v>
      </c>
      <c r="J2326" s="8">
        <v>3.1964204988308653</v>
      </c>
      <c r="K2326" s="8">
        <v>2.9406605611847243</v>
      </c>
      <c r="L2326" s="8">
        <v>4.9279033515198759E-2</v>
      </c>
      <c r="M2326" s="8">
        <v>80.959691153546387</v>
      </c>
      <c r="N2326" s="8">
        <v>44.851540335151988</v>
      </c>
      <c r="O2326" s="8">
        <v>57.693682774746698</v>
      </c>
      <c r="P2326" s="8">
        <v>8.8000779423226802E-2</v>
      </c>
      <c r="Q2326" t="s">
        <v>137</v>
      </c>
    </row>
    <row r="2327" spans="1:17" x14ac:dyDescent="0.25">
      <c r="A2327" s="7" t="s">
        <v>162</v>
      </c>
      <c r="B2327" s="7" t="s">
        <v>18</v>
      </c>
      <c r="C2327" s="7" t="s">
        <v>19</v>
      </c>
      <c r="D2327" s="7" t="s">
        <v>20</v>
      </c>
      <c r="E2327" s="7" t="s">
        <v>21</v>
      </c>
      <c r="F2327" s="7" t="s">
        <v>120</v>
      </c>
      <c r="G2327" s="7" t="s">
        <v>121</v>
      </c>
      <c r="H2327" s="7" t="s">
        <v>172</v>
      </c>
      <c r="I2327" s="7" t="s">
        <v>179</v>
      </c>
      <c r="J2327" s="8">
        <v>5.8713283099160556</v>
      </c>
      <c r="K2327" s="8">
        <v>5.3951022987205492</v>
      </c>
      <c r="L2327" s="8">
        <v>0.19617900219755277</v>
      </c>
      <c r="M2327" s="8">
        <v>393.09135622124046</v>
      </c>
      <c r="N2327" s="8">
        <v>111.08549806591337</v>
      </c>
      <c r="O2327" s="8">
        <v>213.40421412882012</v>
      </c>
      <c r="P2327" s="8">
        <v>0.44060353368520788</v>
      </c>
      <c r="Q2327" t="s">
        <v>137</v>
      </c>
    </row>
    <row r="2328" spans="1:17" x14ac:dyDescent="0.25">
      <c r="A2328" s="7" t="s">
        <v>162</v>
      </c>
      <c r="B2328" s="7" t="s">
        <v>18</v>
      </c>
      <c r="C2328" s="7" t="s">
        <v>19</v>
      </c>
      <c r="D2328" s="7" t="s">
        <v>20</v>
      </c>
      <c r="E2328" s="7" t="s">
        <v>21</v>
      </c>
      <c r="F2328" s="7" t="s">
        <v>120</v>
      </c>
      <c r="G2328" s="7" t="s">
        <v>121</v>
      </c>
      <c r="H2328" s="7" t="s">
        <v>172</v>
      </c>
      <c r="I2328" s="7" t="s">
        <v>180</v>
      </c>
      <c r="J2328" s="8">
        <v>26.217289927900374</v>
      </c>
      <c r="K2328" s="8">
        <v>24.1189143543806</v>
      </c>
      <c r="L2328" s="8">
        <v>0.54793194232029707</v>
      </c>
      <c r="M2328" s="8">
        <v>1051.3123873716409</v>
      </c>
      <c r="N2328" s="8">
        <v>462.00873366834156</v>
      </c>
      <c r="O2328" s="8">
        <v>867.28563185492692</v>
      </c>
      <c r="P2328" s="8">
        <v>1.2976551234433036</v>
      </c>
      <c r="Q2328" t="s">
        <v>137</v>
      </c>
    </row>
    <row r="2329" spans="1:17" x14ac:dyDescent="0.25">
      <c r="A2329" s="7" t="s">
        <v>162</v>
      </c>
      <c r="B2329" s="7" t="s">
        <v>18</v>
      </c>
      <c r="C2329" s="7" t="s">
        <v>19</v>
      </c>
      <c r="D2329" s="7" t="s">
        <v>20</v>
      </c>
      <c r="E2329" s="7" t="s">
        <v>21</v>
      </c>
      <c r="F2329" s="7" t="s">
        <v>120</v>
      </c>
      <c r="G2329" s="7" t="s">
        <v>121</v>
      </c>
      <c r="H2329" s="7" t="s">
        <v>172</v>
      </c>
      <c r="I2329" s="7" t="s">
        <v>181</v>
      </c>
      <c r="J2329" s="8">
        <v>6.7355948006515689</v>
      </c>
      <c r="K2329" s="8">
        <v>5.9814304941474719</v>
      </c>
      <c r="L2329" s="8">
        <v>0.4147663575187871</v>
      </c>
      <c r="M2329" s="8">
        <v>1088.9672963858432</v>
      </c>
      <c r="N2329" s="8">
        <v>228.19284707841405</v>
      </c>
      <c r="O2329" s="8">
        <v>124.9739997416943</v>
      </c>
      <c r="P2329" s="8">
        <v>1.4470586957048388</v>
      </c>
      <c r="Q2329" t="s">
        <v>26</v>
      </c>
    </row>
    <row r="2330" spans="1:17" x14ac:dyDescent="0.25">
      <c r="A2330" s="7" t="s">
        <v>162</v>
      </c>
      <c r="B2330" s="7" t="s">
        <v>18</v>
      </c>
      <c r="C2330" s="7" t="s">
        <v>19</v>
      </c>
      <c r="D2330" s="7"/>
      <c r="E2330" s="7"/>
      <c r="F2330" s="7" t="s">
        <v>122</v>
      </c>
      <c r="G2330" s="7" t="s">
        <v>123</v>
      </c>
      <c r="H2330" s="7" t="s">
        <v>172</v>
      </c>
      <c r="I2330" s="7" t="s">
        <v>173</v>
      </c>
      <c r="J2330" s="8">
        <v>1.2956161137440757E-3</v>
      </c>
      <c r="K2330" s="8">
        <v>1.1461295418641391E-3</v>
      </c>
      <c r="L2330" s="8">
        <v>3.6433649289099531E-4</v>
      </c>
      <c r="M2330" s="8">
        <v>1.328251579778831</v>
      </c>
      <c r="N2330" s="8">
        <v>5.6131187467087951E-2</v>
      </c>
      <c r="O2330" s="8">
        <v>0.10131595576619271</v>
      </c>
      <c r="P2330" s="8">
        <v>1.3068720379146922E-3</v>
      </c>
      <c r="Q2330" t="s">
        <v>26</v>
      </c>
    </row>
    <row r="2331" spans="1:17" x14ac:dyDescent="0.25">
      <c r="A2331" s="7" t="s">
        <v>162</v>
      </c>
      <c r="B2331" s="7" t="s">
        <v>18</v>
      </c>
      <c r="C2331" s="7" t="s">
        <v>19</v>
      </c>
      <c r="D2331" s="7"/>
      <c r="E2331" s="7"/>
      <c r="F2331" s="7" t="s">
        <v>122</v>
      </c>
      <c r="G2331" s="7" t="s">
        <v>123</v>
      </c>
      <c r="H2331" s="7" t="s">
        <v>172</v>
      </c>
      <c r="I2331" s="7" t="s">
        <v>174</v>
      </c>
      <c r="J2331" s="8">
        <v>0.16034237520452871</v>
      </c>
      <c r="K2331" s="8">
        <v>0.14184369966682453</v>
      </c>
      <c r="L2331" s="8">
        <v>8.4561269394121761E-3</v>
      </c>
      <c r="M2331" s="8">
        <v>22.045364425313835</v>
      </c>
      <c r="N2331" s="8">
        <v>5.8746013195714184</v>
      </c>
      <c r="O2331" s="8">
        <v>1.9422034146332521</v>
      </c>
      <c r="P2331" s="8">
        <v>3.2195708655511045E-2</v>
      </c>
      <c r="Q2331" t="s">
        <v>26</v>
      </c>
    </row>
    <row r="2332" spans="1:17" x14ac:dyDescent="0.25">
      <c r="A2332" s="7" t="s">
        <v>162</v>
      </c>
      <c r="B2332" s="7" t="s">
        <v>18</v>
      </c>
      <c r="C2332" s="7" t="s">
        <v>19</v>
      </c>
      <c r="D2332" s="7"/>
      <c r="E2332" s="7"/>
      <c r="F2332" s="7" t="s">
        <v>122</v>
      </c>
      <c r="G2332" s="7" t="s">
        <v>123</v>
      </c>
      <c r="H2332" s="7" t="s">
        <v>172</v>
      </c>
      <c r="I2332" s="7" t="s">
        <v>175</v>
      </c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t="s">
        <v>26</v>
      </c>
    </row>
    <row r="2333" spans="1:17" x14ac:dyDescent="0.25">
      <c r="A2333" s="7" t="s">
        <v>162</v>
      </c>
      <c r="B2333" s="7" t="s">
        <v>18</v>
      </c>
      <c r="C2333" s="7" t="s">
        <v>19</v>
      </c>
      <c r="D2333" s="7"/>
      <c r="E2333" s="7"/>
      <c r="F2333" s="7" t="s">
        <v>122</v>
      </c>
      <c r="G2333" s="7" t="s">
        <v>123</v>
      </c>
      <c r="H2333" s="7" t="s">
        <v>172</v>
      </c>
      <c r="I2333" s="7" t="s">
        <v>176</v>
      </c>
      <c r="J2333" s="8">
        <v>2.5367875966924604E-2</v>
      </c>
      <c r="K2333" s="8">
        <v>2.244628331919412E-2</v>
      </c>
      <c r="L2333" s="8">
        <v>3.0719203681426103E-3</v>
      </c>
      <c r="M2333" s="8">
        <v>6.0386557619548817</v>
      </c>
      <c r="N2333" s="8">
        <v>1.3398130832977786</v>
      </c>
      <c r="O2333" s="8">
        <v>0.65769382133834309</v>
      </c>
      <c r="P2333" s="8">
        <v>9.3551338448481687E-3</v>
      </c>
      <c r="Q2333" t="s">
        <v>26</v>
      </c>
    </row>
    <row r="2334" spans="1:17" x14ac:dyDescent="0.25">
      <c r="A2334" s="7" t="s">
        <v>162</v>
      </c>
      <c r="B2334" s="7" t="s">
        <v>18</v>
      </c>
      <c r="C2334" s="7" t="s">
        <v>19</v>
      </c>
      <c r="D2334" s="7"/>
      <c r="E2334" s="7"/>
      <c r="F2334" s="7" t="s">
        <v>122</v>
      </c>
      <c r="G2334" s="7" t="s">
        <v>123</v>
      </c>
      <c r="H2334" s="7" t="s">
        <v>172</v>
      </c>
      <c r="I2334" s="7" t="s">
        <v>177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t="s">
        <v>26</v>
      </c>
    </row>
    <row r="2335" spans="1:17" x14ac:dyDescent="0.25">
      <c r="A2335" s="7" t="s">
        <v>162</v>
      </c>
      <c r="B2335" s="7" t="s">
        <v>18</v>
      </c>
      <c r="C2335" s="7" t="s">
        <v>19</v>
      </c>
      <c r="D2335" s="7"/>
      <c r="E2335" s="7"/>
      <c r="F2335" s="7" t="s">
        <v>122</v>
      </c>
      <c r="G2335" s="7" t="s">
        <v>123</v>
      </c>
      <c r="H2335" s="7" t="s">
        <v>172</v>
      </c>
      <c r="I2335" s="7" t="s">
        <v>178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t="s">
        <v>137</v>
      </c>
    </row>
    <row r="2336" spans="1:17" x14ac:dyDescent="0.25">
      <c r="A2336" s="7" t="s">
        <v>162</v>
      </c>
      <c r="B2336" s="7" t="s">
        <v>18</v>
      </c>
      <c r="C2336" s="7" t="s">
        <v>19</v>
      </c>
      <c r="D2336" s="7"/>
      <c r="E2336" s="7"/>
      <c r="F2336" s="7" t="s">
        <v>122</v>
      </c>
      <c r="G2336" s="7" t="s">
        <v>123</v>
      </c>
      <c r="H2336" s="7" t="s">
        <v>172</v>
      </c>
      <c r="I2336" s="7" t="s">
        <v>179</v>
      </c>
      <c r="J2336" s="8">
        <v>2.9462166104020711E-3</v>
      </c>
      <c r="K2336" s="8">
        <v>2.6062944343372817E-3</v>
      </c>
      <c r="L2336" s="8">
        <v>7.8130649704047264E-4</v>
      </c>
      <c r="M2336" s="8">
        <v>3.7325991950317663</v>
      </c>
      <c r="N2336" s="8">
        <v>0.10098844433544597</v>
      </c>
      <c r="O2336" s="8">
        <v>1.0617479567476211</v>
      </c>
      <c r="P2336" s="8">
        <v>1.2437626276925889E-3</v>
      </c>
      <c r="Q2336" t="s">
        <v>137</v>
      </c>
    </row>
    <row r="2337" spans="1:17" x14ac:dyDescent="0.25">
      <c r="A2337" s="7" t="s">
        <v>162</v>
      </c>
      <c r="B2337" s="7" t="s">
        <v>18</v>
      </c>
      <c r="C2337" s="7" t="s">
        <v>19</v>
      </c>
      <c r="D2337" s="7"/>
      <c r="E2337" s="7"/>
      <c r="F2337" s="7" t="s">
        <v>122</v>
      </c>
      <c r="G2337" s="7" t="s">
        <v>123</v>
      </c>
      <c r="H2337" s="7" t="s">
        <v>172</v>
      </c>
      <c r="I2337" s="7" t="s">
        <v>180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t="s">
        <v>137</v>
      </c>
    </row>
    <row r="2338" spans="1:17" x14ac:dyDescent="0.25">
      <c r="A2338" s="7" t="s">
        <v>162</v>
      </c>
      <c r="B2338" s="7" t="s">
        <v>18</v>
      </c>
      <c r="C2338" s="7" t="s">
        <v>19</v>
      </c>
      <c r="D2338" s="7"/>
      <c r="E2338" s="7"/>
      <c r="F2338" s="7" t="s">
        <v>122</v>
      </c>
      <c r="G2338" s="7" t="s">
        <v>123</v>
      </c>
      <c r="H2338" s="7" t="s">
        <v>172</v>
      </c>
      <c r="I2338" s="7" t="s">
        <v>181</v>
      </c>
      <c r="J2338" s="8">
        <v>0.21150150132111684</v>
      </c>
      <c r="K2338" s="8">
        <v>0.18678632306358073</v>
      </c>
      <c r="L2338" s="8">
        <v>1.5047984635636051E-2</v>
      </c>
      <c r="M2338" s="8">
        <v>40.618271974227426</v>
      </c>
      <c r="N2338" s="8">
        <v>8.2897865368652575</v>
      </c>
      <c r="O2338" s="8">
        <v>4.7426357540572353</v>
      </c>
      <c r="P2338" s="8">
        <v>5.1790708575109951E-2</v>
      </c>
      <c r="Q2338" t="s">
        <v>26</v>
      </c>
    </row>
    <row r="2339" spans="1:17" x14ac:dyDescent="0.25">
      <c r="A2339" s="7" t="s">
        <v>162</v>
      </c>
      <c r="B2339" s="7" t="s">
        <v>18</v>
      </c>
      <c r="C2339" s="7" t="s">
        <v>19</v>
      </c>
      <c r="D2339" s="7"/>
      <c r="E2339" s="7"/>
      <c r="F2339" s="7" t="s">
        <v>124</v>
      </c>
      <c r="G2339" s="7" t="s">
        <v>125</v>
      </c>
      <c r="H2339" s="7" t="s">
        <v>172</v>
      </c>
      <c r="I2339" s="7" t="s">
        <v>173</v>
      </c>
      <c r="J2339" s="8">
        <v>4.3187203791469194E-3</v>
      </c>
      <c r="K2339" s="8">
        <v>3.8204318062137971E-3</v>
      </c>
      <c r="L2339" s="8">
        <v>1.2144549763033179E-3</v>
      </c>
      <c r="M2339" s="8">
        <v>4.4275052659294376</v>
      </c>
      <c r="N2339" s="8">
        <v>0.18710395822362649</v>
      </c>
      <c r="O2339" s="8">
        <v>0.33771985255397574</v>
      </c>
      <c r="P2339" s="8">
        <v>4.3562401263823065E-3</v>
      </c>
      <c r="Q2339" t="s">
        <v>26</v>
      </c>
    </row>
    <row r="2340" spans="1:17" x14ac:dyDescent="0.25">
      <c r="A2340" s="7" t="s">
        <v>162</v>
      </c>
      <c r="B2340" s="7" t="s">
        <v>18</v>
      </c>
      <c r="C2340" s="7" t="s">
        <v>19</v>
      </c>
      <c r="D2340" s="7"/>
      <c r="E2340" s="7"/>
      <c r="F2340" s="7" t="s">
        <v>124</v>
      </c>
      <c r="G2340" s="7" t="s">
        <v>125</v>
      </c>
      <c r="H2340" s="7" t="s">
        <v>172</v>
      </c>
      <c r="I2340" s="7" t="s">
        <v>174</v>
      </c>
      <c r="J2340" s="8">
        <v>0.57842027203411472</v>
      </c>
      <c r="K2340" s="8">
        <v>0.51168801287217425</v>
      </c>
      <c r="L2340" s="8">
        <v>3.0504694959212819E-2</v>
      </c>
      <c r="M2340" s="8">
        <v>79.526610926872877</v>
      </c>
      <c r="N2340" s="8">
        <v>21.192080315787265</v>
      </c>
      <c r="O2340" s="8">
        <v>7.0063189846399521</v>
      </c>
      <c r="P2340" s="8">
        <v>0.11614303789062133</v>
      </c>
      <c r="Q2340" t="s">
        <v>26</v>
      </c>
    </row>
    <row r="2341" spans="1:17" x14ac:dyDescent="0.25">
      <c r="A2341" s="7" t="s">
        <v>162</v>
      </c>
      <c r="B2341" s="7" t="s">
        <v>18</v>
      </c>
      <c r="C2341" s="7" t="s">
        <v>19</v>
      </c>
      <c r="D2341" s="7"/>
      <c r="E2341" s="7"/>
      <c r="F2341" s="7" t="s">
        <v>124</v>
      </c>
      <c r="G2341" s="7" t="s">
        <v>125</v>
      </c>
      <c r="H2341" s="7" t="s">
        <v>172</v>
      </c>
      <c r="I2341" s="7" t="s">
        <v>175</v>
      </c>
      <c r="J2341" s="8">
        <v>4.2324526287696815E-3</v>
      </c>
      <c r="K2341" s="8">
        <v>3.74432879637043E-3</v>
      </c>
      <c r="L2341" s="8">
        <v>7.3098478783026419E-4</v>
      </c>
      <c r="M2341" s="8">
        <v>1.841823460335684</v>
      </c>
      <c r="N2341" s="8">
        <v>0.90556272529635506</v>
      </c>
      <c r="O2341" s="8">
        <v>8.4803754114402635E-2</v>
      </c>
      <c r="P2341" s="8">
        <v>2.0491953880176074E-3</v>
      </c>
      <c r="Q2341" t="s">
        <v>26</v>
      </c>
    </row>
    <row r="2342" spans="1:17" x14ac:dyDescent="0.25">
      <c r="A2342" s="7" t="s">
        <v>162</v>
      </c>
      <c r="B2342" s="7" t="s">
        <v>18</v>
      </c>
      <c r="C2342" s="7" t="s">
        <v>19</v>
      </c>
      <c r="D2342" s="7"/>
      <c r="E2342" s="7"/>
      <c r="F2342" s="7" t="s">
        <v>124</v>
      </c>
      <c r="G2342" s="7" t="s">
        <v>125</v>
      </c>
      <c r="H2342" s="7" t="s">
        <v>172</v>
      </c>
      <c r="I2342" s="7" t="s">
        <v>176</v>
      </c>
      <c r="J2342" s="8">
        <v>7.8160482708902856E-2</v>
      </c>
      <c r="K2342" s="8">
        <v>6.9158818875354855E-2</v>
      </c>
      <c r="L2342" s="8">
        <v>9.4648357288718253E-3</v>
      </c>
      <c r="M2342" s="8">
        <v>18.605588023320443</v>
      </c>
      <c r="N2342" s="8">
        <v>4.1280727431336963</v>
      </c>
      <c r="O2342" s="8">
        <v>2.0264079900694894</v>
      </c>
      <c r="P2342" s="8">
        <v>2.8823925900343009E-2</v>
      </c>
      <c r="Q2342" t="s">
        <v>26</v>
      </c>
    </row>
    <row r="2343" spans="1:17" x14ac:dyDescent="0.25">
      <c r="A2343" s="7" t="s">
        <v>162</v>
      </c>
      <c r="B2343" s="7" t="s">
        <v>18</v>
      </c>
      <c r="C2343" s="7" t="s">
        <v>19</v>
      </c>
      <c r="D2343" s="7"/>
      <c r="E2343" s="7"/>
      <c r="F2343" s="7" t="s">
        <v>124</v>
      </c>
      <c r="G2343" s="7" t="s">
        <v>125</v>
      </c>
      <c r="H2343" s="7" t="s">
        <v>172</v>
      </c>
      <c r="I2343" s="7" t="s">
        <v>177</v>
      </c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t="s">
        <v>26</v>
      </c>
    </row>
    <row r="2344" spans="1:17" x14ac:dyDescent="0.25">
      <c r="A2344" s="7" t="s">
        <v>162</v>
      </c>
      <c r="B2344" s="7" t="s">
        <v>18</v>
      </c>
      <c r="C2344" s="7" t="s">
        <v>19</v>
      </c>
      <c r="D2344" s="7"/>
      <c r="E2344" s="7"/>
      <c r="F2344" s="7" t="s">
        <v>124</v>
      </c>
      <c r="G2344" s="7" t="s">
        <v>125</v>
      </c>
      <c r="H2344" s="7" t="s">
        <v>172</v>
      </c>
      <c r="I2344" s="7" t="s">
        <v>178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t="s">
        <v>137</v>
      </c>
    </row>
    <row r="2345" spans="1:17" x14ac:dyDescent="0.25">
      <c r="A2345" s="7" t="s">
        <v>162</v>
      </c>
      <c r="B2345" s="7" t="s">
        <v>18</v>
      </c>
      <c r="C2345" s="7" t="s">
        <v>19</v>
      </c>
      <c r="D2345" s="7"/>
      <c r="E2345" s="7"/>
      <c r="F2345" s="7" t="s">
        <v>124</v>
      </c>
      <c r="G2345" s="7" t="s">
        <v>125</v>
      </c>
      <c r="H2345" s="7" t="s">
        <v>172</v>
      </c>
      <c r="I2345" s="7" t="s">
        <v>179</v>
      </c>
      <c r="J2345" s="8">
        <v>0.11699891199674588</v>
      </c>
      <c r="K2345" s="8">
        <v>0.10753989203451049</v>
      </c>
      <c r="L2345" s="8">
        <v>3.7008663341875007E-3</v>
      </c>
      <c r="M2345" s="8">
        <v>6.7106663453146815</v>
      </c>
      <c r="N2345" s="8">
        <v>2.1886693750492872</v>
      </c>
      <c r="O2345" s="8">
        <v>3.9611575338605673</v>
      </c>
      <c r="P2345" s="8">
        <v>8.2439158152274195E-3</v>
      </c>
      <c r="Q2345" t="s">
        <v>137</v>
      </c>
    </row>
    <row r="2346" spans="1:17" x14ac:dyDescent="0.25">
      <c r="A2346" s="7" t="s">
        <v>162</v>
      </c>
      <c r="B2346" s="7" t="s">
        <v>18</v>
      </c>
      <c r="C2346" s="7" t="s">
        <v>19</v>
      </c>
      <c r="D2346" s="7"/>
      <c r="E2346" s="7"/>
      <c r="F2346" s="7" t="s">
        <v>124</v>
      </c>
      <c r="G2346" s="7" t="s">
        <v>125</v>
      </c>
      <c r="H2346" s="7" t="s">
        <v>172</v>
      </c>
      <c r="I2346" s="7" t="s">
        <v>180</v>
      </c>
      <c r="J2346" s="8">
        <v>0.10251139756754792</v>
      </c>
      <c r="K2346" s="8">
        <v>9.430660549122423E-2</v>
      </c>
      <c r="L2346" s="8">
        <v>2.1424513873716405E-3</v>
      </c>
      <c r="M2346" s="8">
        <v>4.1107033719321251</v>
      </c>
      <c r="N2346" s="8">
        <v>1.8064857621440531</v>
      </c>
      <c r="O2346" s="8">
        <v>3.3911461656106616</v>
      </c>
      <c r="P2346" s="8">
        <v>5.0739203262690265E-3</v>
      </c>
      <c r="Q2346" t="s">
        <v>137</v>
      </c>
    </row>
    <row r="2347" spans="1:17" x14ac:dyDescent="0.25">
      <c r="A2347" s="9" t="s">
        <v>162</v>
      </c>
      <c r="B2347" s="9" t="s">
        <v>18</v>
      </c>
      <c r="C2347" s="9" t="s">
        <v>19</v>
      </c>
      <c r="D2347" s="9"/>
      <c r="E2347" s="9"/>
      <c r="F2347" s="9" t="s">
        <v>124</v>
      </c>
      <c r="G2347" s="9" t="s">
        <v>125</v>
      </c>
      <c r="H2347" s="9" t="s">
        <v>172</v>
      </c>
      <c r="I2347" s="9" t="s">
        <v>181</v>
      </c>
      <c r="J2347" s="10">
        <v>0.50705366321831358</v>
      </c>
      <c r="K2347" s="10">
        <v>0.44819328833712291</v>
      </c>
      <c r="L2347" s="10">
        <v>3.5495698972340527E-2</v>
      </c>
      <c r="M2347" s="10">
        <v>95.048744422285054</v>
      </c>
      <c r="N2347" s="10">
        <v>19.447020150629768</v>
      </c>
      <c r="O2347" s="10">
        <v>11.044896711059689</v>
      </c>
      <c r="P2347" s="10">
        <v>0.12224704662716522</v>
      </c>
      <c r="Q2347" s="11" t="s">
        <v>26</v>
      </c>
    </row>
    <row r="2348" spans="1:17" hidden="1" x14ac:dyDescent="0.25">
      <c r="A2348" s="7" t="s">
        <v>182</v>
      </c>
      <c r="B2348" s="7" t="s">
        <v>18</v>
      </c>
      <c r="C2348" s="7" t="s">
        <v>19</v>
      </c>
      <c r="D2348" s="7" t="s">
        <v>20</v>
      </c>
      <c r="E2348" s="7" t="s">
        <v>21</v>
      </c>
      <c r="F2348" s="7" t="s">
        <v>183</v>
      </c>
      <c r="G2348" s="7" t="s">
        <v>23</v>
      </c>
      <c r="H2348" s="7" t="s">
        <v>26</v>
      </c>
      <c r="I2348" s="7" t="s">
        <v>184</v>
      </c>
      <c r="J2348" s="12">
        <v>3.9502080000000009E-2</v>
      </c>
      <c r="K2348" s="12">
        <v>9.8949983431952677E-3</v>
      </c>
      <c r="L2348" s="12">
        <v>0.22439051360946749</v>
      </c>
      <c r="M2348" s="12">
        <v>0.19751040000000003</v>
      </c>
      <c r="N2348" s="12">
        <v>0.79004160000000012</v>
      </c>
      <c r="O2348" s="12">
        <v>7.9082073372781069E-3</v>
      </c>
      <c r="P2348" s="12">
        <v>3.15938726627219E-2</v>
      </c>
      <c r="Q2348" t="s">
        <v>26</v>
      </c>
    </row>
    <row r="2349" spans="1:17" hidden="1" x14ac:dyDescent="0.25">
      <c r="A2349" s="7" t="s">
        <v>182</v>
      </c>
      <c r="B2349" s="7" t="s">
        <v>18</v>
      </c>
      <c r="C2349" s="7" t="s">
        <v>19</v>
      </c>
      <c r="D2349" s="7" t="s">
        <v>20</v>
      </c>
      <c r="E2349" s="7" t="s">
        <v>21</v>
      </c>
      <c r="F2349" s="7" t="s">
        <v>183</v>
      </c>
      <c r="G2349" s="7" t="s">
        <v>23</v>
      </c>
      <c r="H2349" s="7" t="s">
        <v>26</v>
      </c>
      <c r="I2349" s="7" t="s">
        <v>185</v>
      </c>
      <c r="J2349" s="12">
        <v>0.33290259999999999</v>
      </c>
      <c r="K2349" s="12">
        <v>0.25108930000000002</v>
      </c>
      <c r="L2349" s="12">
        <v>0</v>
      </c>
      <c r="M2349" s="12">
        <v>0.5494</v>
      </c>
      <c r="N2349" s="12">
        <v>0.96450000000000002</v>
      </c>
      <c r="O2349" s="12">
        <v>2.3800000000000002E-2</v>
      </c>
      <c r="P2349" s="12">
        <v>0</v>
      </c>
      <c r="Q2349" t="s">
        <v>26</v>
      </c>
    </row>
    <row r="2350" spans="1:17" hidden="1" x14ac:dyDescent="0.25">
      <c r="A2350" s="7" t="s">
        <v>182</v>
      </c>
      <c r="B2350" s="7" t="s">
        <v>18</v>
      </c>
      <c r="C2350" s="7" t="s">
        <v>19</v>
      </c>
      <c r="D2350" s="7"/>
      <c r="E2350" s="7"/>
      <c r="F2350" s="7" t="s">
        <v>186</v>
      </c>
      <c r="G2350" s="7" t="s">
        <v>28</v>
      </c>
      <c r="H2350" s="7" t="s">
        <v>26</v>
      </c>
      <c r="I2350" s="7" t="s">
        <v>187</v>
      </c>
      <c r="J2350" s="12">
        <v>6.2497439999999998E-3</v>
      </c>
      <c r="K2350" s="12">
        <v>6.2497439999999998E-3</v>
      </c>
      <c r="L2350" s="12">
        <v>3.2431103999999995E-6</v>
      </c>
      <c r="M2350" s="12">
        <v>6.6382416E-2</v>
      </c>
      <c r="N2350" s="12">
        <v>0.11654927999999999</v>
      </c>
      <c r="O2350" s="12">
        <v>1.2909217803152102</v>
      </c>
      <c r="P2350" s="12">
        <v>0</v>
      </c>
      <c r="Q2350" t="s">
        <v>26</v>
      </c>
    </row>
    <row r="2351" spans="1:17" hidden="1" x14ac:dyDescent="0.25">
      <c r="A2351" s="7" t="s">
        <v>182</v>
      </c>
      <c r="B2351" s="7" t="s">
        <v>18</v>
      </c>
      <c r="C2351" s="7" t="s">
        <v>19</v>
      </c>
      <c r="D2351" s="7"/>
      <c r="E2351" s="7"/>
      <c r="F2351" s="7" t="s">
        <v>188</v>
      </c>
      <c r="G2351" s="7" t="s">
        <v>34</v>
      </c>
      <c r="H2351" s="7" t="s">
        <v>26</v>
      </c>
      <c r="I2351" s="7" t="s">
        <v>185</v>
      </c>
      <c r="J2351" s="12">
        <v>7.2757747200000004E-4</v>
      </c>
      <c r="K2351" s="12">
        <v>7.2757747200000004E-4</v>
      </c>
      <c r="L2351" s="12">
        <v>3.7755371520000006E-7</v>
      </c>
      <c r="M2351" s="12">
        <v>7.7280526080000019E-3</v>
      </c>
      <c r="N2351" s="12">
        <v>1.3568336640000003E-2</v>
      </c>
      <c r="O2351" s="12">
        <v>3.3432451983314744E-4</v>
      </c>
      <c r="P2351" s="12">
        <v>0</v>
      </c>
      <c r="Q2351" t="s">
        <v>26</v>
      </c>
    </row>
    <row r="2352" spans="1:17" hidden="1" x14ac:dyDescent="0.25">
      <c r="A2352" s="7" t="s">
        <v>182</v>
      </c>
      <c r="B2352" s="7" t="s">
        <v>18</v>
      </c>
      <c r="C2352" s="7" t="s">
        <v>19</v>
      </c>
      <c r="D2352" s="7" t="s">
        <v>20</v>
      </c>
      <c r="E2352" s="7" t="s">
        <v>21</v>
      </c>
      <c r="F2352" s="7" t="s">
        <v>189</v>
      </c>
      <c r="G2352" s="7" t="s">
        <v>36</v>
      </c>
      <c r="H2352" s="7" t="s">
        <v>26</v>
      </c>
      <c r="I2352" s="7" t="s">
        <v>187</v>
      </c>
      <c r="J2352" s="12">
        <v>49.924619325619361</v>
      </c>
      <c r="K2352" s="12">
        <v>38.324904931539933</v>
      </c>
      <c r="L2352" s="12">
        <v>0.2707660950098853</v>
      </c>
      <c r="M2352" s="12">
        <v>25.457045602712785</v>
      </c>
      <c r="N2352" s="12">
        <v>31.603009471814918</v>
      </c>
      <c r="O2352" s="12">
        <v>549.65037225212063</v>
      </c>
      <c r="P2352" s="12">
        <v>0.84206685165358719</v>
      </c>
      <c r="Q2352" t="s">
        <v>26</v>
      </c>
    </row>
    <row r="2353" spans="1:17" hidden="1" x14ac:dyDescent="0.25">
      <c r="A2353" s="7" t="s">
        <v>182</v>
      </c>
      <c r="B2353" s="7" t="s">
        <v>18</v>
      </c>
      <c r="C2353" s="7" t="s">
        <v>19</v>
      </c>
      <c r="D2353" s="7" t="s">
        <v>20</v>
      </c>
      <c r="E2353" s="7" t="s">
        <v>21</v>
      </c>
      <c r="F2353" s="7" t="s">
        <v>189</v>
      </c>
      <c r="G2353" s="7" t="s">
        <v>36</v>
      </c>
      <c r="H2353" s="7" t="s">
        <v>26</v>
      </c>
      <c r="I2353" s="7" t="s">
        <v>190</v>
      </c>
      <c r="J2353" s="12">
        <v>5.5713913801732255</v>
      </c>
      <c r="K2353" s="12">
        <v>2.6597993374083817</v>
      </c>
      <c r="L2353" s="12">
        <v>0.23608507926445016</v>
      </c>
      <c r="M2353" s="12">
        <v>14.675735976187671</v>
      </c>
      <c r="N2353" s="12">
        <v>23.336242154033318</v>
      </c>
      <c r="O2353" s="12">
        <v>0.91084196156546204</v>
      </c>
      <c r="P2353" s="12">
        <v>0.3336572293660246</v>
      </c>
      <c r="Q2353" t="s">
        <v>26</v>
      </c>
    </row>
    <row r="2354" spans="1:17" hidden="1" x14ac:dyDescent="0.25">
      <c r="A2354" s="7" t="s">
        <v>182</v>
      </c>
      <c r="B2354" s="7" t="s">
        <v>18</v>
      </c>
      <c r="C2354" s="7" t="s">
        <v>19</v>
      </c>
      <c r="D2354" s="7" t="s">
        <v>20</v>
      </c>
      <c r="E2354" s="7" t="s">
        <v>21</v>
      </c>
      <c r="F2354" s="7" t="s">
        <v>189</v>
      </c>
      <c r="G2354" s="7" t="s">
        <v>36</v>
      </c>
      <c r="H2354" s="7" t="s">
        <v>26</v>
      </c>
      <c r="I2354" s="7" t="s">
        <v>191</v>
      </c>
      <c r="J2354" s="12">
        <v>8.8581121721869208E-5</v>
      </c>
      <c r="K2354" s="12">
        <v>8.2285263733703525E-5</v>
      </c>
      <c r="L2354" s="12">
        <v>5.4072476940744182E-5</v>
      </c>
      <c r="M2354" s="12">
        <v>9.2806272968165755E-4</v>
      </c>
      <c r="N2354" s="12">
        <v>1.2227887897166894E-3</v>
      </c>
      <c r="O2354" s="12">
        <v>5.9670785171036901E-5</v>
      </c>
      <c r="P2354" s="12">
        <v>4.0563921001368226E-5</v>
      </c>
      <c r="Q2354" t="s">
        <v>137</v>
      </c>
    </row>
    <row r="2355" spans="1:17" hidden="1" x14ac:dyDescent="0.25">
      <c r="A2355" s="7" t="s">
        <v>182</v>
      </c>
      <c r="B2355" s="7" t="s">
        <v>18</v>
      </c>
      <c r="C2355" s="7" t="s">
        <v>19</v>
      </c>
      <c r="D2355" s="7" t="s">
        <v>20</v>
      </c>
      <c r="E2355" s="7" t="s">
        <v>21</v>
      </c>
      <c r="F2355" s="7" t="s">
        <v>189</v>
      </c>
      <c r="G2355" s="7" t="s">
        <v>36</v>
      </c>
      <c r="H2355" s="7" t="s">
        <v>26</v>
      </c>
      <c r="I2355" s="7" t="s">
        <v>184</v>
      </c>
      <c r="J2355" s="12">
        <v>1.9711029950000005</v>
      </c>
      <c r="K2355" s="12">
        <v>1.1949884700000002</v>
      </c>
      <c r="L2355" s="12">
        <v>1.9422720000000001E-6</v>
      </c>
      <c r="M2355" s="12">
        <v>3.9755880000000007E-2</v>
      </c>
      <c r="N2355" s="12">
        <v>6.9800399999999999E-2</v>
      </c>
      <c r="O2355" s="12">
        <v>1.7198854828945063E-3</v>
      </c>
      <c r="P2355" s="12">
        <v>0</v>
      </c>
      <c r="Q2355" t="s">
        <v>26</v>
      </c>
    </row>
    <row r="2356" spans="1:17" hidden="1" x14ac:dyDescent="0.25">
      <c r="A2356" s="7" t="s">
        <v>182</v>
      </c>
      <c r="B2356" s="7" t="s">
        <v>18</v>
      </c>
      <c r="C2356" s="7" t="s">
        <v>19</v>
      </c>
      <c r="D2356" s="7" t="s">
        <v>20</v>
      </c>
      <c r="E2356" s="7" t="s">
        <v>21</v>
      </c>
      <c r="F2356" s="7" t="s">
        <v>189</v>
      </c>
      <c r="G2356" s="7" t="s">
        <v>36</v>
      </c>
      <c r="H2356" s="7" t="s">
        <v>26</v>
      </c>
      <c r="I2356" s="7" t="s">
        <v>192</v>
      </c>
      <c r="J2356" s="12">
        <v>8.7226267382129741E-2</v>
      </c>
      <c r="K2356" s="12">
        <v>7.3599067382129735E-2</v>
      </c>
      <c r="L2356" s="12">
        <v>1.0930176000000001E-7</v>
      </c>
      <c r="M2356" s="12">
        <v>3.0372704E-3</v>
      </c>
      <c r="N2356" s="12">
        <v>4.7280320000000001E-3</v>
      </c>
      <c r="O2356" s="12">
        <v>1.1336035786395842</v>
      </c>
      <c r="P2356" s="12">
        <v>0</v>
      </c>
      <c r="Q2356" t="s">
        <v>26</v>
      </c>
    </row>
    <row r="2357" spans="1:17" hidden="1" x14ac:dyDescent="0.25">
      <c r="A2357" s="7" t="s">
        <v>182</v>
      </c>
      <c r="B2357" s="7" t="s">
        <v>18</v>
      </c>
      <c r="C2357" s="7" t="s">
        <v>19</v>
      </c>
      <c r="D2357" s="7" t="s">
        <v>20</v>
      </c>
      <c r="E2357" s="7" t="s">
        <v>21</v>
      </c>
      <c r="F2357" s="7" t="s">
        <v>189</v>
      </c>
      <c r="G2357" s="7" t="s">
        <v>36</v>
      </c>
      <c r="H2357" s="7" t="s">
        <v>26</v>
      </c>
      <c r="I2357" s="7" t="s">
        <v>193</v>
      </c>
      <c r="J2357" s="12">
        <v>2.8822358153747264E-3</v>
      </c>
      <c r="K2357" s="12">
        <v>2.8822358153747264E-3</v>
      </c>
      <c r="L2357" s="12">
        <v>1.7886149749150764E-5</v>
      </c>
      <c r="M2357" s="12">
        <v>3.0703328395910834E-2</v>
      </c>
      <c r="N2357" s="12">
        <v>5.2606521374856531E-2</v>
      </c>
      <c r="O2357" s="12">
        <v>1.3792820298163123E-3</v>
      </c>
      <c r="P2357" s="12">
        <v>8.7847258367495734E-5</v>
      </c>
      <c r="Q2357" t="s">
        <v>26</v>
      </c>
    </row>
    <row r="2358" spans="1:17" hidden="1" x14ac:dyDescent="0.25">
      <c r="A2358" s="7" t="s">
        <v>182</v>
      </c>
      <c r="B2358" s="7" t="s">
        <v>18</v>
      </c>
      <c r="C2358" s="7" t="s">
        <v>19</v>
      </c>
      <c r="D2358" s="7" t="s">
        <v>20</v>
      </c>
      <c r="E2358" s="7" t="s">
        <v>21</v>
      </c>
      <c r="F2358" s="7" t="s">
        <v>189</v>
      </c>
      <c r="G2358" s="7" t="s">
        <v>36</v>
      </c>
      <c r="H2358" s="7" t="s">
        <v>26</v>
      </c>
      <c r="I2358" s="7" t="s">
        <v>194</v>
      </c>
      <c r="J2358" s="12">
        <v>6.8700000000000011E-2</v>
      </c>
      <c r="K2358" s="12">
        <v>6.8700000000000011E-2</v>
      </c>
      <c r="L2358" s="12">
        <v>5.4000000000000003E-3</v>
      </c>
      <c r="M2358" s="12">
        <v>0.75880000000000003</v>
      </c>
      <c r="N2358" s="12">
        <v>1.0977999999999999</v>
      </c>
      <c r="O2358" s="12">
        <v>4.9600000000000005E-2</v>
      </c>
      <c r="P2358" s="12">
        <v>2.8899999999999995E-2</v>
      </c>
      <c r="Q2358" t="s">
        <v>26</v>
      </c>
    </row>
    <row r="2359" spans="1:17" hidden="1" x14ac:dyDescent="0.25">
      <c r="A2359" s="7" t="s">
        <v>182</v>
      </c>
      <c r="B2359" s="7" t="s">
        <v>18</v>
      </c>
      <c r="C2359" s="7" t="s">
        <v>19</v>
      </c>
      <c r="D2359" s="7" t="s">
        <v>20</v>
      </c>
      <c r="E2359" s="7" t="s">
        <v>21</v>
      </c>
      <c r="F2359" s="7" t="s">
        <v>189</v>
      </c>
      <c r="G2359" s="7" t="s">
        <v>36</v>
      </c>
      <c r="H2359" s="7" t="s">
        <v>26</v>
      </c>
      <c r="I2359" s="7" t="s">
        <v>195</v>
      </c>
      <c r="J2359" s="12">
        <v>6.8879999999999994E-4</v>
      </c>
      <c r="K2359" s="12">
        <v>4.8839999999999995E-4</v>
      </c>
      <c r="L2359" s="12">
        <v>0</v>
      </c>
      <c r="M2359" s="12">
        <v>0</v>
      </c>
      <c r="N2359" s="12">
        <v>0</v>
      </c>
      <c r="O2359" s="12">
        <v>4.002E-2</v>
      </c>
      <c r="P2359" s="12">
        <v>0</v>
      </c>
      <c r="Q2359" t="s">
        <v>26</v>
      </c>
    </row>
    <row r="2360" spans="1:17" hidden="1" x14ac:dyDescent="0.25">
      <c r="A2360" s="7" t="s">
        <v>182</v>
      </c>
      <c r="B2360" s="7" t="s">
        <v>18</v>
      </c>
      <c r="C2360" s="7" t="s">
        <v>19</v>
      </c>
      <c r="D2360" s="7" t="s">
        <v>20</v>
      </c>
      <c r="E2360" s="7" t="s">
        <v>21</v>
      </c>
      <c r="F2360" s="7" t="s">
        <v>189</v>
      </c>
      <c r="G2360" s="7" t="s">
        <v>36</v>
      </c>
      <c r="H2360" s="7" t="s">
        <v>26</v>
      </c>
      <c r="I2360" s="7" t="s">
        <v>196</v>
      </c>
      <c r="J2360" s="12">
        <v>44.242797301754763</v>
      </c>
      <c r="K2360" s="12">
        <v>35.34061105535897</v>
      </c>
      <c r="L2360" s="12">
        <v>0.38113992333873115</v>
      </c>
      <c r="M2360" s="12">
        <v>23.238371457744709</v>
      </c>
      <c r="N2360" s="12">
        <v>29.072508040807573</v>
      </c>
      <c r="O2360" s="12">
        <v>201.69346599088092</v>
      </c>
      <c r="P2360" s="12">
        <v>0.81873342734298793</v>
      </c>
      <c r="Q2360" t="s">
        <v>26</v>
      </c>
    </row>
    <row r="2361" spans="1:17" hidden="1" x14ac:dyDescent="0.25">
      <c r="A2361" s="7" t="s">
        <v>182</v>
      </c>
      <c r="B2361" s="7" t="s">
        <v>18</v>
      </c>
      <c r="C2361" s="7" t="s">
        <v>19</v>
      </c>
      <c r="D2361" s="7" t="s">
        <v>20</v>
      </c>
      <c r="E2361" s="7" t="s">
        <v>21</v>
      </c>
      <c r="F2361" s="7" t="s">
        <v>189</v>
      </c>
      <c r="G2361" s="7" t="s">
        <v>36</v>
      </c>
      <c r="H2361" s="7" t="s">
        <v>26</v>
      </c>
      <c r="I2361" s="7" t="s">
        <v>197</v>
      </c>
      <c r="J2361" s="12">
        <v>3.3681240049771972</v>
      </c>
      <c r="K2361" s="12">
        <v>1.8759827627151757</v>
      </c>
      <c r="L2361" s="12">
        <v>0.10233514095656084</v>
      </c>
      <c r="M2361" s="12">
        <v>5.6712049440390757</v>
      </c>
      <c r="N2361" s="12">
        <v>0.96752270956142716</v>
      </c>
      <c r="O2361" s="12">
        <v>0.24121161326393706</v>
      </c>
      <c r="P2361" s="12">
        <v>3.1813798700039891E-2</v>
      </c>
      <c r="Q2361" t="s">
        <v>26</v>
      </c>
    </row>
    <row r="2362" spans="1:17" hidden="1" x14ac:dyDescent="0.25">
      <c r="A2362" s="7" t="s">
        <v>182</v>
      </c>
      <c r="B2362" s="7" t="s">
        <v>18</v>
      </c>
      <c r="C2362" s="7" t="s">
        <v>19</v>
      </c>
      <c r="D2362" s="7" t="s">
        <v>20</v>
      </c>
      <c r="E2362" s="7" t="s">
        <v>21</v>
      </c>
      <c r="F2362" s="7" t="s">
        <v>189</v>
      </c>
      <c r="G2362" s="7" t="s">
        <v>36</v>
      </c>
      <c r="H2362" s="7" t="s">
        <v>26</v>
      </c>
      <c r="I2362" s="7" t="s">
        <v>198</v>
      </c>
      <c r="J2362" s="12">
        <v>69.442916427562423</v>
      </c>
      <c r="K2362" s="12">
        <v>43.797983892347858</v>
      </c>
      <c r="L2362" s="12">
        <v>2.3099225824643428</v>
      </c>
      <c r="M2362" s="12">
        <v>48.034873921211634</v>
      </c>
      <c r="N2362" s="12">
        <v>77.145536368281469</v>
      </c>
      <c r="O2362" s="12">
        <v>4.4315898491383203</v>
      </c>
      <c r="P2362" s="12">
        <v>1.6542534207997672</v>
      </c>
      <c r="Q2362" t="s">
        <v>26</v>
      </c>
    </row>
    <row r="2363" spans="1:17" hidden="1" x14ac:dyDescent="0.25">
      <c r="A2363" s="7" t="s">
        <v>182</v>
      </c>
      <c r="B2363" s="7" t="s">
        <v>18</v>
      </c>
      <c r="C2363" s="7" t="s">
        <v>19</v>
      </c>
      <c r="D2363" s="7" t="s">
        <v>20</v>
      </c>
      <c r="E2363" s="7" t="s">
        <v>21</v>
      </c>
      <c r="F2363" s="7" t="s">
        <v>189</v>
      </c>
      <c r="G2363" s="7" t="s">
        <v>36</v>
      </c>
      <c r="H2363" s="7" t="s">
        <v>26</v>
      </c>
      <c r="I2363" s="7" t="s">
        <v>199</v>
      </c>
      <c r="J2363" s="12">
        <v>12.787476631396236</v>
      </c>
      <c r="K2363" s="12">
        <v>9.121188723585588</v>
      </c>
      <c r="L2363" s="12">
        <v>1.9996966008373918E-2</v>
      </c>
      <c r="M2363" s="12">
        <v>2.0746948203631699</v>
      </c>
      <c r="N2363" s="12">
        <v>2.5250439771855189</v>
      </c>
      <c r="O2363" s="12">
        <v>0.75323416061294224</v>
      </c>
      <c r="P2363" s="12">
        <v>0.87706839556410576</v>
      </c>
      <c r="Q2363" t="s">
        <v>26</v>
      </c>
    </row>
    <row r="2364" spans="1:17" hidden="1" x14ac:dyDescent="0.25">
      <c r="A2364" s="7" t="s">
        <v>182</v>
      </c>
      <c r="B2364" s="7" t="s">
        <v>18</v>
      </c>
      <c r="C2364" s="7" t="s">
        <v>19</v>
      </c>
      <c r="D2364" s="7" t="s">
        <v>20</v>
      </c>
      <c r="E2364" s="7" t="s">
        <v>21</v>
      </c>
      <c r="F2364" s="7" t="s">
        <v>189</v>
      </c>
      <c r="G2364" s="7" t="s">
        <v>36</v>
      </c>
      <c r="H2364" s="7" t="s">
        <v>26</v>
      </c>
      <c r="I2364" s="7" t="s">
        <v>200</v>
      </c>
      <c r="J2364" s="12">
        <v>27.218435416110712</v>
      </c>
      <c r="K2364" s="12">
        <v>20.716493656110714</v>
      </c>
      <c r="L2364" s="12">
        <v>6.5865452244410457E-3</v>
      </c>
      <c r="M2364" s="12">
        <v>1.3849983097083063</v>
      </c>
      <c r="N2364" s="12">
        <v>1.9100838158784414</v>
      </c>
      <c r="O2364" s="12">
        <v>34.607625850783194</v>
      </c>
      <c r="P2364" s="12">
        <v>3.5259142904489935E-2</v>
      </c>
      <c r="Q2364" t="s">
        <v>26</v>
      </c>
    </row>
    <row r="2365" spans="1:17" hidden="1" x14ac:dyDescent="0.25">
      <c r="A2365" s="7" t="s">
        <v>182</v>
      </c>
      <c r="B2365" s="7" t="s">
        <v>18</v>
      </c>
      <c r="C2365" s="7" t="s">
        <v>19</v>
      </c>
      <c r="D2365" s="7" t="s">
        <v>20</v>
      </c>
      <c r="E2365" s="7" t="s">
        <v>21</v>
      </c>
      <c r="F2365" s="7" t="s">
        <v>189</v>
      </c>
      <c r="G2365" s="7" t="s">
        <v>36</v>
      </c>
      <c r="H2365" s="7" t="s">
        <v>26</v>
      </c>
      <c r="I2365" s="7" t="s">
        <v>185</v>
      </c>
      <c r="J2365" s="12">
        <v>34.362149837084701</v>
      </c>
      <c r="K2365" s="12">
        <v>15.994070233913101</v>
      </c>
      <c r="L2365" s="12">
        <v>2.5889630465807799E-2</v>
      </c>
      <c r="M2365" s="12">
        <v>3.3504802629516806</v>
      </c>
      <c r="N2365" s="12">
        <v>4.1969128910077655</v>
      </c>
      <c r="O2365" s="12">
        <v>126.73631104056861</v>
      </c>
      <c r="P2365" s="12">
        <v>0.11631135211275383</v>
      </c>
      <c r="Q2365" t="s">
        <v>26</v>
      </c>
    </row>
    <row r="2366" spans="1:17" hidden="1" x14ac:dyDescent="0.25">
      <c r="A2366" s="7" t="s">
        <v>182</v>
      </c>
      <c r="B2366" s="7" t="s">
        <v>18</v>
      </c>
      <c r="C2366" s="7" t="s">
        <v>19</v>
      </c>
      <c r="D2366" s="7" t="s">
        <v>20</v>
      </c>
      <c r="E2366" s="7" t="s">
        <v>21</v>
      </c>
      <c r="F2366" s="7" t="s">
        <v>201</v>
      </c>
      <c r="G2366" s="7" t="s">
        <v>42</v>
      </c>
      <c r="H2366" s="7" t="s">
        <v>26</v>
      </c>
      <c r="I2366" s="7" t="s">
        <v>190</v>
      </c>
      <c r="J2366" s="12">
        <v>1.8373440000000001E-2</v>
      </c>
      <c r="K2366" s="12">
        <v>4.6024198816568039E-3</v>
      </c>
      <c r="L2366" s="12">
        <v>0.10436983668639054</v>
      </c>
      <c r="M2366" s="12">
        <v>9.1867199999999996E-2</v>
      </c>
      <c r="N2366" s="12">
        <v>0.36746879999999998</v>
      </c>
      <c r="O2366" s="12">
        <v>3.6783119526627218E-3</v>
      </c>
      <c r="P2366" s="12">
        <v>1.469512804733728E-2</v>
      </c>
      <c r="Q2366" t="s">
        <v>26</v>
      </c>
    </row>
    <row r="2367" spans="1:17" hidden="1" x14ac:dyDescent="0.25">
      <c r="A2367" s="7" t="s">
        <v>182</v>
      </c>
      <c r="B2367" s="7" t="s">
        <v>18</v>
      </c>
      <c r="C2367" s="7" t="s">
        <v>19</v>
      </c>
      <c r="D2367" s="7" t="s">
        <v>20</v>
      </c>
      <c r="E2367" s="7" t="s">
        <v>21</v>
      </c>
      <c r="F2367" s="7" t="s">
        <v>201</v>
      </c>
      <c r="G2367" s="7" t="s">
        <v>42</v>
      </c>
      <c r="H2367" s="7" t="s">
        <v>26</v>
      </c>
      <c r="I2367" s="7" t="s">
        <v>195</v>
      </c>
      <c r="J2367" s="12">
        <v>0.1964060856</v>
      </c>
      <c r="K2367" s="12">
        <v>0.1486538871420639</v>
      </c>
      <c r="L2367" s="12">
        <v>0.4204965777521894</v>
      </c>
      <c r="M2367" s="12">
        <v>0.39717028199999999</v>
      </c>
      <c r="N2367" s="12">
        <v>3.1843280562</v>
      </c>
      <c r="O2367" s="12">
        <v>1.6381176228745561E-2</v>
      </c>
      <c r="P2367" s="12">
        <v>4.6068639053254437E-2</v>
      </c>
      <c r="Q2367" t="s">
        <v>26</v>
      </c>
    </row>
    <row r="2368" spans="1:17" hidden="1" x14ac:dyDescent="0.25">
      <c r="A2368" s="7" t="s">
        <v>182</v>
      </c>
      <c r="B2368" s="7" t="s">
        <v>18</v>
      </c>
      <c r="C2368" s="7" t="s">
        <v>19</v>
      </c>
      <c r="D2368" s="7" t="s">
        <v>20</v>
      </c>
      <c r="E2368" s="7" t="s">
        <v>21</v>
      </c>
      <c r="F2368" s="7" t="s">
        <v>202</v>
      </c>
      <c r="G2368" s="7" t="s">
        <v>44</v>
      </c>
      <c r="H2368" s="7" t="s">
        <v>26</v>
      </c>
      <c r="I2368" s="7" t="s">
        <v>187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33.52384</v>
      </c>
      <c r="P2368" s="12">
        <v>0</v>
      </c>
      <c r="Q2368" t="s">
        <v>26</v>
      </c>
    </row>
    <row r="2369" spans="1:17" hidden="1" x14ac:dyDescent="0.25">
      <c r="A2369" s="7" t="s">
        <v>182</v>
      </c>
      <c r="B2369" s="7" t="s">
        <v>18</v>
      </c>
      <c r="C2369" s="7" t="s">
        <v>19</v>
      </c>
      <c r="D2369" s="7" t="s">
        <v>20</v>
      </c>
      <c r="E2369" s="7" t="s">
        <v>21</v>
      </c>
      <c r="F2369" s="7" t="s">
        <v>202</v>
      </c>
      <c r="G2369" s="7" t="s">
        <v>44</v>
      </c>
      <c r="H2369" s="7" t="s">
        <v>26</v>
      </c>
      <c r="I2369" s="7" t="s">
        <v>190</v>
      </c>
      <c r="J2369" s="12">
        <v>1.0961392779475914</v>
      </c>
      <c r="K2369" s="12">
        <v>1.0961392779475914</v>
      </c>
      <c r="L2369" s="12">
        <v>8.5838927630057793E-2</v>
      </c>
      <c r="M2369" s="12">
        <v>12.112017758742775</v>
      </c>
      <c r="N2369" s="12">
        <v>14.451939698135446</v>
      </c>
      <c r="O2369" s="12">
        <v>0.79175137258632144</v>
      </c>
      <c r="P2369" s="12">
        <v>0.46058427763527321</v>
      </c>
      <c r="Q2369" t="s">
        <v>26</v>
      </c>
    </row>
    <row r="2370" spans="1:17" hidden="1" x14ac:dyDescent="0.25">
      <c r="A2370" s="7" t="s">
        <v>182</v>
      </c>
      <c r="B2370" s="7" t="s">
        <v>18</v>
      </c>
      <c r="C2370" s="7" t="s">
        <v>19</v>
      </c>
      <c r="D2370" s="7" t="s">
        <v>20</v>
      </c>
      <c r="E2370" s="7" t="s">
        <v>21</v>
      </c>
      <c r="F2370" s="7" t="s">
        <v>202</v>
      </c>
      <c r="G2370" s="7" t="s">
        <v>44</v>
      </c>
      <c r="H2370" s="7" t="s">
        <v>26</v>
      </c>
      <c r="I2370" s="7" t="s">
        <v>203</v>
      </c>
      <c r="J2370" s="12">
        <v>15.480543752896869</v>
      </c>
      <c r="K2370" s="12">
        <v>10.91631827909687</v>
      </c>
      <c r="L2370" s="12">
        <v>21.381032599343815</v>
      </c>
      <c r="M2370" s="12">
        <v>0.48309384754233953</v>
      </c>
      <c r="N2370" s="12">
        <v>2.5046650834843893</v>
      </c>
      <c r="O2370" s="12">
        <v>2.318173243970488E-2</v>
      </c>
      <c r="P2370" s="12">
        <v>2.8670496E-2</v>
      </c>
      <c r="Q2370" t="s">
        <v>26</v>
      </c>
    </row>
    <row r="2371" spans="1:17" hidden="1" x14ac:dyDescent="0.25">
      <c r="A2371" s="7" t="s">
        <v>182</v>
      </c>
      <c r="B2371" s="7" t="s">
        <v>18</v>
      </c>
      <c r="C2371" s="7" t="s">
        <v>19</v>
      </c>
      <c r="D2371" s="7" t="s">
        <v>20</v>
      </c>
      <c r="E2371" s="7" t="s">
        <v>21</v>
      </c>
      <c r="F2371" s="7" t="s">
        <v>202</v>
      </c>
      <c r="G2371" s="7" t="s">
        <v>44</v>
      </c>
      <c r="H2371" s="7" t="s">
        <v>26</v>
      </c>
      <c r="I2371" s="7" t="s">
        <v>194</v>
      </c>
      <c r="J2371" s="12">
        <v>0.52519495062228128</v>
      </c>
      <c r="K2371" s="12">
        <v>0.49850835062228127</v>
      </c>
      <c r="L2371" s="12">
        <v>3.4213318199541078E-2</v>
      </c>
      <c r="M2371" s="12">
        <v>4.7907933290255018</v>
      </c>
      <c r="N2371" s="12">
        <v>5.8946398279010408</v>
      </c>
      <c r="O2371" s="12">
        <v>0.99291185024142736</v>
      </c>
      <c r="P2371" s="12">
        <v>0.18309898374667927</v>
      </c>
      <c r="Q2371" t="s">
        <v>26</v>
      </c>
    </row>
    <row r="2372" spans="1:17" hidden="1" x14ac:dyDescent="0.25">
      <c r="A2372" s="7" t="s">
        <v>182</v>
      </c>
      <c r="B2372" s="7" t="s">
        <v>18</v>
      </c>
      <c r="C2372" s="7" t="s">
        <v>19</v>
      </c>
      <c r="D2372" s="7" t="s">
        <v>20</v>
      </c>
      <c r="E2372" s="7" t="s">
        <v>21</v>
      </c>
      <c r="F2372" s="7" t="s">
        <v>204</v>
      </c>
      <c r="G2372" s="7" t="s">
        <v>48</v>
      </c>
      <c r="H2372" s="7" t="s">
        <v>26</v>
      </c>
      <c r="I2372" s="7" t="s">
        <v>187</v>
      </c>
      <c r="J2372" s="12">
        <v>1.7114858653751552</v>
      </c>
      <c r="K2372" s="12">
        <v>1.1822422405230846</v>
      </c>
      <c r="L2372" s="12">
        <v>2.249019609883363</v>
      </c>
      <c r="M2372" s="12">
        <v>7.5969747815084752</v>
      </c>
      <c r="N2372" s="12">
        <v>14.840277861771581</v>
      </c>
      <c r="O2372" s="12">
        <v>9.5339500066668794</v>
      </c>
      <c r="P2372" s="12">
        <v>0.50537178986655773</v>
      </c>
      <c r="Q2372" t="s">
        <v>26</v>
      </c>
    </row>
    <row r="2373" spans="1:17" hidden="1" x14ac:dyDescent="0.25">
      <c r="A2373" s="7" t="s">
        <v>182</v>
      </c>
      <c r="B2373" s="7" t="s">
        <v>18</v>
      </c>
      <c r="C2373" s="7" t="s">
        <v>19</v>
      </c>
      <c r="D2373" s="7" t="s">
        <v>20</v>
      </c>
      <c r="E2373" s="7" t="s">
        <v>21</v>
      </c>
      <c r="F2373" s="7" t="s">
        <v>204</v>
      </c>
      <c r="G2373" s="7" t="s">
        <v>48</v>
      </c>
      <c r="H2373" s="7" t="s">
        <v>26</v>
      </c>
      <c r="I2373" s="7" t="s">
        <v>190</v>
      </c>
      <c r="J2373" s="12">
        <v>4.4679911780639996</v>
      </c>
      <c r="K2373" s="12">
        <v>2.8963799839101543</v>
      </c>
      <c r="L2373" s="12">
        <v>79.9267593401147</v>
      </c>
      <c r="M2373" s="12">
        <v>0.84853089599999998</v>
      </c>
      <c r="N2373" s="12">
        <v>8.0571436799999994</v>
      </c>
      <c r="O2373" s="12">
        <v>4.4660088157062371E-2</v>
      </c>
      <c r="P2373" s="12">
        <v>0.13473489846153847</v>
      </c>
      <c r="Q2373" t="s">
        <v>26</v>
      </c>
    </row>
    <row r="2374" spans="1:17" hidden="1" x14ac:dyDescent="0.25">
      <c r="A2374" s="7" t="s">
        <v>182</v>
      </c>
      <c r="B2374" s="7" t="s">
        <v>18</v>
      </c>
      <c r="C2374" s="7" t="s">
        <v>19</v>
      </c>
      <c r="D2374" s="7" t="s">
        <v>20</v>
      </c>
      <c r="E2374" s="7" t="s">
        <v>21</v>
      </c>
      <c r="F2374" s="7" t="s">
        <v>204</v>
      </c>
      <c r="G2374" s="7" t="s">
        <v>48</v>
      </c>
      <c r="H2374" s="7" t="s">
        <v>26</v>
      </c>
      <c r="I2374" s="7" t="s">
        <v>184</v>
      </c>
      <c r="J2374" s="12">
        <v>2.2092407369605165</v>
      </c>
      <c r="K2374" s="12">
        <v>2.1767916349723508</v>
      </c>
      <c r="L2374" s="12">
        <v>0.16972490430641424</v>
      </c>
      <c r="M2374" s="12">
        <v>23.511283177436148</v>
      </c>
      <c r="N2374" s="12">
        <v>28.061209504553201</v>
      </c>
      <c r="O2374" s="12">
        <v>1.5316246420105402</v>
      </c>
      <c r="P2374" s="12">
        <v>0.89432073356842279</v>
      </c>
      <c r="Q2374" t="s">
        <v>26</v>
      </c>
    </row>
    <row r="2375" spans="1:17" hidden="1" x14ac:dyDescent="0.25">
      <c r="A2375" s="7" t="s">
        <v>182</v>
      </c>
      <c r="B2375" s="7" t="s">
        <v>18</v>
      </c>
      <c r="C2375" s="7" t="s">
        <v>19</v>
      </c>
      <c r="D2375" s="7" t="s">
        <v>20</v>
      </c>
      <c r="E2375" s="7" t="s">
        <v>21</v>
      </c>
      <c r="F2375" s="7" t="s">
        <v>204</v>
      </c>
      <c r="G2375" s="7" t="s">
        <v>48</v>
      </c>
      <c r="H2375" s="7" t="s">
        <v>26</v>
      </c>
      <c r="I2375" s="7" t="s">
        <v>193</v>
      </c>
      <c r="J2375" s="12">
        <v>1.317790087077549</v>
      </c>
      <c r="K2375" s="12">
        <v>0.93862148471068518</v>
      </c>
      <c r="L2375" s="12">
        <v>1.4934229121497777E-3</v>
      </c>
      <c r="M2375" s="12">
        <v>0.1603499790346275</v>
      </c>
      <c r="N2375" s="12">
        <v>0.27368123592912996</v>
      </c>
      <c r="O2375" s="12">
        <v>7.3460669164128198E-3</v>
      </c>
      <c r="P2375" s="12">
        <v>9.0199651351425777E-4</v>
      </c>
      <c r="Q2375" t="s">
        <v>26</v>
      </c>
    </row>
    <row r="2376" spans="1:17" hidden="1" x14ac:dyDescent="0.25">
      <c r="A2376" s="7" t="s">
        <v>182</v>
      </c>
      <c r="B2376" s="7" t="s">
        <v>18</v>
      </c>
      <c r="C2376" s="7" t="s">
        <v>19</v>
      </c>
      <c r="D2376" s="7" t="s">
        <v>20</v>
      </c>
      <c r="E2376" s="7" t="s">
        <v>21</v>
      </c>
      <c r="F2376" s="7" t="s">
        <v>204</v>
      </c>
      <c r="G2376" s="7" t="s">
        <v>48</v>
      </c>
      <c r="H2376" s="7" t="s">
        <v>26</v>
      </c>
      <c r="I2376" s="7" t="s">
        <v>194</v>
      </c>
      <c r="J2376" s="12">
        <v>5.04164E-2</v>
      </c>
      <c r="K2376" s="12">
        <v>4.5640200000000006E-2</v>
      </c>
      <c r="L2376" s="12">
        <v>2.7000000000000001E-3</v>
      </c>
      <c r="M2376" s="12">
        <v>0.37630000000000002</v>
      </c>
      <c r="N2376" s="12">
        <v>0.44800000000000001</v>
      </c>
      <c r="O2376" s="12">
        <v>2.46E-2</v>
      </c>
      <c r="P2376" s="12">
        <v>1.44E-2</v>
      </c>
      <c r="Q2376" t="s">
        <v>26</v>
      </c>
    </row>
    <row r="2377" spans="1:17" hidden="1" x14ac:dyDescent="0.25">
      <c r="A2377" s="7" t="s">
        <v>182</v>
      </c>
      <c r="B2377" s="7" t="s">
        <v>18</v>
      </c>
      <c r="C2377" s="7" t="s">
        <v>19</v>
      </c>
      <c r="D2377" s="7" t="s">
        <v>20</v>
      </c>
      <c r="E2377" s="7" t="s">
        <v>21</v>
      </c>
      <c r="F2377" s="7" t="s">
        <v>204</v>
      </c>
      <c r="G2377" s="7" t="s">
        <v>48</v>
      </c>
      <c r="H2377" s="7" t="s">
        <v>26</v>
      </c>
      <c r="I2377" s="7" t="s">
        <v>196</v>
      </c>
      <c r="J2377" s="12">
        <v>9.1650716182419831</v>
      </c>
      <c r="K2377" s="12">
        <v>7.3064390647626922</v>
      </c>
      <c r="L2377" s="12">
        <v>0.78230128684122913</v>
      </c>
      <c r="M2377" s="12">
        <v>21.028854052432987</v>
      </c>
      <c r="N2377" s="12">
        <v>27.049570677245764</v>
      </c>
      <c r="O2377" s="12">
        <v>492.37379221090356</v>
      </c>
      <c r="P2377" s="12">
        <v>0.84280463831862562</v>
      </c>
      <c r="Q2377" t="s">
        <v>26</v>
      </c>
    </row>
    <row r="2378" spans="1:17" hidden="1" x14ac:dyDescent="0.25">
      <c r="A2378" s="7" t="s">
        <v>182</v>
      </c>
      <c r="B2378" s="7" t="s">
        <v>18</v>
      </c>
      <c r="C2378" s="7" t="s">
        <v>19</v>
      </c>
      <c r="D2378" s="7" t="s">
        <v>20</v>
      </c>
      <c r="E2378" s="7" t="s">
        <v>21</v>
      </c>
      <c r="F2378" s="7" t="s">
        <v>204</v>
      </c>
      <c r="G2378" s="7" t="s">
        <v>48</v>
      </c>
      <c r="H2378" s="7" t="s">
        <v>26</v>
      </c>
      <c r="I2378" s="7" t="s">
        <v>198</v>
      </c>
      <c r="J2378" s="12">
        <v>9.4586719911114709</v>
      </c>
      <c r="K2378" s="12">
        <v>4.2223365999872113</v>
      </c>
      <c r="L2378" s="12">
        <v>8.2927714350243653E-2</v>
      </c>
      <c r="M2378" s="12">
        <v>11.633449609303973</v>
      </c>
      <c r="N2378" s="12">
        <v>13.86131550059963</v>
      </c>
      <c r="O2378" s="12">
        <v>0.76077301218253834</v>
      </c>
      <c r="P2378" s="12">
        <v>0.44347863584554781</v>
      </c>
      <c r="Q2378" t="s">
        <v>26</v>
      </c>
    </row>
    <row r="2379" spans="1:17" hidden="1" x14ac:dyDescent="0.25">
      <c r="A2379" s="7" t="s">
        <v>182</v>
      </c>
      <c r="B2379" s="7" t="s">
        <v>18</v>
      </c>
      <c r="C2379" s="7" t="s">
        <v>19</v>
      </c>
      <c r="D2379" s="7" t="s">
        <v>20</v>
      </c>
      <c r="E2379" s="7" t="s">
        <v>21</v>
      </c>
      <c r="F2379" s="7" t="s">
        <v>204</v>
      </c>
      <c r="G2379" s="7" t="s">
        <v>48</v>
      </c>
      <c r="H2379" s="7" t="s">
        <v>26</v>
      </c>
      <c r="I2379" s="7" t="s">
        <v>199</v>
      </c>
      <c r="J2379" s="12">
        <v>9.1690219815751844E-2</v>
      </c>
      <c r="K2379" s="12">
        <v>9.1686920786166054E-2</v>
      </c>
      <c r="L2379" s="12">
        <v>7.2935589967685014E-3</v>
      </c>
      <c r="M2379" s="12">
        <v>1.0132204344718445</v>
      </c>
      <c r="N2379" s="12">
        <v>1.2062219841469941</v>
      </c>
      <c r="O2379" s="12">
        <v>6.6310513277443792E-2</v>
      </c>
      <c r="P2379" s="12">
        <v>3.870539221778798E-2</v>
      </c>
      <c r="Q2379" t="s">
        <v>26</v>
      </c>
    </row>
    <row r="2380" spans="1:17" hidden="1" x14ac:dyDescent="0.25">
      <c r="A2380" s="7" t="s">
        <v>182</v>
      </c>
      <c r="B2380" s="7" t="s">
        <v>18</v>
      </c>
      <c r="C2380" s="7" t="s">
        <v>19</v>
      </c>
      <c r="D2380" s="7" t="s">
        <v>20</v>
      </c>
      <c r="E2380" s="7" t="s">
        <v>21</v>
      </c>
      <c r="F2380" s="7" t="s">
        <v>204</v>
      </c>
      <c r="G2380" s="7" t="s">
        <v>48</v>
      </c>
      <c r="H2380" s="7" t="s">
        <v>26</v>
      </c>
      <c r="I2380" s="7" t="s">
        <v>200</v>
      </c>
      <c r="J2380" s="12">
        <v>1.2448979096478158E-2</v>
      </c>
      <c r="K2380" s="12">
        <v>1.2448979096478158E-2</v>
      </c>
      <c r="L2380" s="12">
        <v>4.4413054215048734E-6</v>
      </c>
      <c r="M2380" s="12">
        <v>0.13223098631446459</v>
      </c>
      <c r="N2380" s="12">
        <v>0.23216035829832424</v>
      </c>
      <c r="O2380" s="12">
        <v>116.24628040138292</v>
      </c>
      <c r="P2380" s="12">
        <v>0</v>
      </c>
      <c r="Q2380" t="s">
        <v>26</v>
      </c>
    </row>
    <row r="2381" spans="1:17" hidden="1" x14ac:dyDescent="0.25">
      <c r="A2381" s="7" t="s">
        <v>182</v>
      </c>
      <c r="B2381" s="7" t="s">
        <v>18</v>
      </c>
      <c r="C2381" s="7" t="s">
        <v>19</v>
      </c>
      <c r="D2381" s="7" t="s">
        <v>20</v>
      </c>
      <c r="E2381" s="7" t="s">
        <v>21</v>
      </c>
      <c r="F2381" s="7" t="s">
        <v>204</v>
      </c>
      <c r="G2381" s="7" t="s">
        <v>48</v>
      </c>
      <c r="H2381" s="7" t="s">
        <v>26</v>
      </c>
      <c r="I2381" s="7" t="s">
        <v>185</v>
      </c>
      <c r="J2381" s="12">
        <v>0.23847601256746842</v>
      </c>
      <c r="K2381" s="12">
        <v>0.22799736713371696</v>
      </c>
      <c r="L2381" s="12">
        <v>9.8890265090214632E-2</v>
      </c>
      <c r="M2381" s="12">
        <v>2.4917382123562293</v>
      </c>
      <c r="N2381" s="12">
        <v>3.3734173015673981</v>
      </c>
      <c r="O2381" s="12">
        <v>273.28764491189366</v>
      </c>
      <c r="P2381" s="12">
        <v>9.2754568279604599E-2</v>
      </c>
      <c r="Q2381" t="s">
        <v>26</v>
      </c>
    </row>
    <row r="2382" spans="1:17" hidden="1" x14ac:dyDescent="0.25">
      <c r="A2382" s="7" t="s">
        <v>182</v>
      </c>
      <c r="B2382" s="7" t="s">
        <v>18</v>
      </c>
      <c r="C2382" s="7" t="s">
        <v>19</v>
      </c>
      <c r="D2382" s="7"/>
      <c r="E2382" s="7"/>
      <c r="F2382" s="7" t="s">
        <v>205</v>
      </c>
      <c r="G2382" s="7" t="s">
        <v>52</v>
      </c>
      <c r="H2382" s="7" t="s">
        <v>26</v>
      </c>
      <c r="I2382" s="7" t="s">
        <v>185</v>
      </c>
      <c r="J2382" s="12">
        <v>6.8589119999999996E-4</v>
      </c>
      <c r="K2382" s="12">
        <v>6.8589119999999996E-4</v>
      </c>
      <c r="L2382" s="12">
        <v>3.5592192E-7</v>
      </c>
      <c r="M2382" s="12">
        <v>7.2852768000000005E-3</v>
      </c>
      <c r="N2382" s="12">
        <v>1.2790943999999999E-2</v>
      </c>
      <c r="O2382" s="12">
        <v>3.1516952478949389E-4</v>
      </c>
      <c r="P2382" s="12">
        <v>0</v>
      </c>
      <c r="Q2382" t="s">
        <v>26</v>
      </c>
    </row>
    <row r="2383" spans="1:17" hidden="1" x14ac:dyDescent="0.25">
      <c r="A2383" s="7" t="s">
        <v>182</v>
      </c>
      <c r="B2383" s="7" t="s">
        <v>18</v>
      </c>
      <c r="C2383" s="7" t="s">
        <v>19</v>
      </c>
      <c r="D2383" s="7"/>
      <c r="E2383" s="7"/>
      <c r="F2383" s="7" t="s">
        <v>206</v>
      </c>
      <c r="G2383" s="7" t="s">
        <v>56</v>
      </c>
      <c r="H2383" s="7" t="s">
        <v>26</v>
      </c>
      <c r="I2383" s="7" t="s">
        <v>196</v>
      </c>
      <c r="J2383" s="12">
        <v>3.2032433294500837E-3</v>
      </c>
      <c r="K2383" s="12">
        <v>2.267858714065468E-3</v>
      </c>
      <c r="L2383" s="12">
        <v>7.1003058574925981E-3</v>
      </c>
      <c r="M2383" s="12">
        <v>2.7062673304792263E-2</v>
      </c>
      <c r="N2383" s="12">
        <v>6.0720900650352731E-2</v>
      </c>
      <c r="O2383" s="12">
        <v>1.1819754460780695E-3</v>
      </c>
      <c r="P2383" s="12">
        <v>1.0520744115058633E-3</v>
      </c>
      <c r="Q2383" t="s">
        <v>26</v>
      </c>
    </row>
    <row r="2384" spans="1:17" hidden="1" x14ac:dyDescent="0.25">
      <c r="A2384" s="7" t="s">
        <v>182</v>
      </c>
      <c r="B2384" s="7" t="s">
        <v>18</v>
      </c>
      <c r="C2384" s="7" t="s">
        <v>19</v>
      </c>
      <c r="D2384" s="7" t="s">
        <v>20</v>
      </c>
      <c r="E2384" s="7" t="s">
        <v>21</v>
      </c>
      <c r="F2384" s="7" t="s">
        <v>207</v>
      </c>
      <c r="G2384" s="7" t="s">
        <v>60</v>
      </c>
      <c r="H2384" s="7" t="s">
        <v>26</v>
      </c>
      <c r="I2384" s="7" t="s">
        <v>187</v>
      </c>
      <c r="J2384" s="12">
        <v>2.6462229987374508</v>
      </c>
      <c r="K2384" s="12">
        <v>2.0459625987374519</v>
      </c>
      <c r="L2384" s="12">
        <v>9.1200670821405365E-3</v>
      </c>
      <c r="M2384" s="12">
        <v>1.3395719406464801</v>
      </c>
      <c r="N2384" s="12">
        <v>1.6335212700909358</v>
      </c>
      <c r="O2384" s="12">
        <v>32.783596209109085</v>
      </c>
      <c r="P2384" s="12">
        <v>4.8542472954125837E-2</v>
      </c>
      <c r="Q2384" t="s">
        <v>26</v>
      </c>
    </row>
    <row r="2385" spans="1:17" hidden="1" x14ac:dyDescent="0.25">
      <c r="A2385" s="7" t="s">
        <v>182</v>
      </c>
      <c r="B2385" s="7" t="s">
        <v>18</v>
      </c>
      <c r="C2385" s="7" t="s">
        <v>19</v>
      </c>
      <c r="D2385" s="7" t="s">
        <v>20</v>
      </c>
      <c r="E2385" s="7" t="s">
        <v>21</v>
      </c>
      <c r="F2385" s="7" t="s">
        <v>207</v>
      </c>
      <c r="G2385" s="7" t="s">
        <v>60</v>
      </c>
      <c r="H2385" s="7" t="s">
        <v>26</v>
      </c>
      <c r="I2385" s="7" t="s">
        <v>184</v>
      </c>
      <c r="J2385" s="12">
        <v>902.52249862897679</v>
      </c>
      <c r="K2385" s="12">
        <v>546.48239861404352</v>
      </c>
      <c r="L2385" s="12">
        <v>7.5923525635029584E-4</v>
      </c>
      <c r="M2385" s="12">
        <v>2.5789336884000005E-2</v>
      </c>
      <c r="N2385" s="12">
        <v>4.6776379536000001E-2</v>
      </c>
      <c r="O2385" s="12">
        <v>1.1135270853496382E-3</v>
      </c>
      <c r="P2385" s="12">
        <v>1.0672646172071007E-4</v>
      </c>
      <c r="Q2385" t="s">
        <v>26</v>
      </c>
    </row>
    <row r="2386" spans="1:17" hidden="1" x14ac:dyDescent="0.25">
      <c r="A2386" s="7" t="s">
        <v>182</v>
      </c>
      <c r="B2386" s="7" t="s">
        <v>18</v>
      </c>
      <c r="C2386" s="7" t="s">
        <v>19</v>
      </c>
      <c r="D2386" s="7" t="s">
        <v>20</v>
      </c>
      <c r="E2386" s="7" t="s">
        <v>21</v>
      </c>
      <c r="F2386" s="7" t="s">
        <v>207</v>
      </c>
      <c r="G2386" s="7" t="s">
        <v>60</v>
      </c>
      <c r="H2386" s="7" t="s">
        <v>26</v>
      </c>
      <c r="I2386" s="7" t="s">
        <v>195</v>
      </c>
      <c r="J2386" s="12">
        <v>1.052984E-2</v>
      </c>
      <c r="K2386" s="12">
        <v>3.9118139644970414E-3</v>
      </c>
      <c r="L2386" s="12">
        <v>5.0257671005917159E-2</v>
      </c>
      <c r="M2386" s="12">
        <v>6.3249200000000005E-2</v>
      </c>
      <c r="N2386" s="12">
        <v>0.1992968</v>
      </c>
      <c r="O2386" s="12">
        <v>32.002967709585796</v>
      </c>
      <c r="P2386" s="12">
        <v>7.7621304142011837E-3</v>
      </c>
      <c r="Q2386" t="s">
        <v>26</v>
      </c>
    </row>
    <row r="2387" spans="1:17" hidden="1" x14ac:dyDescent="0.25">
      <c r="A2387" s="7" t="s">
        <v>182</v>
      </c>
      <c r="B2387" s="7" t="s">
        <v>18</v>
      </c>
      <c r="C2387" s="7" t="s">
        <v>19</v>
      </c>
      <c r="D2387" s="7" t="s">
        <v>20</v>
      </c>
      <c r="E2387" s="7" t="s">
        <v>21</v>
      </c>
      <c r="F2387" s="7" t="s">
        <v>207</v>
      </c>
      <c r="G2387" s="7" t="s">
        <v>60</v>
      </c>
      <c r="H2387" s="7" t="s">
        <v>26</v>
      </c>
      <c r="I2387" s="7" t="s">
        <v>196</v>
      </c>
      <c r="J2387" s="12">
        <v>1.1416316137355369</v>
      </c>
      <c r="K2387" s="12">
        <v>0.59356500545151325</v>
      </c>
      <c r="L2387" s="12">
        <v>3.3408189794105785</v>
      </c>
      <c r="M2387" s="12">
        <v>2.9680475856491091</v>
      </c>
      <c r="N2387" s="12">
        <v>11.801431152678132</v>
      </c>
      <c r="O2387" s="12">
        <v>59.078043732033734</v>
      </c>
      <c r="P2387" s="12">
        <v>0.47097271981810945</v>
      </c>
      <c r="Q2387" t="s">
        <v>26</v>
      </c>
    </row>
    <row r="2388" spans="1:17" hidden="1" x14ac:dyDescent="0.25">
      <c r="A2388" s="7" t="s">
        <v>182</v>
      </c>
      <c r="B2388" s="7" t="s">
        <v>18</v>
      </c>
      <c r="C2388" s="7" t="s">
        <v>19</v>
      </c>
      <c r="D2388" s="7" t="s">
        <v>20</v>
      </c>
      <c r="E2388" s="7" t="s">
        <v>21</v>
      </c>
      <c r="F2388" s="7" t="s">
        <v>207</v>
      </c>
      <c r="G2388" s="7" t="s">
        <v>60</v>
      </c>
      <c r="H2388" s="7" t="s">
        <v>26</v>
      </c>
      <c r="I2388" s="7" t="s">
        <v>197</v>
      </c>
      <c r="J2388" s="12">
        <v>0.62338210855999998</v>
      </c>
      <c r="K2388" s="12">
        <v>0.36971848167242605</v>
      </c>
      <c r="L2388" s="12">
        <v>1.1785622936984994E-2</v>
      </c>
      <c r="M2388" s="12">
        <v>0.64010692424000015</v>
      </c>
      <c r="N2388" s="12">
        <v>0.8132798872</v>
      </c>
      <c r="O2388" s="12">
        <v>4.9412900867295481E-2</v>
      </c>
      <c r="P2388" s="12">
        <v>2.3081731955029584E-2</v>
      </c>
      <c r="Q2388" t="s">
        <v>26</v>
      </c>
    </row>
    <row r="2389" spans="1:17" hidden="1" x14ac:dyDescent="0.25">
      <c r="A2389" s="7" t="s">
        <v>182</v>
      </c>
      <c r="B2389" s="7" t="s">
        <v>18</v>
      </c>
      <c r="C2389" s="7" t="s">
        <v>19</v>
      </c>
      <c r="D2389" s="7" t="s">
        <v>20</v>
      </c>
      <c r="E2389" s="7" t="s">
        <v>21</v>
      </c>
      <c r="F2389" s="7" t="s">
        <v>207</v>
      </c>
      <c r="G2389" s="7" t="s">
        <v>60</v>
      </c>
      <c r="H2389" s="7" t="s">
        <v>26</v>
      </c>
      <c r="I2389" s="7" t="s">
        <v>198</v>
      </c>
      <c r="J2389" s="12">
        <v>85.671964338802383</v>
      </c>
      <c r="K2389" s="12">
        <v>52.013781656774341</v>
      </c>
      <c r="L2389" s="12">
        <v>2.6248949731626343</v>
      </c>
      <c r="M2389" s="12">
        <v>5.6990754672673143</v>
      </c>
      <c r="N2389" s="12">
        <v>21.439339889735546</v>
      </c>
      <c r="O2389" s="12">
        <v>9.809189680472981</v>
      </c>
      <c r="P2389" s="12">
        <v>0.25538896313406861</v>
      </c>
      <c r="Q2389" t="s">
        <v>26</v>
      </c>
    </row>
    <row r="2390" spans="1:17" hidden="1" x14ac:dyDescent="0.25">
      <c r="A2390" s="7" t="s">
        <v>182</v>
      </c>
      <c r="B2390" s="7" t="s">
        <v>18</v>
      </c>
      <c r="C2390" s="7" t="s">
        <v>19</v>
      </c>
      <c r="D2390" s="7" t="s">
        <v>20</v>
      </c>
      <c r="E2390" s="7" t="s">
        <v>21</v>
      </c>
      <c r="F2390" s="7" t="s">
        <v>207</v>
      </c>
      <c r="G2390" s="7" t="s">
        <v>60</v>
      </c>
      <c r="H2390" s="7" t="s">
        <v>26</v>
      </c>
      <c r="I2390" s="7" t="s">
        <v>200</v>
      </c>
      <c r="J2390" s="12">
        <v>3.2466865679999998E-3</v>
      </c>
      <c r="K2390" s="12">
        <v>3.0353256212544378E-3</v>
      </c>
      <c r="L2390" s="12">
        <v>1.6034319230730605E-3</v>
      </c>
      <c r="M2390" s="12">
        <v>3.2899778951999997E-2</v>
      </c>
      <c r="N2390" s="12">
        <v>6.0927398159999993E-2</v>
      </c>
      <c r="O2390" s="12">
        <v>803.20402873998466</v>
      </c>
      <c r="P2390" s="12">
        <v>2.2554437869822487E-4</v>
      </c>
      <c r="Q2390" t="s">
        <v>26</v>
      </c>
    </row>
    <row r="2391" spans="1:17" hidden="1" x14ac:dyDescent="0.25">
      <c r="A2391" s="7" t="s">
        <v>182</v>
      </c>
      <c r="B2391" s="7" t="s">
        <v>18</v>
      </c>
      <c r="C2391" s="7" t="s">
        <v>19</v>
      </c>
      <c r="D2391" s="7" t="s">
        <v>20</v>
      </c>
      <c r="E2391" s="7" t="s">
        <v>21</v>
      </c>
      <c r="F2391" s="7" t="s">
        <v>207</v>
      </c>
      <c r="G2391" s="7" t="s">
        <v>60</v>
      </c>
      <c r="H2391" s="7" t="s">
        <v>26</v>
      </c>
      <c r="I2391" s="7" t="s">
        <v>185</v>
      </c>
      <c r="J2391" s="12">
        <v>4.2073300975999999</v>
      </c>
      <c r="K2391" s="12">
        <v>3.8355538869491124</v>
      </c>
      <c r="L2391" s="12">
        <v>5.580338923307929E-3</v>
      </c>
      <c r="M2391" s="12">
        <v>1.7952926400000003E-2</v>
      </c>
      <c r="N2391" s="12">
        <v>4.2542711999999996E-2</v>
      </c>
      <c r="O2391" s="12">
        <v>11.697149441625104</v>
      </c>
      <c r="P2391" s="12">
        <v>7.8561426035502954E-4</v>
      </c>
      <c r="Q2391" t="s">
        <v>26</v>
      </c>
    </row>
    <row r="2392" spans="1:17" hidden="1" x14ac:dyDescent="0.25">
      <c r="A2392" s="7" t="s">
        <v>182</v>
      </c>
      <c r="B2392" s="7" t="s">
        <v>18</v>
      </c>
      <c r="C2392" s="7" t="s">
        <v>19</v>
      </c>
      <c r="D2392" s="7" t="s">
        <v>20</v>
      </c>
      <c r="E2392" s="7" t="s">
        <v>21</v>
      </c>
      <c r="F2392" s="7" t="s">
        <v>208</v>
      </c>
      <c r="G2392" s="7" t="s">
        <v>62</v>
      </c>
      <c r="H2392" s="7" t="s">
        <v>26</v>
      </c>
      <c r="I2392" s="7" t="s">
        <v>190</v>
      </c>
      <c r="J2392" s="12">
        <v>0.34715764523778248</v>
      </c>
      <c r="K2392" s="12">
        <v>0.28613364523778251</v>
      </c>
      <c r="L2392" s="12">
        <v>1.2210366263854591E-2</v>
      </c>
      <c r="M2392" s="12">
        <v>1.7684246102529804</v>
      </c>
      <c r="N2392" s="12">
        <v>2.1429449059177768</v>
      </c>
      <c r="O2392" s="12">
        <v>0.80776369576231755</v>
      </c>
      <c r="P2392" s="12">
        <v>6.4997463257278135E-2</v>
      </c>
      <c r="Q2392" t="s">
        <v>26</v>
      </c>
    </row>
    <row r="2393" spans="1:17" hidden="1" x14ac:dyDescent="0.25">
      <c r="A2393" s="7" t="s">
        <v>182</v>
      </c>
      <c r="B2393" s="7" t="s">
        <v>18</v>
      </c>
      <c r="C2393" s="7" t="s">
        <v>19</v>
      </c>
      <c r="D2393" s="7" t="s">
        <v>20</v>
      </c>
      <c r="E2393" s="7" t="s">
        <v>21</v>
      </c>
      <c r="F2393" s="7" t="s">
        <v>208</v>
      </c>
      <c r="G2393" s="7" t="s">
        <v>62</v>
      </c>
      <c r="H2393" s="7" t="s">
        <v>26</v>
      </c>
      <c r="I2393" s="7" t="s">
        <v>195</v>
      </c>
      <c r="J2393" s="12">
        <v>5.2936983062613803E-3</v>
      </c>
      <c r="K2393" s="12">
        <v>4.9072225666164102E-3</v>
      </c>
      <c r="L2393" s="12">
        <v>3.3078683350825509E-3</v>
      </c>
      <c r="M2393" s="12">
        <v>5.5379399266202785E-2</v>
      </c>
      <c r="N2393" s="12">
        <v>7.3168522517069914E-2</v>
      </c>
      <c r="O2393" s="12">
        <v>3.5588490633296581E-3</v>
      </c>
      <c r="P2393" s="12">
        <v>2.429295825691547E-3</v>
      </c>
      <c r="Q2393" t="s">
        <v>26</v>
      </c>
    </row>
    <row r="2394" spans="1:17" hidden="1" x14ac:dyDescent="0.25">
      <c r="A2394" s="7" t="s">
        <v>182</v>
      </c>
      <c r="B2394" s="7" t="s">
        <v>18</v>
      </c>
      <c r="C2394" s="7" t="s">
        <v>19</v>
      </c>
      <c r="D2394" s="7" t="s">
        <v>20</v>
      </c>
      <c r="E2394" s="7" t="s">
        <v>21</v>
      </c>
      <c r="F2394" s="7" t="s">
        <v>208</v>
      </c>
      <c r="G2394" s="7" t="s">
        <v>62</v>
      </c>
      <c r="H2394" s="7" t="s">
        <v>26</v>
      </c>
      <c r="I2394" s="7" t="s">
        <v>196</v>
      </c>
      <c r="J2394" s="12">
        <v>9.3902448000000014E-4</v>
      </c>
      <c r="K2394" s="12">
        <v>9.3902448000000014E-4</v>
      </c>
      <c r="L2394" s="12">
        <v>4.8727756800000003E-7</v>
      </c>
      <c r="M2394" s="12">
        <v>9.9739627200000017E-3</v>
      </c>
      <c r="N2394" s="12">
        <v>1.7511537600000002E-2</v>
      </c>
      <c r="O2394" s="12">
        <v>3.3226314851963799</v>
      </c>
      <c r="P2394" s="12">
        <v>0</v>
      </c>
      <c r="Q2394" t="s">
        <v>26</v>
      </c>
    </row>
    <row r="2395" spans="1:17" hidden="1" x14ac:dyDescent="0.25">
      <c r="A2395" s="7" t="s">
        <v>182</v>
      </c>
      <c r="B2395" s="7" t="s">
        <v>18</v>
      </c>
      <c r="C2395" s="7" t="s">
        <v>19</v>
      </c>
      <c r="D2395" s="7" t="s">
        <v>20</v>
      </c>
      <c r="E2395" s="7" t="s">
        <v>21</v>
      </c>
      <c r="F2395" s="7" t="s">
        <v>208</v>
      </c>
      <c r="G2395" s="7" t="s">
        <v>62</v>
      </c>
      <c r="H2395" s="7" t="s">
        <v>26</v>
      </c>
      <c r="I2395" s="7" t="s">
        <v>198</v>
      </c>
      <c r="J2395" s="12">
        <v>97.548904192340288</v>
      </c>
      <c r="K2395" s="12">
        <v>71.48460351837582</v>
      </c>
      <c r="L2395" s="12">
        <v>44.275110197273726</v>
      </c>
      <c r="M2395" s="12">
        <v>88.48512155032698</v>
      </c>
      <c r="N2395" s="12">
        <v>105.77827268805332</v>
      </c>
      <c r="O2395" s="12">
        <v>5.7830616307299705</v>
      </c>
      <c r="P2395" s="12">
        <v>3.3847937535564192</v>
      </c>
      <c r="Q2395" t="s">
        <v>26</v>
      </c>
    </row>
    <row r="2396" spans="1:17" hidden="1" x14ac:dyDescent="0.25">
      <c r="A2396" s="7" t="s">
        <v>182</v>
      </c>
      <c r="B2396" s="7" t="s">
        <v>18</v>
      </c>
      <c r="C2396" s="7" t="s">
        <v>19</v>
      </c>
      <c r="D2396" s="7" t="s">
        <v>20</v>
      </c>
      <c r="E2396" s="7" t="s">
        <v>21</v>
      </c>
      <c r="F2396" s="7" t="s">
        <v>209</v>
      </c>
      <c r="G2396" s="7" t="s">
        <v>66</v>
      </c>
      <c r="H2396" s="7" t="s">
        <v>26</v>
      </c>
      <c r="I2396" s="7" t="s">
        <v>187</v>
      </c>
      <c r="J2396" s="12">
        <v>0.10813555036505489</v>
      </c>
      <c r="K2396" s="12">
        <v>7.7691450365054884E-2</v>
      </c>
      <c r="L2396" s="12">
        <v>3.7897671249144437E-5</v>
      </c>
      <c r="M2396" s="12">
        <v>3.7322906242797764E-2</v>
      </c>
      <c r="N2396" s="12">
        <v>6.2666614037991134E-2</v>
      </c>
      <c r="O2396" s="12">
        <v>1.7269542377546299E-3</v>
      </c>
      <c r="P2396" s="12">
        <v>1.9339667905167958E-4</v>
      </c>
      <c r="Q2396" t="s">
        <v>26</v>
      </c>
    </row>
    <row r="2397" spans="1:17" hidden="1" x14ac:dyDescent="0.25">
      <c r="A2397" s="7" t="s">
        <v>182</v>
      </c>
      <c r="B2397" s="7" t="s">
        <v>18</v>
      </c>
      <c r="C2397" s="7" t="s">
        <v>19</v>
      </c>
      <c r="D2397" s="7" t="s">
        <v>20</v>
      </c>
      <c r="E2397" s="7" t="s">
        <v>21</v>
      </c>
      <c r="F2397" s="7" t="s">
        <v>209</v>
      </c>
      <c r="G2397" s="7" t="s">
        <v>66</v>
      </c>
      <c r="H2397" s="7" t="s">
        <v>26</v>
      </c>
      <c r="I2397" s="7" t="s">
        <v>190</v>
      </c>
      <c r="J2397" s="12">
        <v>0.80135756241720046</v>
      </c>
      <c r="K2397" s="12">
        <v>0.59602236241720052</v>
      </c>
      <c r="L2397" s="12">
        <v>9.3406643807761355E-2</v>
      </c>
      <c r="M2397" s="12">
        <v>5.7440601328871583</v>
      </c>
      <c r="N2397" s="12">
        <v>6.9677673764159813</v>
      </c>
      <c r="O2397" s="12">
        <v>0.37475014561466513</v>
      </c>
      <c r="P2397" s="12">
        <v>0.2250401304500978</v>
      </c>
      <c r="Q2397" t="s">
        <v>26</v>
      </c>
    </row>
    <row r="2398" spans="1:17" hidden="1" x14ac:dyDescent="0.25">
      <c r="A2398" s="7" t="s">
        <v>182</v>
      </c>
      <c r="B2398" s="7" t="s">
        <v>18</v>
      </c>
      <c r="C2398" s="7" t="s">
        <v>19</v>
      </c>
      <c r="D2398" s="7" t="s">
        <v>20</v>
      </c>
      <c r="E2398" s="7" t="s">
        <v>21</v>
      </c>
      <c r="F2398" s="7" t="s">
        <v>209</v>
      </c>
      <c r="G2398" s="7" t="s">
        <v>66</v>
      </c>
      <c r="H2398" s="7" t="s">
        <v>26</v>
      </c>
      <c r="I2398" s="7" t="s">
        <v>210</v>
      </c>
      <c r="J2398" s="12">
        <v>1.7200048000000001</v>
      </c>
      <c r="K2398" s="12">
        <v>1.1313643502958579</v>
      </c>
      <c r="L2398" s="12">
        <v>0.4704714818840236</v>
      </c>
      <c r="M2398" s="12">
        <v>4.5049939999999999</v>
      </c>
      <c r="N2398" s="12">
        <v>5.3712900000000001</v>
      </c>
      <c r="O2398" s="12">
        <v>7.3375967904725616E-3</v>
      </c>
      <c r="P2398" s="12">
        <v>2.1978579881656808E-2</v>
      </c>
      <c r="Q2398" t="s">
        <v>26</v>
      </c>
    </row>
    <row r="2399" spans="1:17" hidden="1" x14ac:dyDescent="0.25">
      <c r="A2399" s="7" t="s">
        <v>182</v>
      </c>
      <c r="B2399" s="7" t="s">
        <v>18</v>
      </c>
      <c r="C2399" s="7" t="s">
        <v>19</v>
      </c>
      <c r="D2399" s="7" t="s">
        <v>20</v>
      </c>
      <c r="E2399" s="7" t="s">
        <v>21</v>
      </c>
      <c r="F2399" s="7" t="s">
        <v>209</v>
      </c>
      <c r="G2399" s="7" t="s">
        <v>66</v>
      </c>
      <c r="H2399" s="7" t="s">
        <v>26</v>
      </c>
      <c r="I2399" s="7" t="s">
        <v>184</v>
      </c>
      <c r="J2399" s="12">
        <v>350.82656380200001</v>
      </c>
      <c r="K2399" s="12">
        <v>228.36568247052429</v>
      </c>
      <c r="L2399" s="12">
        <v>2.0964494331304899</v>
      </c>
      <c r="M2399" s="12">
        <v>1.9454443980000002</v>
      </c>
      <c r="N2399" s="12">
        <v>13.536902639999999</v>
      </c>
      <c r="O2399" s="12">
        <v>7.9630767814469067E-2</v>
      </c>
      <c r="P2399" s="12">
        <v>0.24775015855029589</v>
      </c>
      <c r="Q2399" t="s">
        <v>26</v>
      </c>
    </row>
    <row r="2400" spans="1:17" hidden="1" x14ac:dyDescent="0.25">
      <c r="A2400" s="7" t="s">
        <v>182</v>
      </c>
      <c r="B2400" s="7" t="s">
        <v>18</v>
      </c>
      <c r="C2400" s="7" t="s">
        <v>19</v>
      </c>
      <c r="D2400" s="7" t="s">
        <v>20</v>
      </c>
      <c r="E2400" s="7" t="s">
        <v>21</v>
      </c>
      <c r="F2400" s="7" t="s">
        <v>209</v>
      </c>
      <c r="G2400" s="7" t="s">
        <v>66</v>
      </c>
      <c r="H2400" s="7" t="s">
        <v>26</v>
      </c>
      <c r="I2400" s="7" t="s">
        <v>193</v>
      </c>
      <c r="J2400" s="12">
        <v>1.5542686205840095E-2</v>
      </c>
      <c r="K2400" s="12">
        <v>8.6988520283253004E-3</v>
      </c>
      <c r="L2400" s="12">
        <v>5.1871346425449452E-2</v>
      </c>
      <c r="M2400" s="12">
        <v>0.11375821504876099</v>
      </c>
      <c r="N2400" s="12">
        <v>0.30219135598111996</v>
      </c>
      <c r="O2400" s="12">
        <v>4.7741900013886741E-3</v>
      </c>
      <c r="P2400" s="12">
        <v>7.3030914710059177E-3</v>
      </c>
      <c r="Q2400" t="s">
        <v>26</v>
      </c>
    </row>
    <row r="2401" spans="1:17" hidden="1" x14ac:dyDescent="0.25">
      <c r="A2401" s="7" t="s">
        <v>182</v>
      </c>
      <c r="B2401" s="7" t="s">
        <v>18</v>
      </c>
      <c r="C2401" s="7" t="s">
        <v>19</v>
      </c>
      <c r="D2401" s="7" t="s">
        <v>20</v>
      </c>
      <c r="E2401" s="7" t="s">
        <v>21</v>
      </c>
      <c r="F2401" s="7" t="s">
        <v>209</v>
      </c>
      <c r="G2401" s="7" t="s">
        <v>66</v>
      </c>
      <c r="H2401" s="7" t="s">
        <v>26</v>
      </c>
      <c r="I2401" s="7" t="s">
        <v>195</v>
      </c>
      <c r="J2401" s="12">
        <v>0.16096000000000002</v>
      </c>
      <c r="K2401" s="12">
        <v>0.10400800000000002</v>
      </c>
      <c r="L2401" s="12">
        <v>2.7000000000000001E-3</v>
      </c>
      <c r="M2401" s="12">
        <v>0.37280000000000002</v>
      </c>
      <c r="N2401" s="12">
        <v>0.44390000000000002</v>
      </c>
      <c r="O2401" s="12">
        <v>29.687317696000001</v>
      </c>
      <c r="P2401" s="12">
        <v>1.43E-2</v>
      </c>
      <c r="Q2401" t="s">
        <v>26</v>
      </c>
    </row>
    <row r="2402" spans="1:17" hidden="1" x14ac:dyDescent="0.25">
      <c r="A2402" s="7" t="s">
        <v>182</v>
      </c>
      <c r="B2402" s="7" t="s">
        <v>18</v>
      </c>
      <c r="C2402" s="7" t="s">
        <v>19</v>
      </c>
      <c r="D2402" s="7" t="s">
        <v>20</v>
      </c>
      <c r="E2402" s="7" t="s">
        <v>21</v>
      </c>
      <c r="F2402" s="7" t="s">
        <v>209</v>
      </c>
      <c r="G2402" s="7" t="s">
        <v>66</v>
      </c>
      <c r="H2402" s="7" t="s">
        <v>26</v>
      </c>
      <c r="I2402" s="7" t="s">
        <v>196</v>
      </c>
      <c r="J2402" s="12">
        <v>2.3826600904982609</v>
      </c>
      <c r="K2402" s="12">
        <v>1.9185216998118704</v>
      </c>
      <c r="L2402" s="12">
        <v>0.13739175006481075</v>
      </c>
      <c r="M2402" s="12">
        <v>8.9775307349793252</v>
      </c>
      <c r="N2402" s="12">
        <v>11.516713424135629</v>
      </c>
      <c r="O2402" s="12">
        <v>94.955229741912149</v>
      </c>
      <c r="P2402" s="12">
        <v>0.30940071275780867</v>
      </c>
      <c r="Q2402" t="s">
        <v>26</v>
      </c>
    </row>
    <row r="2403" spans="1:17" hidden="1" x14ac:dyDescent="0.25">
      <c r="A2403" s="7" t="s">
        <v>182</v>
      </c>
      <c r="B2403" s="7" t="s">
        <v>18</v>
      </c>
      <c r="C2403" s="7" t="s">
        <v>19</v>
      </c>
      <c r="D2403" s="7" t="s">
        <v>20</v>
      </c>
      <c r="E2403" s="7" t="s">
        <v>21</v>
      </c>
      <c r="F2403" s="7" t="s">
        <v>209</v>
      </c>
      <c r="G2403" s="7" t="s">
        <v>66</v>
      </c>
      <c r="H2403" s="7" t="s">
        <v>26</v>
      </c>
      <c r="I2403" s="7" t="s">
        <v>197</v>
      </c>
      <c r="J2403" s="12">
        <v>20.274534389656946</v>
      </c>
      <c r="K2403" s="12">
        <v>11.206094544585111</v>
      </c>
      <c r="L2403" s="12">
        <v>1.8562405503199292E-2</v>
      </c>
      <c r="M2403" s="12">
        <v>0.15883865216650239</v>
      </c>
      <c r="N2403" s="12">
        <v>0.25621187741432799</v>
      </c>
      <c r="O2403" s="12">
        <v>407.60935239051094</v>
      </c>
      <c r="P2403" s="12">
        <v>6.4207666844660893E-3</v>
      </c>
      <c r="Q2403" t="s">
        <v>26</v>
      </c>
    </row>
    <row r="2404" spans="1:17" hidden="1" x14ac:dyDescent="0.25">
      <c r="A2404" s="7" t="s">
        <v>182</v>
      </c>
      <c r="B2404" s="7" t="s">
        <v>18</v>
      </c>
      <c r="C2404" s="7" t="s">
        <v>19</v>
      </c>
      <c r="D2404" s="7" t="s">
        <v>20</v>
      </c>
      <c r="E2404" s="7" t="s">
        <v>21</v>
      </c>
      <c r="F2404" s="7" t="s">
        <v>209</v>
      </c>
      <c r="G2404" s="7" t="s">
        <v>66</v>
      </c>
      <c r="H2404" s="7" t="s">
        <v>26</v>
      </c>
      <c r="I2404" s="7" t="s">
        <v>198</v>
      </c>
      <c r="J2404" s="12">
        <v>50.250216339520001</v>
      </c>
      <c r="K2404" s="12">
        <v>29.83643268543932</v>
      </c>
      <c r="L2404" s="12">
        <v>0.22257095781570302</v>
      </c>
      <c r="M2404" s="12">
        <v>14.264813505599999</v>
      </c>
      <c r="N2404" s="12">
        <v>1.6108464012013974</v>
      </c>
      <c r="O2404" s="12">
        <v>63.557943558548665</v>
      </c>
      <c r="P2404" s="12">
        <v>5.7551087103425325E-2</v>
      </c>
      <c r="Q2404" t="s">
        <v>26</v>
      </c>
    </row>
    <row r="2405" spans="1:17" hidden="1" x14ac:dyDescent="0.25">
      <c r="A2405" s="7" t="s">
        <v>182</v>
      </c>
      <c r="B2405" s="7" t="s">
        <v>18</v>
      </c>
      <c r="C2405" s="7" t="s">
        <v>19</v>
      </c>
      <c r="D2405" s="7" t="s">
        <v>20</v>
      </c>
      <c r="E2405" s="7" t="s">
        <v>21</v>
      </c>
      <c r="F2405" s="7" t="s">
        <v>209</v>
      </c>
      <c r="G2405" s="7" t="s">
        <v>66</v>
      </c>
      <c r="H2405" s="7" t="s">
        <v>26</v>
      </c>
      <c r="I2405" s="7" t="s">
        <v>185</v>
      </c>
      <c r="J2405" s="12">
        <v>1.6333016906334477</v>
      </c>
      <c r="K2405" s="12">
        <v>0.95250317406540019</v>
      </c>
      <c r="L2405" s="12">
        <v>2.945063672348282E-3</v>
      </c>
      <c r="M2405" s="12">
        <v>1.7316172517621391</v>
      </c>
      <c r="N2405" s="12">
        <v>2.9757504108812571</v>
      </c>
      <c r="O2405" s="12">
        <v>10.847871973149024</v>
      </c>
      <c r="P2405" s="12">
        <v>4.9058489977493146E-3</v>
      </c>
      <c r="Q2405" t="s">
        <v>26</v>
      </c>
    </row>
    <row r="2406" spans="1:17" hidden="1" x14ac:dyDescent="0.25">
      <c r="A2406" s="7" t="s">
        <v>182</v>
      </c>
      <c r="B2406" s="7" t="s">
        <v>18</v>
      </c>
      <c r="C2406" s="7" t="s">
        <v>19</v>
      </c>
      <c r="D2406" s="7" t="s">
        <v>20</v>
      </c>
      <c r="E2406" s="7" t="s">
        <v>21</v>
      </c>
      <c r="F2406" s="7" t="s">
        <v>211</v>
      </c>
      <c r="G2406" s="7" t="s">
        <v>74</v>
      </c>
      <c r="H2406" s="7" t="s">
        <v>26</v>
      </c>
      <c r="I2406" s="7" t="s">
        <v>198</v>
      </c>
      <c r="J2406" s="12">
        <v>38.237675425759996</v>
      </c>
      <c r="K2406" s="12">
        <v>22.927482519777932</v>
      </c>
      <c r="L2406" s="12">
        <v>0.18266084733727811</v>
      </c>
      <c r="M2406" s="12">
        <v>0.16077959999999999</v>
      </c>
      <c r="N2406" s="12">
        <v>0.64311839999999998</v>
      </c>
      <c r="O2406" s="12">
        <v>6.4375263905325436E-3</v>
      </c>
      <c r="P2406" s="12">
        <v>2.5718393609467458E-2</v>
      </c>
      <c r="Q2406" t="s">
        <v>26</v>
      </c>
    </row>
    <row r="2407" spans="1:17" hidden="1" x14ac:dyDescent="0.25">
      <c r="A2407" s="7" t="s">
        <v>182</v>
      </c>
      <c r="B2407" s="7" t="s">
        <v>18</v>
      </c>
      <c r="C2407" s="7" t="s">
        <v>19</v>
      </c>
      <c r="D2407" s="7" t="s">
        <v>20</v>
      </c>
      <c r="E2407" s="7" t="s">
        <v>21</v>
      </c>
      <c r="F2407" s="7" t="s">
        <v>212</v>
      </c>
      <c r="G2407" s="7" t="s">
        <v>76</v>
      </c>
      <c r="H2407" s="7" t="s">
        <v>26</v>
      </c>
      <c r="I2407" s="7" t="s">
        <v>187</v>
      </c>
      <c r="J2407" s="12">
        <v>11.764308092868308</v>
      </c>
      <c r="K2407" s="12">
        <v>9.0434823101749338</v>
      </c>
      <c r="L2407" s="12">
        <v>8.8532480042820591E-2</v>
      </c>
      <c r="M2407" s="12">
        <v>4.44530478946323</v>
      </c>
      <c r="N2407" s="12">
        <v>6.0664979846385849</v>
      </c>
      <c r="O2407" s="12">
        <v>109.77062313005213</v>
      </c>
      <c r="P2407" s="12">
        <v>0.15510539439356621</v>
      </c>
      <c r="Q2407" t="s">
        <v>26</v>
      </c>
    </row>
    <row r="2408" spans="1:17" hidden="1" x14ac:dyDescent="0.25">
      <c r="A2408" s="7" t="s">
        <v>182</v>
      </c>
      <c r="B2408" s="7" t="s">
        <v>18</v>
      </c>
      <c r="C2408" s="7" t="s">
        <v>19</v>
      </c>
      <c r="D2408" s="7" t="s">
        <v>20</v>
      </c>
      <c r="E2408" s="7" t="s">
        <v>21</v>
      </c>
      <c r="F2408" s="7" t="s">
        <v>212</v>
      </c>
      <c r="G2408" s="7" t="s">
        <v>76</v>
      </c>
      <c r="H2408" s="7" t="s">
        <v>26</v>
      </c>
      <c r="I2408" s="7" t="s">
        <v>190</v>
      </c>
      <c r="J2408" s="12">
        <v>21.84547750350437</v>
      </c>
      <c r="K2408" s="12">
        <v>7.6207253431458541</v>
      </c>
      <c r="L2408" s="12">
        <v>0.23923850819976183</v>
      </c>
      <c r="M2408" s="12">
        <v>31.737956246884995</v>
      </c>
      <c r="N2408" s="12">
        <v>38.081478189554254</v>
      </c>
      <c r="O2408" s="12">
        <v>2.0666751500431539</v>
      </c>
      <c r="P2408" s="12">
        <v>1.1963090809737209</v>
      </c>
      <c r="Q2408" t="s">
        <v>26</v>
      </c>
    </row>
    <row r="2409" spans="1:17" hidden="1" x14ac:dyDescent="0.25">
      <c r="A2409" s="7" t="s">
        <v>182</v>
      </c>
      <c r="B2409" s="7" t="s">
        <v>18</v>
      </c>
      <c r="C2409" s="7" t="s">
        <v>19</v>
      </c>
      <c r="D2409" s="7" t="s">
        <v>20</v>
      </c>
      <c r="E2409" s="7" t="s">
        <v>21</v>
      </c>
      <c r="F2409" s="7" t="s">
        <v>212</v>
      </c>
      <c r="G2409" s="7" t="s">
        <v>76</v>
      </c>
      <c r="H2409" s="7" t="s">
        <v>26</v>
      </c>
      <c r="I2409" s="7" t="s">
        <v>194</v>
      </c>
      <c r="J2409" s="12">
        <v>1.4023500611995103E-2</v>
      </c>
      <c r="K2409" s="12">
        <v>1.4023500611995103E-2</v>
      </c>
      <c r="L2409" s="12">
        <v>8.9999999999999998E-4</v>
      </c>
      <c r="M2409" s="12">
        <v>0.12859999999999999</v>
      </c>
      <c r="N2409" s="12">
        <v>0.1532</v>
      </c>
      <c r="O2409" s="12">
        <v>8.3999999999999995E-3</v>
      </c>
      <c r="P2409" s="12">
        <v>4.8999999999999998E-3</v>
      </c>
      <c r="Q2409" t="s">
        <v>26</v>
      </c>
    </row>
    <row r="2410" spans="1:17" hidden="1" x14ac:dyDescent="0.25">
      <c r="A2410" s="7" t="s">
        <v>182</v>
      </c>
      <c r="B2410" s="7" t="s">
        <v>18</v>
      </c>
      <c r="C2410" s="7" t="s">
        <v>19</v>
      </c>
      <c r="D2410" s="7" t="s">
        <v>20</v>
      </c>
      <c r="E2410" s="7" t="s">
        <v>21</v>
      </c>
      <c r="F2410" s="7" t="s">
        <v>212</v>
      </c>
      <c r="G2410" s="7" t="s">
        <v>76</v>
      </c>
      <c r="H2410" s="7" t="s">
        <v>26</v>
      </c>
      <c r="I2410" s="7" t="s">
        <v>196</v>
      </c>
      <c r="J2410" s="12">
        <v>12.096593215202738</v>
      </c>
      <c r="K2410" s="12">
        <v>9.1856247805956368</v>
      </c>
      <c r="L2410" s="12">
        <v>0.2617645747317266</v>
      </c>
      <c r="M2410" s="12">
        <v>17.233988203860431</v>
      </c>
      <c r="N2410" s="12">
        <v>22.384168811343951</v>
      </c>
      <c r="O2410" s="12">
        <v>34.491175381720652</v>
      </c>
      <c r="P2410" s="12">
        <v>0.54490001315789571</v>
      </c>
      <c r="Q2410" t="s">
        <v>26</v>
      </c>
    </row>
    <row r="2411" spans="1:17" hidden="1" x14ac:dyDescent="0.25">
      <c r="A2411" s="7" t="s">
        <v>182</v>
      </c>
      <c r="B2411" s="7" t="s">
        <v>18</v>
      </c>
      <c r="C2411" s="7" t="s">
        <v>19</v>
      </c>
      <c r="D2411" s="7" t="s">
        <v>20</v>
      </c>
      <c r="E2411" s="7" t="s">
        <v>21</v>
      </c>
      <c r="F2411" s="7" t="s">
        <v>212</v>
      </c>
      <c r="G2411" s="7" t="s">
        <v>76</v>
      </c>
      <c r="H2411" s="7" t="s">
        <v>26</v>
      </c>
      <c r="I2411" s="7" t="s">
        <v>197</v>
      </c>
      <c r="J2411" s="12">
        <v>1.4393787962452369</v>
      </c>
      <c r="K2411" s="12">
        <v>0.92596309199523708</v>
      </c>
      <c r="L2411" s="12">
        <v>2.0997532413956372E-2</v>
      </c>
      <c r="M2411" s="12">
        <v>53.27659368679069</v>
      </c>
      <c r="N2411" s="12">
        <v>3.4993825416244246</v>
      </c>
      <c r="O2411" s="12">
        <v>513.81433930361402</v>
      </c>
      <c r="P2411" s="12">
        <v>0.10994956142168558</v>
      </c>
      <c r="Q2411" t="s">
        <v>26</v>
      </c>
    </row>
    <row r="2412" spans="1:17" hidden="1" x14ac:dyDescent="0.25">
      <c r="A2412" s="7" t="s">
        <v>182</v>
      </c>
      <c r="B2412" s="7" t="s">
        <v>18</v>
      </c>
      <c r="C2412" s="7" t="s">
        <v>19</v>
      </c>
      <c r="D2412" s="7" t="s">
        <v>20</v>
      </c>
      <c r="E2412" s="7" t="s">
        <v>21</v>
      </c>
      <c r="F2412" s="7" t="s">
        <v>212</v>
      </c>
      <c r="G2412" s="7" t="s">
        <v>76</v>
      </c>
      <c r="H2412" s="7" t="s">
        <v>26</v>
      </c>
      <c r="I2412" s="7" t="s">
        <v>198</v>
      </c>
      <c r="J2412" s="12">
        <v>66.149564720894645</v>
      </c>
      <c r="K2412" s="12">
        <v>39.93924919897195</v>
      </c>
      <c r="L2412" s="12">
        <v>0.28151597096155923</v>
      </c>
      <c r="M2412" s="12">
        <v>1.2847068180167576</v>
      </c>
      <c r="N2412" s="12">
        <v>2.2178965631500978</v>
      </c>
      <c r="O2412" s="12">
        <v>8.6575339048865771</v>
      </c>
      <c r="P2412" s="12">
        <v>7.7744478759392235E-2</v>
      </c>
      <c r="Q2412" t="s">
        <v>26</v>
      </c>
    </row>
    <row r="2413" spans="1:17" hidden="1" x14ac:dyDescent="0.25">
      <c r="A2413" s="7" t="s">
        <v>182</v>
      </c>
      <c r="B2413" s="7" t="s">
        <v>18</v>
      </c>
      <c r="C2413" s="7" t="s">
        <v>19</v>
      </c>
      <c r="D2413" s="7" t="s">
        <v>20</v>
      </c>
      <c r="E2413" s="7" t="s">
        <v>21</v>
      </c>
      <c r="F2413" s="7" t="s">
        <v>212</v>
      </c>
      <c r="G2413" s="7" t="s">
        <v>76</v>
      </c>
      <c r="H2413" s="7" t="s">
        <v>26</v>
      </c>
      <c r="I2413" s="7" t="s">
        <v>199</v>
      </c>
      <c r="J2413" s="12">
        <v>1.2000000000000002E-4</v>
      </c>
      <c r="K2413" s="12">
        <v>3.0059171597633135E-5</v>
      </c>
      <c r="L2413" s="12">
        <v>6.8165680473372778E-4</v>
      </c>
      <c r="M2413" s="12">
        <v>6.0000000000000006E-4</v>
      </c>
      <c r="N2413" s="12">
        <v>2.4000000000000002E-3</v>
      </c>
      <c r="O2413" s="12">
        <v>2.4023668639053254E-5</v>
      </c>
      <c r="P2413" s="12">
        <v>9.5976331360946756E-5</v>
      </c>
      <c r="Q2413" t="s">
        <v>26</v>
      </c>
    </row>
    <row r="2414" spans="1:17" hidden="1" x14ac:dyDescent="0.25">
      <c r="A2414" s="7" t="s">
        <v>182</v>
      </c>
      <c r="B2414" s="7" t="s">
        <v>18</v>
      </c>
      <c r="C2414" s="7" t="s">
        <v>19</v>
      </c>
      <c r="D2414" s="7" t="s">
        <v>20</v>
      </c>
      <c r="E2414" s="7" t="s">
        <v>21</v>
      </c>
      <c r="F2414" s="7" t="s">
        <v>212</v>
      </c>
      <c r="G2414" s="7" t="s">
        <v>76</v>
      </c>
      <c r="H2414" s="7" t="s">
        <v>26</v>
      </c>
      <c r="I2414" s="7" t="s">
        <v>200</v>
      </c>
      <c r="J2414" s="12">
        <v>0.42409221333058972</v>
      </c>
      <c r="K2414" s="12">
        <v>0.42327573049035305</v>
      </c>
      <c r="L2414" s="12">
        <v>3.9042399737980397E-2</v>
      </c>
      <c r="M2414" s="12">
        <v>4.676246754704497</v>
      </c>
      <c r="N2414" s="12">
        <v>5.6338526694285349</v>
      </c>
      <c r="O2414" s="12">
        <v>10.50606810594069</v>
      </c>
      <c r="P2414" s="12">
        <v>0.1757822580194999</v>
      </c>
      <c r="Q2414" t="s">
        <v>26</v>
      </c>
    </row>
    <row r="2415" spans="1:17" hidden="1" x14ac:dyDescent="0.25">
      <c r="A2415" s="7" t="s">
        <v>182</v>
      </c>
      <c r="B2415" s="7" t="s">
        <v>18</v>
      </c>
      <c r="C2415" s="7" t="s">
        <v>19</v>
      </c>
      <c r="D2415" s="7" t="s">
        <v>20</v>
      </c>
      <c r="E2415" s="7" t="s">
        <v>21</v>
      </c>
      <c r="F2415" s="7" t="s">
        <v>212</v>
      </c>
      <c r="G2415" s="7" t="s">
        <v>76</v>
      </c>
      <c r="H2415" s="7" t="s">
        <v>26</v>
      </c>
      <c r="I2415" s="7" t="s">
        <v>185</v>
      </c>
      <c r="J2415" s="12">
        <v>1.8286992712884771</v>
      </c>
      <c r="K2415" s="12">
        <v>1.4495092805991279</v>
      </c>
      <c r="L2415" s="12">
        <v>5.2876679807755511E-2</v>
      </c>
      <c r="M2415" s="12">
        <v>2.6385180552088801</v>
      </c>
      <c r="N2415" s="12">
        <v>3.7933235653642856</v>
      </c>
      <c r="O2415" s="12">
        <v>86.873064450803639</v>
      </c>
      <c r="P2415" s="12">
        <v>6.8180340207352391E-2</v>
      </c>
      <c r="Q2415" t="s">
        <v>26</v>
      </c>
    </row>
    <row r="2416" spans="1:17" hidden="1" x14ac:dyDescent="0.25">
      <c r="A2416" s="7" t="s">
        <v>182</v>
      </c>
      <c r="B2416" s="7" t="s">
        <v>18</v>
      </c>
      <c r="C2416" s="7" t="s">
        <v>19</v>
      </c>
      <c r="D2416" s="7" t="s">
        <v>20</v>
      </c>
      <c r="E2416" s="7" t="s">
        <v>21</v>
      </c>
      <c r="F2416" s="7" t="s">
        <v>213</v>
      </c>
      <c r="G2416" s="7" t="s">
        <v>86</v>
      </c>
      <c r="H2416" s="7" t="s">
        <v>26</v>
      </c>
      <c r="I2416" s="7" t="s">
        <v>193</v>
      </c>
      <c r="J2416" s="12">
        <v>3.5479001039999999E-4</v>
      </c>
      <c r="K2416" s="12">
        <v>3.5479001039999999E-4</v>
      </c>
      <c r="L2416" s="12">
        <v>1.8410724864000001E-7</v>
      </c>
      <c r="M2416" s="12">
        <v>3.7684452456000004E-3</v>
      </c>
      <c r="N2416" s="12">
        <v>6.6163542479999995E-3</v>
      </c>
      <c r="O2416" s="12">
        <v>1.6302731246271653E-4</v>
      </c>
      <c r="P2416" s="12">
        <v>0</v>
      </c>
      <c r="Q2416" t="s">
        <v>26</v>
      </c>
    </row>
    <row r="2417" spans="1:17" hidden="1" x14ac:dyDescent="0.25">
      <c r="A2417" s="7" t="s">
        <v>182</v>
      </c>
      <c r="B2417" s="7" t="s">
        <v>18</v>
      </c>
      <c r="C2417" s="7" t="s">
        <v>19</v>
      </c>
      <c r="D2417" s="7" t="s">
        <v>20</v>
      </c>
      <c r="E2417" s="7" t="s">
        <v>21</v>
      </c>
      <c r="F2417" s="7" t="s">
        <v>213</v>
      </c>
      <c r="G2417" s="7" t="s">
        <v>86</v>
      </c>
      <c r="H2417" s="7" t="s">
        <v>26</v>
      </c>
      <c r="I2417" s="7" t="s">
        <v>195</v>
      </c>
      <c r="J2417" s="12">
        <v>9.3637843627063511E-3</v>
      </c>
      <c r="K2417" s="12">
        <v>7.1375689780909662E-3</v>
      </c>
      <c r="L2417" s="12">
        <v>1.6874650195579332E-2</v>
      </c>
      <c r="M2417" s="12">
        <v>8.2762365291065343E-2</v>
      </c>
      <c r="N2417" s="12">
        <v>0.17863767351828369</v>
      </c>
      <c r="O2417" s="12">
        <v>3.5325165215608317E-3</v>
      </c>
      <c r="P2417" s="12">
        <v>2.3756061538461539E-3</v>
      </c>
      <c r="Q2417" t="s">
        <v>26</v>
      </c>
    </row>
    <row r="2418" spans="1:17" hidden="1" x14ac:dyDescent="0.25">
      <c r="A2418" s="7" t="s">
        <v>182</v>
      </c>
      <c r="B2418" s="7" t="s">
        <v>18</v>
      </c>
      <c r="C2418" s="7" t="s">
        <v>19</v>
      </c>
      <c r="D2418" s="7" t="s">
        <v>20</v>
      </c>
      <c r="E2418" s="7" t="s">
        <v>21</v>
      </c>
      <c r="F2418" s="7" t="s">
        <v>213</v>
      </c>
      <c r="G2418" s="7" t="s">
        <v>86</v>
      </c>
      <c r="H2418" s="7" t="s">
        <v>26</v>
      </c>
      <c r="I2418" s="7" t="s">
        <v>196</v>
      </c>
      <c r="J2418" s="12">
        <v>9.6082902391592366</v>
      </c>
      <c r="K2418" s="12">
        <v>7.1055291837424299</v>
      </c>
      <c r="L2418" s="12">
        <v>1.5355963932450574E-2</v>
      </c>
      <c r="M2418" s="12">
        <v>1.9705011940055834</v>
      </c>
      <c r="N2418" s="12">
        <v>2.3598001785557536</v>
      </c>
      <c r="O2418" s="12">
        <v>28.126660719382393</v>
      </c>
      <c r="P2418" s="12">
        <v>7.469175466603227E-2</v>
      </c>
      <c r="Q2418" t="s">
        <v>26</v>
      </c>
    </row>
    <row r="2419" spans="1:17" hidden="1" x14ac:dyDescent="0.25">
      <c r="A2419" s="7" t="s">
        <v>182</v>
      </c>
      <c r="B2419" s="7" t="s">
        <v>18</v>
      </c>
      <c r="C2419" s="7" t="s">
        <v>19</v>
      </c>
      <c r="D2419" s="7" t="s">
        <v>20</v>
      </c>
      <c r="E2419" s="7" t="s">
        <v>21</v>
      </c>
      <c r="F2419" s="7" t="s">
        <v>213</v>
      </c>
      <c r="G2419" s="7" t="s">
        <v>86</v>
      </c>
      <c r="H2419" s="7" t="s">
        <v>26</v>
      </c>
      <c r="I2419" s="7" t="s">
        <v>198</v>
      </c>
      <c r="J2419" s="12">
        <v>102.14213371631428</v>
      </c>
      <c r="K2419" s="12">
        <v>73.475772497585936</v>
      </c>
      <c r="L2419" s="12">
        <v>0.99042599930069586</v>
      </c>
      <c r="M2419" s="12">
        <v>97.638025847069372</v>
      </c>
      <c r="N2419" s="12">
        <v>120.67583498409451</v>
      </c>
      <c r="O2419" s="12">
        <v>11.08649745658453</v>
      </c>
      <c r="P2419" s="12">
        <v>3.7483043076645455</v>
      </c>
      <c r="Q2419" t="s">
        <v>26</v>
      </c>
    </row>
    <row r="2420" spans="1:17" hidden="1" x14ac:dyDescent="0.25">
      <c r="A2420" s="7" t="s">
        <v>182</v>
      </c>
      <c r="B2420" s="7" t="s">
        <v>18</v>
      </c>
      <c r="C2420" s="7" t="s">
        <v>19</v>
      </c>
      <c r="D2420" s="7"/>
      <c r="E2420" s="7"/>
      <c r="F2420" s="7" t="s">
        <v>214</v>
      </c>
      <c r="G2420" s="7" t="s">
        <v>88</v>
      </c>
      <c r="H2420" s="7" t="s">
        <v>26</v>
      </c>
      <c r="I2420" s="7" t="s">
        <v>184</v>
      </c>
      <c r="J2420" s="12">
        <v>372.11541573422051</v>
      </c>
      <c r="K2420" s="12">
        <v>224.71180598401929</v>
      </c>
      <c r="L2420" s="12">
        <v>333.77838120761703</v>
      </c>
      <c r="M2420" s="12">
        <v>2.6320409648288976</v>
      </c>
      <c r="N2420" s="12">
        <v>65.169230678707223</v>
      </c>
      <c r="O2420" s="12">
        <v>7.4826302174692022E-2</v>
      </c>
      <c r="P2420" s="12">
        <v>8.0525933532973368E-2</v>
      </c>
      <c r="Q2420" t="s">
        <v>26</v>
      </c>
    </row>
    <row r="2421" spans="1:17" hidden="1" x14ac:dyDescent="0.25">
      <c r="A2421" s="7" t="s">
        <v>182</v>
      </c>
      <c r="B2421" s="7" t="s">
        <v>18</v>
      </c>
      <c r="C2421" s="7" t="s">
        <v>19</v>
      </c>
      <c r="D2421" s="7"/>
      <c r="E2421" s="7"/>
      <c r="F2421" s="7" t="s">
        <v>214</v>
      </c>
      <c r="G2421" s="7" t="s">
        <v>88</v>
      </c>
      <c r="H2421" s="7" t="s">
        <v>26</v>
      </c>
      <c r="I2421" s="7" t="s">
        <v>198</v>
      </c>
      <c r="J2421" s="12">
        <v>33.675785305200002</v>
      </c>
      <c r="K2421" s="12">
        <v>20.351720811164494</v>
      </c>
      <c r="L2421" s="12">
        <v>0.13806563900591715</v>
      </c>
      <c r="M2421" s="12">
        <v>0.12152652600000001</v>
      </c>
      <c r="N2421" s="12">
        <v>0.48610610400000004</v>
      </c>
      <c r="O2421" s="12">
        <v>4.865854985798816E-3</v>
      </c>
      <c r="P2421" s="12">
        <v>1.9439450214201185E-2</v>
      </c>
      <c r="Q2421" t="s">
        <v>26</v>
      </c>
    </row>
    <row r="2422" spans="1:17" hidden="1" x14ac:dyDescent="0.25">
      <c r="A2422" s="7" t="s">
        <v>182</v>
      </c>
      <c r="B2422" s="7" t="s">
        <v>18</v>
      </c>
      <c r="C2422" s="7" t="s">
        <v>19</v>
      </c>
      <c r="D2422" s="7"/>
      <c r="E2422" s="7"/>
      <c r="F2422" s="7" t="s">
        <v>215</v>
      </c>
      <c r="G2422" s="7" t="s">
        <v>90</v>
      </c>
      <c r="H2422" s="7" t="s">
        <v>26</v>
      </c>
      <c r="I2422" s="7" t="s">
        <v>187</v>
      </c>
      <c r="J2422" s="12">
        <v>1.2667637048</v>
      </c>
      <c r="K2422" s="12">
        <v>0.94513646330000001</v>
      </c>
      <c r="L2422" s="12">
        <v>4.8193131916799995E-3</v>
      </c>
      <c r="M2422" s="12">
        <v>0.66030426720000013</v>
      </c>
      <c r="N2422" s="12">
        <v>1.204628976</v>
      </c>
      <c r="O2422" s="12">
        <v>7.2263542480413374</v>
      </c>
      <c r="P2422" s="12">
        <v>0</v>
      </c>
      <c r="Q2422" t="s">
        <v>26</v>
      </c>
    </row>
    <row r="2423" spans="1:17" hidden="1" x14ac:dyDescent="0.25">
      <c r="A2423" s="7" t="s">
        <v>182</v>
      </c>
      <c r="B2423" s="7" t="s">
        <v>18</v>
      </c>
      <c r="C2423" s="7" t="s">
        <v>19</v>
      </c>
      <c r="D2423" s="7"/>
      <c r="E2423" s="7"/>
      <c r="F2423" s="7" t="s">
        <v>215</v>
      </c>
      <c r="G2423" s="7" t="s">
        <v>90</v>
      </c>
      <c r="H2423" s="7" t="s">
        <v>26</v>
      </c>
      <c r="I2423" s="7" t="s">
        <v>190</v>
      </c>
      <c r="J2423" s="12">
        <v>2.9120572316831184</v>
      </c>
      <c r="K2423" s="12">
        <v>2.000516090483119</v>
      </c>
      <c r="L2423" s="12">
        <v>0.95785802876064119</v>
      </c>
      <c r="M2423" s="12">
        <v>10.252343570224653</v>
      </c>
      <c r="N2423" s="12">
        <v>26.202282070770131</v>
      </c>
      <c r="O2423" s="12">
        <v>1.2691929830541038</v>
      </c>
      <c r="P2423" s="12">
        <v>5.199577330774572E-2</v>
      </c>
      <c r="Q2423" t="s">
        <v>26</v>
      </c>
    </row>
    <row r="2424" spans="1:17" hidden="1" x14ac:dyDescent="0.25">
      <c r="A2424" s="7" t="s">
        <v>182</v>
      </c>
      <c r="B2424" s="7" t="s">
        <v>18</v>
      </c>
      <c r="C2424" s="7" t="s">
        <v>19</v>
      </c>
      <c r="D2424" s="7"/>
      <c r="E2424" s="7"/>
      <c r="F2424" s="7" t="s">
        <v>215</v>
      </c>
      <c r="G2424" s="7" t="s">
        <v>90</v>
      </c>
      <c r="H2424" s="7" t="s">
        <v>26</v>
      </c>
      <c r="I2424" s="7" t="s">
        <v>195</v>
      </c>
      <c r="J2424" s="12">
        <v>4.1936160000000007E-3</v>
      </c>
      <c r="K2424" s="12">
        <v>1.9636231005917162E-3</v>
      </c>
      <c r="L2424" s="12">
        <v>1.6901631034168051E-2</v>
      </c>
      <c r="M2424" s="12">
        <v>2.7817104000000002E-2</v>
      </c>
      <c r="N2424" s="12">
        <v>8.2225919999999994E-2</v>
      </c>
      <c r="O2424" s="12">
        <v>1.1554727056059064E-3</v>
      </c>
      <c r="P2424" s="12">
        <v>2.3796371597633137E-3</v>
      </c>
      <c r="Q2424" t="s">
        <v>26</v>
      </c>
    </row>
    <row r="2425" spans="1:17" hidden="1" x14ac:dyDescent="0.25">
      <c r="A2425" s="7" t="s">
        <v>182</v>
      </c>
      <c r="B2425" s="7" t="s">
        <v>18</v>
      </c>
      <c r="C2425" s="7" t="s">
        <v>19</v>
      </c>
      <c r="D2425" s="7"/>
      <c r="E2425" s="7"/>
      <c r="F2425" s="7" t="s">
        <v>215</v>
      </c>
      <c r="G2425" s="7" t="s">
        <v>90</v>
      </c>
      <c r="H2425" s="7" t="s">
        <v>26</v>
      </c>
      <c r="I2425" s="7" t="s">
        <v>198</v>
      </c>
      <c r="J2425" s="12">
        <v>4.2196992009600001</v>
      </c>
      <c r="K2425" s="12">
        <v>2.5883303338146653</v>
      </c>
      <c r="L2425" s="12">
        <v>6.6732837869822481E-2</v>
      </c>
      <c r="M2425" s="12">
        <v>5.8738800000000001E-2</v>
      </c>
      <c r="N2425" s="12">
        <v>0.2349552</v>
      </c>
      <c r="O2425" s="12">
        <v>2.351869112426035E-3</v>
      </c>
      <c r="P2425" s="12">
        <v>9.3958908875739645E-3</v>
      </c>
      <c r="Q2425" t="s">
        <v>26</v>
      </c>
    </row>
    <row r="2426" spans="1:17" hidden="1" x14ac:dyDescent="0.25">
      <c r="A2426" s="7" t="s">
        <v>182</v>
      </c>
      <c r="B2426" s="7" t="s">
        <v>18</v>
      </c>
      <c r="C2426" s="7" t="s">
        <v>19</v>
      </c>
      <c r="D2426" s="7"/>
      <c r="E2426" s="7"/>
      <c r="F2426" s="7" t="s">
        <v>215</v>
      </c>
      <c r="G2426" s="7" t="s">
        <v>90</v>
      </c>
      <c r="H2426" s="7" t="s">
        <v>26</v>
      </c>
      <c r="I2426" s="7" t="s">
        <v>199</v>
      </c>
      <c r="J2426" s="12">
        <v>4.7907485600000001E-2</v>
      </c>
      <c r="K2426" s="12">
        <v>3.4264220452071004E-2</v>
      </c>
      <c r="L2426" s="12">
        <v>2.8686319494816562E-4</v>
      </c>
      <c r="M2426" s="12">
        <v>1.1864678400000002E-2</v>
      </c>
      <c r="N2426" s="12">
        <v>2.1396671999999995E-2</v>
      </c>
      <c r="O2426" s="12">
        <v>1.1756434678783232</v>
      </c>
      <c r="P2426" s="12">
        <v>4.0310059171597633E-5</v>
      </c>
      <c r="Q2426" t="s">
        <v>26</v>
      </c>
    </row>
    <row r="2427" spans="1:17" hidden="1" x14ac:dyDescent="0.25">
      <c r="A2427" s="7" t="s">
        <v>182</v>
      </c>
      <c r="B2427" s="7" t="s">
        <v>18</v>
      </c>
      <c r="C2427" s="7" t="s">
        <v>19</v>
      </c>
      <c r="D2427" s="7"/>
      <c r="E2427" s="7"/>
      <c r="F2427" s="7" t="s">
        <v>216</v>
      </c>
      <c r="G2427" s="7" t="s">
        <v>92</v>
      </c>
      <c r="H2427" s="7" t="s">
        <v>26</v>
      </c>
      <c r="I2427" s="7" t="s">
        <v>190</v>
      </c>
      <c r="J2427" s="12">
        <v>3.0000000000000004E-5</v>
      </c>
      <c r="K2427" s="12">
        <v>7.5147928994082836E-6</v>
      </c>
      <c r="L2427" s="12">
        <v>1.7041420118343195E-4</v>
      </c>
      <c r="M2427" s="12">
        <v>1.5000000000000001E-4</v>
      </c>
      <c r="N2427" s="12">
        <v>6.0000000000000006E-4</v>
      </c>
      <c r="O2427" s="12">
        <v>6.0059171597633135E-6</v>
      </c>
      <c r="P2427" s="12">
        <v>2.3994082840236689E-5</v>
      </c>
      <c r="Q2427" t="s">
        <v>26</v>
      </c>
    </row>
    <row r="2428" spans="1:17" hidden="1" x14ac:dyDescent="0.25">
      <c r="A2428" s="7" t="s">
        <v>182</v>
      </c>
      <c r="B2428" s="7" t="s">
        <v>18</v>
      </c>
      <c r="C2428" s="7" t="s">
        <v>19</v>
      </c>
      <c r="D2428" s="7"/>
      <c r="E2428" s="7"/>
      <c r="F2428" s="7" t="s">
        <v>217</v>
      </c>
      <c r="G2428" s="7" t="s">
        <v>98</v>
      </c>
      <c r="H2428" s="7" t="s">
        <v>26</v>
      </c>
      <c r="I2428" s="7" t="s">
        <v>184</v>
      </c>
      <c r="J2428" s="12">
        <v>3.0544500000000001</v>
      </c>
      <c r="K2428" s="12">
        <v>2.8413000000000004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t="s">
        <v>26</v>
      </c>
    </row>
    <row r="2429" spans="1:17" hidden="1" x14ac:dyDescent="0.25">
      <c r="A2429" s="7" t="s">
        <v>182</v>
      </c>
      <c r="B2429" s="7" t="s">
        <v>18</v>
      </c>
      <c r="C2429" s="7" t="s">
        <v>19</v>
      </c>
      <c r="D2429" s="7"/>
      <c r="E2429" s="7"/>
      <c r="F2429" s="7" t="s">
        <v>218</v>
      </c>
      <c r="G2429" s="7" t="s">
        <v>100</v>
      </c>
      <c r="H2429" s="7" t="s">
        <v>26</v>
      </c>
      <c r="I2429" s="7" t="s">
        <v>190</v>
      </c>
      <c r="J2429" s="12">
        <v>1.7677403099951996</v>
      </c>
      <c r="K2429" s="12">
        <v>1.1630294250744897</v>
      </c>
      <c r="L2429" s="12">
        <v>31.122037005073235</v>
      </c>
      <c r="M2429" s="12">
        <v>0.65389392480000019</v>
      </c>
      <c r="N2429" s="12">
        <v>3.5830899840000008</v>
      </c>
      <c r="O2429" s="12">
        <v>3.1573859088449667E-2</v>
      </c>
      <c r="P2429" s="12">
        <v>4.3486027408284028E-2</v>
      </c>
      <c r="Q2429" t="s">
        <v>26</v>
      </c>
    </row>
    <row r="2430" spans="1:17" hidden="1" x14ac:dyDescent="0.25">
      <c r="A2430" s="7" t="s">
        <v>182</v>
      </c>
      <c r="B2430" s="7" t="s">
        <v>18</v>
      </c>
      <c r="C2430" s="7" t="s">
        <v>19</v>
      </c>
      <c r="D2430" s="7"/>
      <c r="E2430" s="7"/>
      <c r="F2430" s="7" t="s">
        <v>218</v>
      </c>
      <c r="G2430" s="7" t="s">
        <v>100</v>
      </c>
      <c r="H2430" s="7" t="s">
        <v>26</v>
      </c>
      <c r="I2430" s="7" t="s">
        <v>196</v>
      </c>
      <c r="J2430" s="12">
        <v>5.6297424269909108E-2</v>
      </c>
      <c r="K2430" s="12">
        <v>5.6297424269909108E-2</v>
      </c>
      <c r="L2430" s="12">
        <v>2.0084703628223015E-5</v>
      </c>
      <c r="M2430" s="12">
        <v>0.5979818811230837</v>
      </c>
      <c r="N2430" s="12">
        <v>1.0498877127581017</v>
      </c>
      <c r="O2430" s="12">
        <v>2.5869098273151238E-2</v>
      </c>
      <c r="P2430" s="12">
        <v>0</v>
      </c>
      <c r="Q2430" t="s">
        <v>26</v>
      </c>
    </row>
    <row r="2431" spans="1:17" hidden="1" x14ac:dyDescent="0.25">
      <c r="A2431" s="7" t="s">
        <v>182</v>
      </c>
      <c r="B2431" s="7" t="s">
        <v>18</v>
      </c>
      <c r="C2431" s="7" t="s">
        <v>19</v>
      </c>
      <c r="D2431" s="7"/>
      <c r="E2431" s="7"/>
      <c r="F2431" s="7" t="s">
        <v>218</v>
      </c>
      <c r="G2431" s="7" t="s">
        <v>100</v>
      </c>
      <c r="H2431" s="7" t="s">
        <v>26</v>
      </c>
      <c r="I2431" s="7" t="s">
        <v>198</v>
      </c>
      <c r="J2431" s="12">
        <v>9.0906146505599992</v>
      </c>
      <c r="K2431" s="12">
        <v>5.4549526303447484</v>
      </c>
      <c r="L2431" s="12">
        <v>5.4855649704142015E-2</v>
      </c>
      <c r="M2431" s="12">
        <v>4.8284400000000005E-2</v>
      </c>
      <c r="N2431" s="12">
        <v>0.19313760000000002</v>
      </c>
      <c r="O2431" s="12">
        <v>1.9332807100591715E-3</v>
      </c>
      <c r="P2431" s="12">
        <v>7.7235992899408294E-3</v>
      </c>
      <c r="Q2431" t="s">
        <v>26</v>
      </c>
    </row>
    <row r="2432" spans="1:17" hidden="1" x14ac:dyDescent="0.25">
      <c r="A2432" s="7" t="s">
        <v>182</v>
      </c>
      <c r="B2432" s="7" t="s">
        <v>18</v>
      </c>
      <c r="C2432" s="7" t="s">
        <v>19</v>
      </c>
      <c r="D2432" s="7"/>
      <c r="E2432" s="7"/>
      <c r="F2432" s="7" t="s">
        <v>218</v>
      </c>
      <c r="G2432" s="7" t="s">
        <v>100</v>
      </c>
      <c r="H2432" s="7" t="s">
        <v>26</v>
      </c>
      <c r="I2432" s="7" t="s">
        <v>185</v>
      </c>
      <c r="J2432" s="12">
        <v>0.38452898079999998</v>
      </c>
      <c r="K2432" s="12">
        <v>0.29052468079999999</v>
      </c>
      <c r="L2432" s="12">
        <v>3.1874273280000002E-5</v>
      </c>
      <c r="M2432" s="12">
        <v>0.65242653120000016</v>
      </c>
      <c r="N2432" s="12">
        <v>1.145481696</v>
      </c>
      <c r="O2432" s="12">
        <v>0.19969072850974748</v>
      </c>
      <c r="P2432" s="12">
        <v>0</v>
      </c>
      <c r="Q2432" t="s">
        <v>26</v>
      </c>
    </row>
    <row r="2433" spans="1:17" hidden="1" x14ac:dyDescent="0.25">
      <c r="A2433" s="7" t="s">
        <v>182</v>
      </c>
      <c r="B2433" s="7" t="s">
        <v>18</v>
      </c>
      <c r="C2433" s="7" t="s">
        <v>19</v>
      </c>
      <c r="D2433" s="7" t="s">
        <v>20</v>
      </c>
      <c r="E2433" s="7" t="s">
        <v>21</v>
      </c>
      <c r="F2433" s="7" t="s">
        <v>219</v>
      </c>
      <c r="G2433" s="7" t="s">
        <v>21</v>
      </c>
      <c r="H2433" s="7" t="s">
        <v>26</v>
      </c>
      <c r="I2433" s="7" t="s">
        <v>187</v>
      </c>
      <c r="J2433" s="12">
        <v>0.19938419999999996</v>
      </c>
      <c r="K2433" s="12">
        <v>0.15123809999999999</v>
      </c>
      <c r="L2433" s="12">
        <v>2.6999999999999997E-3</v>
      </c>
      <c r="M2433" s="12">
        <v>0.374</v>
      </c>
      <c r="N2433" s="12">
        <v>1.3575000000000002</v>
      </c>
      <c r="O2433" s="12">
        <v>2.4500000000000001E-2</v>
      </c>
      <c r="P2433" s="12">
        <v>1.43E-2</v>
      </c>
      <c r="Q2433" t="s">
        <v>26</v>
      </c>
    </row>
    <row r="2434" spans="1:17" hidden="1" x14ac:dyDescent="0.25">
      <c r="A2434" s="7" t="s">
        <v>182</v>
      </c>
      <c r="B2434" s="7" t="s">
        <v>18</v>
      </c>
      <c r="C2434" s="7" t="s">
        <v>19</v>
      </c>
      <c r="D2434" s="7" t="s">
        <v>20</v>
      </c>
      <c r="E2434" s="7" t="s">
        <v>21</v>
      </c>
      <c r="F2434" s="7" t="s">
        <v>219</v>
      </c>
      <c r="G2434" s="7" t="s">
        <v>21</v>
      </c>
      <c r="H2434" s="7" t="s">
        <v>26</v>
      </c>
      <c r="I2434" s="7" t="s">
        <v>190</v>
      </c>
      <c r="J2434" s="12">
        <v>17.505772437913677</v>
      </c>
      <c r="K2434" s="12">
        <v>6.3140302510616095</v>
      </c>
      <c r="L2434" s="12">
        <v>0.15670443879440227</v>
      </c>
      <c r="M2434" s="12">
        <v>20.831448851528567</v>
      </c>
      <c r="N2434" s="12">
        <v>25.44899504735141</v>
      </c>
      <c r="O2434" s="12">
        <v>1.3310896359610274</v>
      </c>
      <c r="P2434" s="12">
        <v>0.7518035492647388</v>
      </c>
      <c r="Q2434" t="s">
        <v>26</v>
      </c>
    </row>
    <row r="2435" spans="1:17" hidden="1" x14ac:dyDescent="0.25">
      <c r="A2435" s="7" t="s">
        <v>182</v>
      </c>
      <c r="B2435" s="7" t="s">
        <v>18</v>
      </c>
      <c r="C2435" s="7" t="s">
        <v>19</v>
      </c>
      <c r="D2435" s="7" t="s">
        <v>20</v>
      </c>
      <c r="E2435" s="7" t="s">
        <v>21</v>
      </c>
      <c r="F2435" s="7" t="s">
        <v>219</v>
      </c>
      <c r="G2435" s="7" t="s">
        <v>21</v>
      </c>
      <c r="H2435" s="7" t="s">
        <v>26</v>
      </c>
      <c r="I2435" s="7" t="s">
        <v>191</v>
      </c>
      <c r="J2435" s="12">
        <v>3.834651848609076E-5</v>
      </c>
      <c r="K2435" s="12">
        <v>1.6442329136978329E-5</v>
      </c>
      <c r="L2435" s="12">
        <v>1.6673383863334605E-4</v>
      </c>
      <c r="M2435" s="12">
        <v>2.4692596694191109E-4</v>
      </c>
      <c r="N2435" s="12">
        <v>7.0449290445158473E-4</v>
      </c>
      <c r="O2435" s="12">
        <v>0.61471244779465362</v>
      </c>
      <c r="P2435" s="12">
        <v>2.7224481248029592E-5</v>
      </c>
      <c r="Q2435" t="s">
        <v>137</v>
      </c>
    </row>
    <row r="2436" spans="1:17" hidden="1" x14ac:dyDescent="0.25">
      <c r="A2436" s="7" t="s">
        <v>182</v>
      </c>
      <c r="B2436" s="7" t="s">
        <v>18</v>
      </c>
      <c r="C2436" s="7" t="s">
        <v>19</v>
      </c>
      <c r="D2436" s="7" t="s">
        <v>20</v>
      </c>
      <c r="E2436" s="7" t="s">
        <v>21</v>
      </c>
      <c r="F2436" s="7" t="s">
        <v>219</v>
      </c>
      <c r="G2436" s="7" t="s">
        <v>21</v>
      </c>
      <c r="H2436" s="7" t="s">
        <v>26</v>
      </c>
      <c r="I2436" s="7" t="s">
        <v>210</v>
      </c>
      <c r="J2436" s="12">
        <v>5.5476000000000009E-6</v>
      </c>
      <c r="K2436" s="12">
        <v>1.3896355029585798E-6</v>
      </c>
      <c r="L2436" s="12">
        <v>3.1512994082840234E-5</v>
      </c>
      <c r="M2436" s="12">
        <v>2.7738000000000001E-5</v>
      </c>
      <c r="N2436" s="12">
        <v>1.10952E-4</v>
      </c>
      <c r="O2436" s="12">
        <v>1.1106142011834319E-6</v>
      </c>
      <c r="P2436" s="12">
        <v>4.4369857988165681E-6</v>
      </c>
      <c r="Q2436" t="s">
        <v>26</v>
      </c>
    </row>
    <row r="2437" spans="1:17" hidden="1" x14ac:dyDescent="0.25">
      <c r="A2437" s="7" t="s">
        <v>182</v>
      </c>
      <c r="B2437" s="7" t="s">
        <v>18</v>
      </c>
      <c r="C2437" s="7" t="s">
        <v>19</v>
      </c>
      <c r="D2437" s="7" t="s">
        <v>20</v>
      </c>
      <c r="E2437" s="7" t="s">
        <v>21</v>
      </c>
      <c r="F2437" s="7" t="s">
        <v>219</v>
      </c>
      <c r="G2437" s="7" t="s">
        <v>21</v>
      </c>
      <c r="H2437" s="7" t="s">
        <v>26</v>
      </c>
      <c r="I2437" s="7" t="s">
        <v>192</v>
      </c>
      <c r="J2437" s="12">
        <v>0</v>
      </c>
      <c r="K2437" s="12">
        <v>0</v>
      </c>
      <c r="L2437" s="12">
        <v>0</v>
      </c>
      <c r="M2437" s="12">
        <v>0</v>
      </c>
      <c r="N2437" s="12">
        <v>0</v>
      </c>
      <c r="O2437" s="12">
        <v>0.23799999999999999</v>
      </c>
      <c r="P2437" s="12">
        <v>0</v>
      </c>
      <c r="Q2437" t="s">
        <v>26</v>
      </c>
    </row>
    <row r="2438" spans="1:17" hidden="1" x14ac:dyDescent="0.25">
      <c r="A2438" s="7" t="s">
        <v>182</v>
      </c>
      <c r="B2438" s="7" t="s">
        <v>18</v>
      </c>
      <c r="C2438" s="7" t="s">
        <v>19</v>
      </c>
      <c r="D2438" s="7" t="s">
        <v>20</v>
      </c>
      <c r="E2438" s="7" t="s">
        <v>21</v>
      </c>
      <c r="F2438" s="7" t="s">
        <v>219</v>
      </c>
      <c r="G2438" s="7" t="s">
        <v>21</v>
      </c>
      <c r="H2438" s="7" t="s">
        <v>26</v>
      </c>
      <c r="I2438" s="7" t="s">
        <v>194</v>
      </c>
      <c r="J2438" s="12">
        <v>4.2282095747173204E-2</v>
      </c>
      <c r="K2438" s="12">
        <v>4.0240438942439477E-2</v>
      </c>
      <c r="L2438" s="12">
        <v>1.8609647656035413E-2</v>
      </c>
      <c r="M2438" s="12">
        <v>0.45076721802387298</v>
      </c>
      <c r="N2438" s="12">
        <v>0.5748697755558243</v>
      </c>
      <c r="O2438" s="12">
        <v>9.9354808472167794E-2</v>
      </c>
      <c r="P2438" s="12">
        <v>1.8876690620735027E-2</v>
      </c>
      <c r="Q2438" t="s">
        <v>26</v>
      </c>
    </row>
    <row r="2439" spans="1:17" hidden="1" x14ac:dyDescent="0.25">
      <c r="A2439" s="7" t="s">
        <v>182</v>
      </c>
      <c r="B2439" s="7" t="s">
        <v>18</v>
      </c>
      <c r="C2439" s="7" t="s">
        <v>19</v>
      </c>
      <c r="D2439" s="7" t="s">
        <v>20</v>
      </c>
      <c r="E2439" s="7" t="s">
        <v>21</v>
      </c>
      <c r="F2439" s="7" t="s">
        <v>219</v>
      </c>
      <c r="G2439" s="7" t="s">
        <v>21</v>
      </c>
      <c r="H2439" s="7" t="s">
        <v>26</v>
      </c>
      <c r="I2439" s="7" t="s">
        <v>195</v>
      </c>
      <c r="J2439" s="12">
        <v>0.42595035999999997</v>
      </c>
      <c r="K2439" s="12">
        <v>0.30200461088757397</v>
      </c>
      <c r="L2439" s="12">
        <v>2.4062485207100589E-4</v>
      </c>
      <c r="M2439" s="12">
        <v>2.118E-4</v>
      </c>
      <c r="N2439" s="12">
        <v>8.4719999999999999E-4</v>
      </c>
      <c r="O2439" s="12">
        <v>9.2008480355029579E-2</v>
      </c>
      <c r="P2439" s="12">
        <v>3.3879644970414206E-5</v>
      </c>
      <c r="Q2439" t="s">
        <v>26</v>
      </c>
    </row>
    <row r="2440" spans="1:17" hidden="1" x14ac:dyDescent="0.25">
      <c r="A2440" s="7" t="s">
        <v>182</v>
      </c>
      <c r="B2440" s="7" t="s">
        <v>18</v>
      </c>
      <c r="C2440" s="7" t="s">
        <v>19</v>
      </c>
      <c r="D2440" s="7" t="s">
        <v>20</v>
      </c>
      <c r="E2440" s="7" t="s">
        <v>21</v>
      </c>
      <c r="F2440" s="7" t="s">
        <v>219</v>
      </c>
      <c r="G2440" s="7" t="s">
        <v>21</v>
      </c>
      <c r="H2440" s="7" t="s">
        <v>26</v>
      </c>
      <c r="I2440" s="7" t="s">
        <v>196</v>
      </c>
      <c r="J2440" s="12">
        <v>9.8172981152502601</v>
      </c>
      <c r="K2440" s="12">
        <v>9.8035536152502605</v>
      </c>
      <c r="L2440" s="12">
        <v>0.79147838882736055</v>
      </c>
      <c r="M2440" s="12">
        <v>104.32228443898676</v>
      </c>
      <c r="N2440" s="12">
        <v>124.2560809069127</v>
      </c>
      <c r="O2440" s="12">
        <v>15.374210970866754</v>
      </c>
      <c r="P2440" s="12">
        <v>3.9796509919710275</v>
      </c>
      <c r="Q2440" t="s">
        <v>26</v>
      </c>
    </row>
    <row r="2441" spans="1:17" hidden="1" x14ac:dyDescent="0.25">
      <c r="A2441" s="7" t="s">
        <v>182</v>
      </c>
      <c r="B2441" s="7" t="s">
        <v>18</v>
      </c>
      <c r="C2441" s="7" t="s">
        <v>19</v>
      </c>
      <c r="D2441" s="7" t="s">
        <v>20</v>
      </c>
      <c r="E2441" s="7" t="s">
        <v>21</v>
      </c>
      <c r="F2441" s="7" t="s">
        <v>219</v>
      </c>
      <c r="G2441" s="7" t="s">
        <v>21</v>
      </c>
      <c r="H2441" s="7" t="s">
        <v>26</v>
      </c>
      <c r="I2441" s="7" t="s">
        <v>197</v>
      </c>
      <c r="J2441" s="12">
        <v>8.6646620109392981E-3</v>
      </c>
      <c r="K2441" s="12">
        <v>8.6646620109392981E-3</v>
      </c>
      <c r="L2441" s="12">
        <v>6.8690644592981904E-4</v>
      </c>
      <c r="M2441" s="12">
        <v>9.5751143265532926E-2</v>
      </c>
      <c r="N2441" s="12">
        <v>0.11398429155837182</v>
      </c>
      <c r="O2441" s="12">
        <v>1.8867331149453246</v>
      </c>
      <c r="P2441" s="12">
        <v>3.6574755498192993E-3</v>
      </c>
      <c r="Q2441" t="s">
        <v>26</v>
      </c>
    </row>
    <row r="2442" spans="1:17" hidden="1" x14ac:dyDescent="0.25">
      <c r="A2442" s="7" t="s">
        <v>182</v>
      </c>
      <c r="B2442" s="7" t="s">
        <v>18</v>
      </c>
      <c r="C2442" s="7" t="s">
        <v>19</v>
      </c>
      <c r="D2442" s="7" t="s">
        <v>20</v>
      </c>
      <c r="E2442" s="7" t="s">
        <v>21</v>
      </c>
      <c r="F2442" s="7" t="s">
        <v>219</v>
      </c>
      <c r="G2442" s="7" t="s">
        <v>21</v>
      </c>
      <c r="H2442" s="7" t="s">
        <v>26</v>
      </c>
      <c r="I2442" s="7" t="s">
        <v>198</v>
      </c>
      <c r="J2442" s="12">
        <v>282.64090661482027</v>
      </c>
      <c r="K2442" s="12">
        <v>169.89883106735107</v>
      </c>
      <c r="L2442" s="12">
        <v>1.1352518383939176</v>
      </c>
      <c r="M2442" s="12">
        <v>23.757550580705669</v>
      </c>
      <c r="N2442" s="12">
        <v>30.975506303785203</v>
      </c>
      <c r="O2442" s="12">
        <v>3.2888974413516894</v>
      </c>
      <c r="P2442" s="12">
        <v>0.99274927491493026</v>
      </c>
      <c r="Q2442" t="s">
        <v>26</v>
      </c>
    </row>
    <row r="2443" spans="1:17" hidden="1" x14ac:dyDescent="0.25">
      <c r="A2443" s="7" t="s">
        <v>182</v>
      </c>
      <c r="B2443" s="7" t="s">
        <v>18</v>
      </c>
      <c r="C2443" s="7" t="s">
        <v>19</v>
      </c>
      <c r="D2443" s="7" t="s">
        <v>20</v>
      </c>
      <c r="E2443" s="7" t="s">
        <v>21</v>
      </c>
      <c r="F2443" s="7" t="s">
        <v>219</v>
      </c>
      <c r="G2443" s="7" t="s">
        <v>21</v>
      </c>
      <c r="H2443" s="7" t="s">
        <v>26</v>
      </c>
      <c r="I2443" s="7" t="s">
        <v>199</v>
      </c>
      <c r="J2443" s="12">
        <v>1.03047192E-2</v>
      </c>
      <c r="K2443" s="12">
        <v>2.991180738461538E-3</v>
      </c>
      <c r="L2443" s="12">
        <v>5.5429206883643077E-2</v>
      </c>
      <c r="M2443" s="12">
        <v>5.4598168799999999E-2</v>
      </c>
      <c r="N2443" s="12">
        <v>0.20535530399999999</v>
      </c>
      <c r="O2443" s="12">
        <v>2.2047959959100548E-3</v>
      </c>
      <c r="P2443" s="12">
        <v>7.8043153846153856E-3</v>
      </c>
      <c r="Q2443" t="s">
        <v>26</v>
      </c>
    </row>
    <row r="2444" spans="1:17" hidden="1" x14ac:dyDescent="0.25">
      <c r="A2444" s="7" t="s">
        <v>182</v>
      </c>
      <c r="B2444" s="7" t="s">
        <v>18</v>
      </c>
      <c r="C2444" s="7" t="s">
        <v>19</v>
      </c>
      <c r="D2444" s="7" t="s">
        <v>20</v>
      </c>
      <c r="E2444" s="7" t="s">
        <v>21</v>
      </c>
      <c r="F2444" s="7" t="s">
        <v>219</v>
      </c>
      <c r="G2444" s="7" t="s">
        <v>21</v>
      </c>
      <c r="H2444" s="7" t="s">
        <v>26</v>
      </c>
      <c r="I2444" s="7" t="s">
        <v>200</v>
      </c>
      <c r="J2444" s="12">
        <v>0.2342961327223527</v>
      </c>
      <c r="K2444" s="12">
        <v>0.2342961327223527</v>
      </c>
      <c r="L2444" s="12">
        <v>1.8005074451007536E-2</v>
      </c>
      <c r="M2444" s="12">
        <v>2.586056606921483</v>
      </c>
      <c r="N2444" s="12">
        <v>3.1218196854072904</v>
      </c>
      <c r="O2444" s="12">
        <v>22.118226565378638</v>
      </c>
      <c r="P2444" s="12">
        <v>9.5854270058688559E-2</v>
      </c>
      <c r="Q2444" t="s">
        <v>26</v>
      </c>
    </row>
    <row r="2445" spans="1:17" hidden="1" x14ac:dyDescent="0.25">
      <c r="A2445" s="7" t="s">
        <v>182</v>
      </c>
      <c r="B2445" s="7" t="s">
        <v>18</v>
      </c>
      <c r="C2445" s="7" t="s">
        <v>19</v>
      </c>
      <c r="D2445" s="7" t="s">
        <v>20</v>
      </c>
      <c r="E2445" s="7" t="s">
        <v>21</v>
      </c>
      <c r="F2445" s="7" t="s">
        <v>219</v>
      </c>
      <c r="G2445" s="7" t="s">
        <v>21</v>
      </c>
      <c r="H2445" s="7" t="s">
        <v>26</v>
      </c>
      <c r="I2445" s="7" t="s">
        <v>185</v>
      </c>
      <c r="J2445" s="12">
        <v>1.9094601840000001E-3</v>
      </c>
      <c r="K2445" s="12">
        <v>1.9094601840000001E-3</v>
      </c>
      <c r="L2445" s="12">
        <v>9.9085501440000007E-7</v>
      </c>
      <c r="M2445" s="12">
        <v>2.0281563576E-2</v>
      </c>
      <c r="N2445" s="12">
        <v>3.5608852079999996E-2</v>
      </c>
      <c r="O2445" s="12">
        <v>51.564741239965528</v>
      </c>
      <c r="P2445" s="12">
        <v>0</v>
      </c>
      <c r="Q2445" t="s">
        <v>26</v>
      </c>
    </row>
    <row r="2446" spans="1:17" hidden="1" x14ac:dyDescent="0.25">
      <c r="A2446" s="7" t="s">
        <v>182</v>
      </c>
      <c r="B2446" s="7" t="s">
        <v>18</v>
      </c>
      <c r="C2446" s="7" t="s">
        <v>19</v>
      </c>
      <c r="D2446" s="7" t="s">
        <v>20</v>
      </c>
      <c r="E2446" s="7" t="s">
        <v>21</v>
      </c>
      <c r="F2446" s="7" t="s">
        <v>220</v>
      </c>
      <c r="G2446" s="7" t="s">
        <v>105</v>
      </c>
      <c r="H2446" s="7" t="s">
        <v>26</v>
      </c>
      <c r="I2446" s="7" t="s">
        <v>196</v>
      </c>
      <c r="J2446" s="12">
        <v>0.20440177831706985</v>
      </c>
      <c r="K2446" s="12">
        <v>0.17272162819162604</v>
      </c>
      <c r="L2446" s="12">
        <v>3.9690070615264139E-2</v>
      </c>
      <c r="M2446" s="12">
        <v>1.0185208351713806</v>
      </c>
      <c r="N2446" s="12">
        <v>1.3833080633034225</v>
      </c>
      <c r="O2446" s="12">
        <v>4.3664705492505078</v>
      </c>
      <c r="P2446" s="12">
        <v>3.6604938908181901E-2</v>
      </c>
      <c r="Q2446" t="s">
        <v>26</v>
      </c>
    </row>
    <row r="2447" spans="1:17" hidden="1" x14ac:dyDescent="0.25">
      <c r="A2447" s="7" t="s">
        <v>182</v>
      </c>
      <c r="B2447" s="7" t="s">
        <v>18</v>
      </c>
      <c r="C2447" s="7" t="s">
        <v>19</v>
      </c>
      <c r="D2447" s="7" t="s">
        <v>20</v>
      </c>
      <c r="E2447" s="7" t="s">
        <v>21</v>
      </c>
      <c r="F2447" s="7" t="s">
        <v>220</v>
      </c>
      <c r="G2447" s="7" t="s">
        <v>105</v>
      </c>
      <c r="H2447" s="7" t="s">
        <v>26</v>
      </c>
      <c r="I2447" s="7" t="s">
        <v>197</v>
      </c>
      <c r="J2447" s="12">
        <v>0.11879685501865365</v>
      </c>
      <c r="K2447" s="12">
        <v>0.11789951537368323</v>
      </c>
      <c r="L2447" s="12">
        <v>1.612380796038787E-2</v>
      </c>
      <c r="M2447" s="12">
        <v>1.3055519039370131</v>
      </c>
      <c r="N2447" s="12">
        <v>1.5709767313684777</v>
      </c>
      <c r="O2447" s="12">
        <v>8.5290866074835048E-2</v>
      </c>
      <c r="P2447" s="12">
        <v>5.0598005313010945E-2</v>
      </c>
      <c r="Q2447" t="s">
        <v>26</v>
      </c>
    </row>
    <row r="2448" spans="1:17" hidden="1" x14ac:dyDescent="0.25">
      <c r="A2448" s="7" t="s">
        <v>182</v>
      </c>
      <c r="B2448" s="7" t="s">
        <v>18</v>
      </c>
      <c r="C2448" s="7" t="s">
        <v>19</v>
      </c>
      <c r="D2448" s="7" t="s">
        <v>20</v>
      </c>
      <c r="E2448" s="7" t="s">
        <v>21</v>
      </c>
      <c r="F2448" s="7" t="s">
        <v>220</v>
      </c>
      <c r="G2448" s="7" t="s">
        <v>105</v>
      </c>
      <c r="H2448" s="7" t="s">
        <v>26</v>
      </c>
      <c r="I2448" s="7" t="s">
        <v>198</v>
      </c>
      <c r="J2448" s="12">
        <v>1.2230350930338585</v>
      </c>
      <c r="K2448" s="12">
        <v>0.69743879303385836</v>
      </c>
      <c r="L2448" s="12">
        <v>0.23039853826381265</v>
      </c>
      <c r="M2448" s="12">
        <v>2.9704674632652597</v>
      </c>
      <c r="N2448" s="12">
        <v>5.9822784449045194</v>
      </c>
      <c r="O2448" s="12">
        <v>0.35797931580019571</v>
      </c>
      <c r="P2448" s="12">
        <v>8.5282374911510458E-2</v>
      </c>
      <c r="Q2448" t="s">
        <v>26</v>
      </c>
    </row>
    <row r="2449" spans="1:17" hidden="1" x14ac:dyDescent="0.25">
      <c r="A2449" s="7" t="s">
        <v>182</v>
      </c>
      <c r="B2449" s="7" t="s">
        <v>18</v>
      </c>
      <c r="C2449" s="7" t="s">
        <v>19</v>
      </c>
      <c r="D2449" s="7" t="s">
        <v>20</v>
      </c>
      <c r="E2449" s="7" t="s">
        <v>21</v>
      </c>
      <c r="F2449" s="7" t="s">
        <v>220</v>
      </c>
      <c r="G2449" s="7" t="s">
        <v>105</v>
      </c>
      <c r="H2449" s="7" t="s">
        <v>26</v>
      </c>
      <c r="I2449" s="7" t="s">
        <v>199</v>
      </c>
      <c r="J2449" s="12">
        <v>4.3336641563566586E-3</v>
      </c>
      <c r="K2449" s="12">
        <v>3.5139434462974867E-3</v>
      </c>
      <c r="L2449" s="12">
        <v>6.3387773894949201E-3</v>
      </c>
      <c r="M2449" s="12">
        <v>4.0560542405468469E-2</v>
      </c>
      <c r="N2449" s="12">
        <v>7.3612391644644573E-2</v>
      </c>
      <c r="O2449" s="12">
        <v>2.124547882757343E-3</v>
      </c>
      <c r="P2449" s="12">
        <v>1.5418752117764443E-3</v>
      </c>
      <c r="Q2449" t="s">
        <v>26</v>
      </c>
    </row>
    <row r="2450" spans="1:17" hidden="1" x14ac:dyDescent="0.25">
      <c r="A2450" s="7" t="s">
        <v>182</v>
      </c>
      <c r="B2450" s="7" t="s">
        <v>18</v>
      </c>
      <c r="C2450" s="7" t="s">
        <v>19</v>
      </c>
      <c r="D2450" s="7" t="s">
        <v>20</v>
      </c>
      <c r="E2450" s="7" t="s">
        <v>21</v>
      </c>
      <c r="F2450" s="7" t="s">
        <v>220</v>
      </c>
      <c r="G2450" s="7" t="s">
        <v>105</v>
      </c>
      <c r="H2450" s="7" t="s">
        <v>26</v>
      </c>
      <c r="I2450" s="7" t="s">
        <v>185</v>
      </c>
      <c r="J2450" s="12">
        <v>2.0314740320566873E-3</v>
      </c>
      <c r="K2450" s="12">
        <v>1.6213528486247347E-3</v>
      </c>
      <c r="L2450" s="12">
        <v>3.2259562711754661E-3</v>
      </c>
      <c r="M2450" s="12">
        <v>1.9138436060787776E-2</v>
      </c>
      <c r="N2450" s="12">
        <v>3.0469656292361858E-2</v>
      </c>
      <c r="O2450" s="12">
        <v>21.636734770821025</v>
      </c>
      <c r="P2450" s="12">
        <v>1.064180457697127E-3</v>
      </c>
      <c r="Q2450" t="s">
        <v>26</v>
      </c>
    </row>
    <row r="2451" spans="1:17" hidden="1" x14ac:dyDescent="0.25">
      <c r="A2451" s="7" t="s">
        <v>182</v>
      </c>
      <c r="B2451" s="7" t="s">
        <v>18</v>
      </c>
      <c r="C2451" s="7" t="s">
        <v>19</v>
      </c>
      <c r="D2451" s="7"/>
      <c r="E2451" s="7"/>
      <c r="F2451" s="7" t="s">
        <v>221</v>
      </c>
      <c r="G2451" s="7" t="s">
        <v>111</v>
      </c>
      <c r="H2451" s="7" t="s">
        <v>26</v>
      </c>
      <c r="I2451" s="7" t="s">
        <v>187</v>
      </c>
      <c r="J2451" s="12">
        <v>6.1947745897200006</v>
      </c>
      <c r="K2451" s="12">
        <v>5.9631772678265094</v>
      </c>
      <c r="L2451" s="12">
        <v>5.0213299639400522E-2</v>
      </c>
      <c r="M2451" s="12">
        <v>0.20615340108000002</v>
      </c>
      <c r="N2451" s="12">
        <v>0.4611259164</v>
      </c>
      <c r="O2451" s="12">
        <v>6.0473900639263709</v>
      </c>
      <c r="P2451" s="12">
        <v>7.0688487573964502E-3</v>
      </c>
      <c r="Q2451" t="s">
        <v>26</v>
      </c>
    </row>
    <row r="2452" spans="1:17" hidden="1" x14ac:dyDescent="0.25">
      <c r="A2452" s="7" t="s">
        <v>182</v>
      </c>
      <c r="B2452" s="7" t="s">
        <v>18</v>
      </c>
      <c r="C2452" s="7" t="s">
        <v>19</v>
      </c>
      <c r="D2452" s="7"/>
      <c r="E2452" s="7"/>
      <c r="F2452" s="7" t="s">
        <v>221</v>
      </c>
      <c r="G2452" s="7" t="s">
        <v>111</v>
      </c>
      <c r="H2452" s="7" t="s">
        <v>26</v>
      </c>
      <c r="I2452" s="7" t="s">
        <v>190</v>
      </c>
      <c r="J2452" s="12">
        <v>16.960671566999999</v>
      </c>
      <c r="K2452" s="12">
        <v>11.046908817</v>
      </c>
      <c r="L2452" s="12">
        <v>305.07140999999996</v>
      </c>
      <c r="M2452" s="12">
        <v>2.5567500000000001</v>
      </c>
      <c r="N2452" s="12">
        <v>28.12425</v>
      </c>
      <c r="O2452" s="12">
        <v>0.143178</v>
      </c>
      <c r="P2452" s="12">
        <v>0.40908</v>
      </c>
      <c r="Q2452" t="s">
        <v>26</v>
      </c>
    </row>
    <row r="2453" spans="1:17" hidden="1" x14ac:dyDescent="0.25">
      <c r="A2453" s="7" t="s">
        <v>182</v>
      </c>
      <c r="B2453" s="7" t="s">
        <v>18</v>
      </c>
      <c r="C2453" s="7" t="s">
        <v>19</v>
      </c>
      <c r="D2453" s="7"/>
      <c r="E2453" s="7"/>
      <c r="F2453" s="7" t="s">
        <v>221</v>
      </c>
      <c r="G2453" s="7" t="s">
        <v>111</v>
      </c>
      <c r="H2453" s="7" t="s">
        <v>26</v>
      </c>
      <c r="I2453" s="7" t="s">
        <v>185</v>
      </c>
      <c r="J2453" s="12">
        <v>0</v>
      </c>
      <c r="K2453" s="12">
        <v>0</v>
      </c>
      <c r="L2453" s="12">
        <v>0</v>
      </c>
      <c r="M2453" s="12">
        <v>0</v>
      </c>
      <c r="N2453" s="12">
        <v>0</v>
      </c>
      <c r="O2453" s="12">
        <v>0.3175</v>
      </c>
      <c r="P2453" s="12">
        <v>0</v>
      </c>
      <c r="Q2453" t="s">
        <v>26</v>
      </c>
    </row>
    <row r="2454" spans="1:17" hidden="1" x14ac:dyDescent="0.25">
      <c r="A2454" s="7" t="s">
        <v>182</v>
      </c>
      <c r="B2454" s="7" t="s">
        <v>18</v>
      </c>
      <c r="C2454" s="7" t="s">
        <v>19</v>
      </c>
      <c r="D2454" s="7" t="s">
        <v>20</v>
      </c>
      <c r="E2454" s="7" t="s">
        <v>21</v>
      </c>
      <c r="F2454" s="7" t="s">
        <v>222</v>
      </c>
      <c r="G2454" s="7" t="s">
        <v>113</v>
      </c>
      <c r="H2454" s="7" t="s">
        <v>26</v>
      </c>
      <c r="I2454" s="7" t="s">
        <v>187</v>
      </c>
      <c r="J2454" s="12">
        <v>1.373678088E-2</v>
      </c>
      <c r="K2454" s="12">
        <v>1.0195856382958581E-2</v>
      </c>
      <c r="L2454" s="12">
        <v>4.0986569064823666E-4</v>
      </c>
      <c r="M2454" s="12">
        <v>1.8200722320000001E-2</v>
      </c>
      <c r="N2454" s="12">
        <v>3.2763405599999997E-2</v>
      </c>
      <c r="O2454" s="12">
        <v>7.8622454276108019E-4</v>
      </c>
      <c r="P2454" s="12">
        <v>5.7585798816568053E-5</v>
      </c>
      <c r="Q2454" t="s">
        <v>26</v>
      </c>
    </row>
    <row r="2455" spans="1:17" hidden="1" x14ac:dyDescent="0.25">
      <c r="A2455" s="7" t="s">
        <v>182</v>
      </c>
      <c r="B2455" s="7" t="s">
        <v>18</v>
      </c>
      <c r="C2455" s="7" t="s">
        <v>19</v>
      </c>
      <c r="D2455" s="7" t="s">
        <v>20</v>
      </c>
      <c r="E2455" s="7" t="s">
        <v>21</v>
      </c>
      <c r="F2455" s="7" t="s">
        <v>222</v>
      </c>
      <c r="G2455" s="7" t="s">
        <v>113</v>
      </c>
      <c r="H2455" s="7" t="s">
        <v>26</v>
      </c>
      <c r="I2455" s="7" t="s">
        <v>190</v>
      </c>
      <c r="J2455" s="12">
        <v>6.5608370775144609</v>
      </c>
      <c r="K2455" s="12">
        <v>3.581053151768776</v>
      </c>
      <c r="L2455" s="12">
        <v>38.298454061639752</v>
      </c>
      <c r="M2455" s="12">
        <v>15.166712901680491</v>
      </c>
      <c r="N2455" s="12">
        <v>22.067585481093136</v>
      </c>
      <c r="O2455" s="12">
        <v>0.9808383873352825</v>
      </c>
      <c r="P2455" s="12">
        <v>0.65482165584213248</v>
      </c>
      <c r="Q2455" t="s">
        <v>26</v>
      </c>
    </row>
    <row r="2456" spans="1:17" hidden="1" x14ac:dyDescent="0.25">
      <c r="A2456" s="7" t="s">
        <v>182</v>
      </c>
      <c r="B2456" s="7" t="s">
        <v>18</v>
      </c>
      <c r="C2456" s="7" t="s">
        <v>19</v>
      </c>
      <c r="D2456" s="7" t="s">
        <v>20</v>
      </c>
      <c r="E2456" s="7" t="s">
        <v>21</v>
      </c>
      <c r="F2456" s="7" t="s">
        <v>222</v>
      </c>
      <c r="G2456" s="7" t="s">
        <v>113</v>
      </c>
      <c r="H2456" s="7" t="s">
        <v>26</v>
      </c>
      <c r="I2456" s="7" t="s">
        <v>196</v>
      </c>
      <c r="J2456" s="12">
        <v>0.85244579260161091</v>
      </c>
      <c r="K2456" s="12">
        <v>0.85061411260161091</v>
      </c>
      <c r="L2456" s="12">
        <v>7.6933387439210858E-6</v>
      </c>
      <c r="M2456" s="12">
        <v>0.22053685750116245</v>
      </c>
      <c r="N2456" s="12">
        <v>0.38720071923938693</v>
      </c>
      <c r="O2456" s="12">
        <v>9.5405818835003538E-3</v>
      </c>
      <c r="P2456" s="12">
        <v>0</v>
      </c>
      <c r="Q2456" t="s">
        <v>26</v>
      </c>
    </row>
    <row r="2457" spans="1:17" hidden="1" x14ac:dyDescent="0.25">
      <c r="A2457" s="7" t="s">
        <v>182</v>
      </c>
      <c r="B2457" s="7" t="s">
        <v>18</v>
      </c>
      <c r="C2457" s="7" t="s">
        <v>19</v>
      </c>
      <c r="D2457" s="7" t="s">
        <v>20</v>
      </c>
      <c r="E2457" s="7" t="s">
        <v>21</v>
      </c>
      <c r="F2457" s="7" t="s">
        <v>222</v>
      </c>
      <c r="G2457" s="7" t="s">
        <v>113</v>
      </c>
      <c r="H2457" s="7" t="s">
        <v>26</v>
      </c>
      <c r="I2457" s="7" t="s">
        <v>197</v>
      </c>
      <c r="J2457" s="12">
        <v>3.4161359999999997E-3</v>
      </c>
      <c r="K2457" s="12">
        <v>3.4161359999999997E-3</v>
      </c>
      <c r="L2457" s="12">
        <v>1.7726976E-6</v>
      </c>
      <c r="M2457" s="12">
        <v>3.6284904E-2</v>
      </c>
      <c r="N2457" s="12">
        <v>6.3706319999999997E-2</v>
      </c>
      <c r="O2457" s="12">
        <v>1.5697270350403714E-3</v>
      </c>
      <c r="P2457" s="12">
        <v>0</v>
      </c>
      <c r="Q2457" t="s">
        <v>26</v>
      </c>
    </row>
    <row r="2458" spans="1:17" hidden="1" x14ac:dyDescent="0.25">
      <c r="A2458" s="7" t="s">
        <v>182</v>
      </c>
      <c r="B2458" s="7" t="s">
        <v>18</v>
      </c>
      <c r="C2458" s="7" t="s">
        <v>19</v>
      </c>
      <c r="D2458" s="7" t="s">
        <v>20</v>
      </c>
      <c r="E2458" s="7" t="s">
        <v>21</v>
      </c>
      <c r="F2458" s="7" t="s">
        <v>222</v>
      </c>
      <c r="G2458" s="7" t="s">
        <v>113</v>
      </c>
      <c r="H2458" s="7" t="s">
        <v>26</v>
      </c>
      <c r="I2458" s="7" t="s">
        <v>198</v>
      </c>
      <c r="J2458" s="12">
        <v>0.12975929999999999</v>
      </c>
      <c r="K2458" s="12">
        <v>3.8963699999999997E-2</v>
      </c>
      <c r="L2458" s="12">
        <v>5.8752000000000001E-7</v>
      </c>
      <c r="M2458" s="12">
        <v>1.2025800000000001E-2</v>
      </c>
      <c r="N2458" s="12">
        <v>2.1114000000000001E-2</v>
      </c>
      <c r="O2458" s="12">
        <v>5.2025005710332043E-4</v>
      </c>
      <c r="P2458" s="12">
        <v>0</v>
      </c>
      <c r="Q2458" t="s">
        <v>26</v>
      </c>
    </row>
    <row r="2459" spans="1:17" hidden="1" x14ac:dyDescent="0.25">
      <c r="A2459" s="7" t="s">
        <v>182</v>
      </c>
      <c r="B2459" s="7" t="s">
        <v>18</v>
      </c>
      <c r="C2459" s="7" t="s">
        <v>19</v>
      </c>
      <c r="D2459" s="7" t="s">
        <v>20</v>
      </c>
      <c r="E2459" s="7" t="s">
        <v>21</v>
      </c>
      <c r="F2459" s="7" t="s">
        <v>222</v>
      </c>
      <c r="G2459" s="7" t="s">
        <v>113</v>
      </c>
      <c r="H2459" s="7" t="s">
        <v>26</v>
      </c>
      <c r="I2459" s="7" t="s">
        <v>185</v>
      </c>
      <c r="J2459" s="12">
        <v>6.0129557454195952E-2</v>
      </c>
      <c r="K2459" s="12">
        <v>6.0129557454195952E-2</v>
      </c>
      <c r="L2459" s="12">
        <v>4.1540825287942826E-3</v>
      </c>
      <c r="M2459" s="12">
        <v>0.66113855132227251</v>
      </c>
      <c r="N2459" s="12">
        <v>0.83375301089528842</v>
      </c>
      <c r="O2459" s="12">
        <v>35.233988340025583</v>
      </c>
      <c r="P2459" s="12">
        <v>2.2097169180178681E-2</v>
      </c>
      <c r="Q2459" t="s">
        <v>26</v>
      </c>
    </row>
    <row r="2460" spans="1:17" hidden="1" x14ac:dyDescent="0.25">
      <c r="A2460" s="7" t="s">
        <v>182</v>
      </c>
      <c r="B2460" s="7" t="s">
        <v>18</v>
      </c>
      <c r="C2460" s="7" t="s">
        <v>19</v>
      </c>
      <c r="D2460" s="7" t="s">
        <v>20</v>
      </c>
      <c r="E2460" s="7" t="s">
        <v>21</v>
      </c>
      <c r="F2460" s="7" t="s">
        <v>223</v>
      </c>
      <c r="G2460" s="7" t="s">
        <v>115</v>
      </c>
      <c r="H2460" s="7" t="s">
        <v>26</v>
      </c>
      <c r="I2460" s="7" t="s">
        <v>187</v>
      </c>
      <c r="J2460" s="12">
        <v>6.5258560735027196</v>
      </c>
      <c r="K2460" s="12">
        <v>5.1014294637985804</v>
      </c>
      <c r="L2460" s="12">
        <v>7.7453719499217038E-3</v>
      </c>
      <c r="M2460" s="12">
        <v>1.2647923296167676</v>
      </c>
      <c r="N2460" s="12">
        <v>1.6539563921645295</v>
      </c>
      <c r="O2460" s="12">
        <v>14.532485472533576</v>
      </c>
      <c r="P2460" s="12">
        <v>3.8465622715426195E-2</v>
      </c>
      <c r="Q2460" t="s">
        <v>26</v>
      </c>
    </row>
    <row r="2461" spans="1:17" hidden="1" x14ac:dyDescent="0.25">
      <c r="A2461" s="7" t="s">
        <v>182</v>
      </c>
      <c r="B2461" s="7" t="s">
        <v>18</v>
      </c>
      <c r="C2461" s="7" t="s">
        <v>19</v>
      </c>
      <c r="D2461" s="7" t="s">
        <v>20</v>
      </c>
      <c r="E2461" s="7" t="s">
        <v>21</v>
      </c>
      <c r="F2461" s="7" t="s">
        <v>223</v>
      </c>
      <c r="G2461" s="7" t="s">
        <v>115</v>
      </c>
      <c r="H2461" s="7" t="s">
        <v>26</v>
      </c>
      <c r="I2461" s="7" t="s">
        <v>190</v>
      </c>
      <c r="J2461" s="12">
        <v>2.9226268610021724</v>
      </c>
      <c r="K2461" s="12">
        <v>1.8081186755347165</v>
      </c>
      <c r="L2461" s="12">
        <v>0.10877233492395619</v>
      </c>
      <c r="M2461" s="12">
        <v>15.054023968049849</v>
      </c>
      <c r="N2461" s="12">
        <v>17.957243237146276</v>
      </c>
      <c r="O2461" s="12">
        <v>3.1829850113883911</v>
      </c>
      <c r="P2461" s="12">
        <v>0.57300457069980948</v>
      </c>
      <c r="Q2461" t="s">
        <v>26</v>
      </c>
    </row>
    <row r="2462" spans="1:17" hidden="1" x14ac:dyDescent="0.25">
      <c r="A2462" s="7" t="s">
        <v>182</v>
      </c>
      <c r="B2462" s="7" t="s">
        <v>18</v>
      </c>
      <c r="C2462" s="7" t="s">
        <v>19</v>
      </c>
      <c r="D2462" s="7" t="s">
        <v>20</v>
      </c>
      <c r="E2462" s="7" t="s">
        <v>21</v>
      </c>
      <c r="F2462" s="7" t="s">
        <v>223</v>
      </c>
      <c r="G2462" s="7" t="s">
        <v>115</v>
      </c>
      <c r="H2462" s="7" t="s">
        <v>26</v>
      </c>
      <c r="I2462" s="7" t="s">
        <v>210</v>
      </c>
      <c r="J2462" s="12">
        <v>1.8164778808189549E-2</v>
      </c>
      <c r="K2462" s="12">
        <v>1.8164778808189549E-2</v>
      </c>
      <c r="L2462" s="12">
        <v>6.4804776340312344E-6</v>
      </c>
      <c r="M2462" s="12">
        <v>0.1929432605980119</v>
      </c>
      <c r="N2462" s="12">
        <v>0.3387540073637148</v>
      </c>
      <c r="O2462" s="12">
        <v>1.7483468551926322</v>
      </c>
      <c r="P2462" s="12">
        <v>0</v>
      </c>
      <c r="Q2462" t="s">
        <v>26</v>
      </c>
    </row>
    <row r="2463" spans="1:17" hidden="1" x14ac:dyDescent="0.25">
      <c r="A2463" s="7" t="s">
        <v>182</v>
      </c>
      <c r="B2463" s="7" t="s">
        <v>18</v>
      </c>
      <c r="C2463" s="7" t="s">
        <v>19</v>
      </c>
      <c r="D2463" s="7" t="s">
        <v>20</v>
      </c>
      <c r="E2463" s="7" t="s">
        <v>21</v>
      </c>
      <c r="F2463" s="7" t="s">
        <v>223</v>
      </c>
      <c r="G2463" s="7" t="s">
        <v>115</v>
      </c>
      <c r="H2463" s="7" t="s">
        <v>26</v>
      </c>
      <c r="I2463" s="7" t="s">
        <v>192</v>
      </c>
      <c r="J2463" s="12">
        <v>5.6540304960000006E-3</v>
      </c>
      <c r="K2463" s="12">
        <v>4.0301524368284028E-3</v>
      </c>
      <c r="L2463" s="12">
        <v>1.2309096039348865E-2</v>
      </c>
      <c r="M2463" s="12">
        <v>4.7875194144000002E-2</v>
      </c>
      <c r="N2463" s="12">
        <v>0.10836785952000001</v>
      </c>
      <c r="O2463" s="12">
        <v>144.8829162356997</v>
      </c>
      <c r="P2463" s="12">
        <v>1.7328488236686393E-3</v>
      </c>
      <c r="Q2463" t="s">
        <v>26</v>
      </c>
    </row>
    <row r="2464" spans="1:17" hidden="1" x14ac:dyDescent="0.25">
      <c r="A2464" s="7" t="s">
        <v>182</v>
      </c>
      <c r="B2464" s="7" t="s">
        <v>18</v>
      </c>
      <c r="C2464" s="7" t="s">
        <v>19</v>
      </c>
      <c r="D2464" s="7" t="s">
        <v>20</v>
      </c>
      <c r="E2464" s="7" t="s">
        <v>21</v>
      </c>
      <c r="F2464" s="7" t="s">
        <v>223</v>
      </c>
      <c r="G2464" s="7" t="s">
        <v>115</v>
      </c>
      <c r="H2464" s="7" t="s">
        <v>26</v>
      </c>
      <c r="I2464" s="7" t="s">
        <v>193</v>
      </c>
      <c r="J2464" s="12">
        <v>4.9945142640000001E-3</v>
      </c>
      <c r="K2464" s="12">
        <v>4.9945142640000001E-3</v>
      </c>
      <c r="L2464" s="12">
        <v>2.5917479424E-6</v>
      </c>
      <c r="M2464" s="12">
        <v>5.3049840696000009E-2</v>
      </c>
      <c r="N2464" s="12">
        <v>9.3140941679999992E-2</v>
      </c>
      <c r="O2464" s="12">
        <v>2.1262949976426864</v>
      </c>
      <c r="P2464" s="12">
        <v>0</v>
      </c>
      <c r="Q2464" t="s">
        <v>26</v>
      </c>
    </row>
    <row r="2465" spans="1:17" hidden="1" x14ac:dyDescent="0.25">
      <c r="A2465" s="7" t="s">
        <v>182</v>
      </c>
      <c r="B2465" s="7" t="s">
        <v>18</v>
      </c>
      <c r="C2465" s="7" t="s">
        <v>19</v>
      </c>
      <c r="D2465" s="7" t="s">
        <v>20</v>
      </c>
      <c r="E2465" s="7" t="s">
        <v>21</v>
      </c>
      <c r="F2465" s="7" t="s">
        <v>223</v>
      </c>
      <c r="G2465" s="7" t="s">
        <v>115</v>
      </c>
      <c r="H2465" s="7" t="s">
        <v>26</v>
      </c>
      <c r="I2465" s="7" t="s">
        <v>196</v>
      </c>
      <c r="J2465" s="12">
        <v>4.5455367040044647</v>
      </c>
      <c r="K2465" s="12">
        <v>3.2315963429393757</v>
      </c>
      <c r="L2465" s="12">
        <v>0.12538492352575351</v>
      </c>
      <c r="M2465" s="12">
        <v>8.2646146996089573</v>
      </c>
      <c r="N2465" s="12">
        <v>10.660769424323563</v>
      </c>
      <c r="O2465" s="12">
        <v>46.496424498469523</v>
      </c>
      <c r="P2465" s="12">
        <v>0.28584342593248835</v>
      </c>
      <c r="Q2465" t="s">
        <v>26</v>
      </c>
    </row>
    <row r="2466" spans="1:17" hidden="1" x14ac:dyDescent="0.25">
      <c r="A2466" s="7" t="s">
        <v>182</v>
      </c>
      <c r="B2466" s="7" t="s">
        <v>18</v>
      </c>
      <c r="C2466" s="7" t="s">
        <v>19</v>
      </c>
      <c r="D2466" s="7" t="s">
        <v>20</v>
      </c>
      <c r="E2466" s="7" t="s">
        <v>21</v>
      </c>
      <c r="F2466" s="7" t="s">
        <v>223</v>
      </c>
      <c r="G2466" s="7" t="s">
        <v>115</v>
      </c>
      <c r="H2466" s="7" t="s">
        <v>26</v>
      </c>
      <c r="I2466" s="7" t="s">
        <v>198</v>
      </c>
      <c r="J2466" s="12">
        <v>0.86760954696496695</v>
      </c>
      <c r="K2466" s="12">
        <v>0.86760954696496695</v>
      </c>
      <c r="L2466" s="12">
        <v>6.8781285364399342E-2</v>
      </c>
      <c r="M2466" s="12">
        <v>9.5877491730321918</v>
      </c>
      <c r="N2466" s="12">
        <v>11.413469958231072</v>
      </c>
      <c r="O2466" s="12">
        <v>0.62747839279802886</v>
      </c>
      <c r="P2466" s="12">
        <v>0.3662301773350034</v>
      </c>
      <c r="Q2466" t="s">
        <v>26</v>
      </c>
    </row>
    <row r="2467" spans="1:17" hidden="1" x14ac:dyDescent="0.25">
      <c r="A2467" s="7" t="s">
        <v>182</v>
      </c>
      <c r="B2467" s="7" t="s">
        <v>18</v>
      </c>
      <c r="C2467" s="7" t="s">
        <v>19</v>
      </c>
      <c r="D2467" s="7" t="s">
        <v>20</v>
      </c>
      <c r="E2467" s="7" t="s">
        <v>21</v>
      </c>
      <c r="F2467" s="7" t="s">
        <v>223</v>
      </c>
      <c r="G2467" s="7" t="s">
        <v>115</v>
      </c>
      <c r="H2467" s="7" t="s">
        <v>26</v>
      </c>
      <c r="I2467" s="7" t="s">
        <v>224</v>
      </c>
      <c r="J2467" s="12">
        <v>7.9912978777208696E-2</v>
      </c>
      <c r="K2467" s="12">
        <v>6.1744217327267856E-2</v>
      </c>
      <c r="L2467" s="12">
        <v>1.5155286960675475E-3</v>
      </c>
      <c r="M2467" s="12">
        <v>0.19332454544649186</v>
      </c>
      <c r="N2467" s="12">
        <v>0.23933076758561389</v>
      </c>
      <c r="O2467" s="12">
        <v>1.2309341902732413E-2</v>
      </c>
      <c r="P2467" s="12">
        <v>6.8288253478411961E-3</v>
      </c>
      <c r="Q2467" t="s">
        <v>26</v>
      </c>
    </row>
    <row r="2468" spans="1:17" hidden="1" x14ac:dyDescent="0.25">
      <c r="A2468" s="7" t="s">
        <v>182</v>
      </c>
      <c r="B2468" s="7" t="s">
        <v>18</v>
      </c>
      <c r="C2468" s="7" t="s">
        <v>19</v>
      </c>
      <c r="D2468" s="7" t="s">
        <v>20</v>
      </c>
      <c r="E2468" s="7" t="s">
        <v>21</v>
      </c>
      <c r="F2468" s="7" t="s">
        <v>223</v>
      </c>
      <c r="G2468" s="7" t="s">
        <v>115</v>
      </c>
      <c r="H2468" s="7" t="s">
        <v>26</v>
      </c>
      <c r="I2468" s="7" t="s">
        <v>200</v>
      </c>
      <c r="J2468" s="12">
        <v>1.0977687203102549E-2</v>
      </c>
      <c r="K2468" s="12">
        <v>9.7230126468895312E-3</v>
      </c>
      <c r="L2468" s="12">
        <v>9.5594707032145669E-3</v>
      </c>
      <c r="M2468" s="12">
        <v>0.10744787672861997</v>
      </c>
      <c r="N2468" s="12">
        <v>0.20370943541281078</v>
      </c>
      <c r="O2468" s="12">
        <v>4.7674315781806751E-3</v>
      </c>
      <c r="P2468" s="12">
        <v>1.5904645593762786E-3</v>
      </c>
      <c r="Q2468" t="s">
        <v>26</v>
      </c>
    </row>
    <row r="2469" spans="1:17" hidden="1" x14ac:dyDescent="0.25">
      <c r="A2469" s="7" t="s">
        <v>182</v>
      </c>
      <c r="B2469" s="7" t="s">
        <v>18</v>
      </c>
      <c r="C2469" s="7" t="s">
        <v>19</v>
      </c>
      <c r="D2469" s="7" t="s">
        <v>20</v>
      </c>
      <c r="E2469" s="7" t="s">
        <v>21</v>
      </c>
      <c r="F2469" s="7" t="s">
        <v>223</v>
      </c>
      <c r="G2469" s="7" t="s">
        <v>115</v>
      </c>
      <c r="H2469" s="7" t="s">
        <v>26</v>
      </c>
      <c r="I2469" s="7" t="s">
        <v>185</v>
      </c>
      <c r="J2469" s="12">
        <v>5.3321596484591991</v>
      </c>
      <c r="K2469" s="12">
        <v>4.8621800813719576</v>
      </c>
      <c r="L2469" s="12">
        <v>2.9534767837853201E-4</v>
      </c>
      <c r="M2469" s="12">
        <v>6.2413005594312662E-2</v>
      </c>
      <c r="N2469" s="12">
        <v>8.6217956070408705E-2</v>
      </c>
      <c r="O2469" s="12">
        <v>16.590142293505643</v>
      </c>
      <c r="P2469" s="12">
        <v>1.5792665137111474E-3</v>
      </c>
      <c r="Q2469" t="s">
        <v>26</v>
      </c>
    </row>
    <row r="2470" spans="1:17" hidden="1" x14ac:dyDescent="0.25">
      <c r="A2470" s="7" t="s">
        <v>182</v>
      </c>
      <c r="B2470" s="7" t="s">
        <v>18</v>
      </c>
      <c r="C2470" s="7" t="s">
        <v>19</v>
      </c>
      <c r="D2470" s="7" t="s">
        <v>20</v>
      </c>
      <c r="E2470" s="7" t="s">
        <v>21</v>
      </c>
      <c r="F2470" s="7" t="s">
        <v>225</v>
      </c>
      <c r="G2470" s="7" t="s">
        <v>119</v>
      </c>
      <c r="H2470" s="7" t="s">
        <v>26</v>
      </c>
      <c r="I2470" s="7" t="s">
        <v>187</v>
      </c>
      <c r="J2470" s="12">
        <v>62.78388240008271</v>
      </c>
      <c r="K2470" s="12">
        <v>53.450353351568943</v>
      </c>
      <c r="L2470" s="12">
        <v>3.8466171217398551E-2</v>
      </c>
      <c r="M2470" s="12">
        <v>5.7401257588908523</v>
      </c>
      <c r="N2470" s="12">
        <v>7.161504324902797</v>
      </c>
      <c r="O2470" s="12">
        <v>75.955910731235932</v>
      </c>
      <c r="P2470" s="12">
        <v>0.1970585067342252</v>
      </c>
      <c r="Q2470" t="s">
        <v>26</v>
      </c>
    </row>
    <row r="2471" spans="1:17" hidden="1" x14ac:dyDescent="0.25">
      <c r="A2471" s="7" t="s">
        <v>182</v>
      </c>
      <c r="B2471" s="7" t="s">
        <v>18</v>
      </c>
      <c r="C2471" s="7" t="s">
        <v>19</v>
      </c>
      <c r="D2471" s="7" t="s">
        <v>20</v>
      </c>
      <c r="E2471" s="7" t="s">
        <v>21</v>
      </c>
      <c r="F2471" s="7" t="s">
        <v>225</v>
      </c>
      <c r="G2471" s="7" t="s">
        <v>119</v>
      </c>
      <c r="H2471" s="7" t="s">
        <v>26</v>
      </c>
      <c r="I2471" s="7" t="s">
        <v>190</v>
      </c>
      <c r="J2471" s="12">
        <v>18.999764805428846</v>
      </c>
      <c r="K2471" s="12">
        <v>6.4426340496448464</v>
      </c>
      <c r="L2471" s="12">
        <v>0.12929458922794121</v>
      </c>
      <c r="M2471" s="12">
        <v>15.703223175706849</v>
      </c>
      <c r="N2471" s="12">
        <v>18.800346875392215</v>
      </c>
      <c r="O2471" s="12">
        <v>1.041920597062318</v>
      </c>
      <c r="P2471" s="12">
        <v>0.59762228616054724</v>
      </c>
      <c r="Q2471" t="s">
        <v>26</v>
      </c>
    </row>
    <row r="2472" spans="1:17" hidden="1" x14ac:dyDescent="0.25">
      <c r="A2472" s="7" t="s">
        <v>182</v>
      </c>
      <c r="B2472" s="7" t="s">
        <v>18</v>
      </c>
      <c r="C2472" s="7" t="s">
        <v>19</v>
      </c>
      <c r="D2472" s="7" t="s">
        <v>20</v>
      </c>
      <c r="E2472" s="7" t="s">
        <v>21</v>
      </c>
      <c r="F2472" s="7" t="s">
        <v>225</v>
      </c>
      <c r="G2472" s="7" t="s">
        <v>119</v>
      </c>
      <c r="H2472" s="7" t="s">
        <v>26</v>
      </c>
      <c r="I2472" s="7" t="s">
        <v>210</v>
      </c>
      <c r="J2472" s="12">
        <v>1.5290447042018771</v>
      </c>
      <c r="K2472" s="12">
        <v>0.23655101662791264</v>
      </c>
      <c r="L2472" s="12">
        <v>0.2094419010576547</v>
      </c>
      <c r="M2472" s="12">
        <v>0.22950175059250996</v>
      </c>
      <c r="N2472" s="12">
        <v>0.79035060469187024</v>
      </c>
      <c r="O2472" s="12">
        <v>1.0343492459949808E-2</v>
      </c>
      <c r="P2472" s="12">
        <v>3.117879247780514E-2</v>
      </c>
      <c r="Q2472" t="s">
        <v>26</v>
      </c>
    </row>
    <row r="2473" spans="1:17" hidden="1" x14ac:dyDescent="0.25">
      <c r="A2473" s="7" t="s">
        <v>182</v>
      </c>
      <c r="B2473" s="7" t="s">
        <v>18</v>
      </c>
      <c r="C2473" s="7" t="s">
        <v>19</v>
      </c>
      <c r="D2473" s="7" t="s">
        <v>20</v>
      </c>
      <c r="E2473" s="7" t="s">
        <v>21</v>
      </c>
      <c r="F2473" s="7" t="s">
        <v>225</v>
      </c>
      <c r="G2473" s="7" t="s">
        <v>119</v>
      </c>
      <c r="H2473" s="7" t="s">
        <v>26</v>
      </c>
      <c r="I2473" s="7" t="s">
        <v>184</v>
      </c>
      <c r="J2473" s="12">
        <v>434.23532396135408</v>
      </c>
      <c r="K2473" s="12">
        <v>213.90993114785599</v>
      </c>
      <c r="L2473" s="12">
        <v>2.1935861064523725</v>
      </c>
      <c r="M2473" s="12">
        <v>26.174100377145031</v>
      </c>
      <c r="N2473" s="12">
        <v>40.826151380926547</v>
      </c>
      <c r="O2473" s="12">
        <v>1.6665803685554572</v>
      </c>
      <c r="P2473" s="12">
        <v>1.1755899524336064</v>
      </c>
      <c r="Q2473" t="s">
        <v>26</v>
      </c>
    </row>
    <row r="2474" spans="1:17" hidden="1" x14ac:dyDescent="0.25">
      <c r="A2474" s="7" t="s">
        <v>182</v>
      </c>
      <c r="B2474" s="7" t="s">
        <v>18</v>
      </c>
      <c r="C2474" s="7" t="s">
        <v>19</v>
      </c>
      <c r="D2474" s="7" t="s">
        <v>20</v>
      </c>
      <c r="E2474" s="7" t="s">
        <v>21</v>
      </c>
      <c r="F2474" s="7" t="s">
        <v>225</v>
      </c>
      <c r="G2474" s="7" t="s">
        <v>119</v>
      </c>
      <c r="H2474" s="7" t="s">
        <v>26</v>
      </c>
      <c r="I2474" s="7" t="s">
        <v>192</v>
      </c>
      <c r="J2474" s="12">
        <v>0</v>
      </c>
      <c r="K2474" s="12">
        <v>0</v>
      </c>
      <c r="L2474" s="12">
        <v>0</v>
      </c>
      <c r="M2474" s="12">
        <v>0</v>
      </c>
      <c r="N2474" s="12">
        <v>0</v>
      </c>
      <c r="O2474" s="12">
        <v>1.3341888</v>
      </c>
      <c r="P2474" s="12">
        <v>0</v>
      </c>
      <c r="Q2474" t="s">
        <v>26</v>
      </c>
    </row>
    <row r="2475" spans="1:17" hidden="1" x14ac:dyDescent="0.25">
      <c r="A2475" s="7" t="s">
        <v>182</v>
      </c>
      <c r="B2475" s="7" t="s">
        <v>18</v>
      </c>
      <c r="C2475" s="7" t="s">
        <v>19</v>
      </c>
      <c r="D2475" s="7" t="s">
        <v>20</v>
      </c>
      <c r="E2475" s="7" t="s">
        <v>21</v>
      </c>
      <c r="F2475" s="7" t="s">
        <v>225</v>
      </c>
      <c r="G2475" s="7" t="s">
        <v>119</v>
      </c>
      <c r="H2475" s="7" t="s">
        <v>26</v>
      </c>
      <c r="I2475" s="7" t="s">
        <v>194</v>
      </c>
      <c r="J2475" s="12">
        <v>0.72914625780912434</v>
      </c>
      <c r="K2475" s="12">
        <v>0.42494625780912443</v>
      </c>
      <c r="L2475" s="12">
        <v>8.4359030301832014E-4</v>
      </c>
      <c r="M2475" s="12">
        <v>0.13569900494297374</v>
      </c>
      <c r="N2475" s="12">
        <v>0.17184521665424668</v>
      </c>
      <c r="O2475" s="12">
        <v>8.4764851182024311E-3</v>
      </c>
      <c r="P2475" s="12">
        <v>4.4870058857708799E-3</v>
      </c>
      <c r="Q2475" t="s">
        <v>26</v>
      </c>
    </row>
    <row r="2476" spans="1:17" hidden="1" x14ac:dyDescent="0.25">
      <c r="A2476" s="7" t="s">
        <v>182</v>
      </c>
      <c r="B2476" s="7" t="s">
        <v>18</v>
      </c>
      <c r="C2476" s="7" t="s">
        <v>19</v>
      </c>
      <c r="D2476" s="7" t="s">
        <v>20</v>
      </c>
      <c r="E2476" s="7" t="s">
        <v>21</v>
      </c>
      <c r="F2476" s="7" t="s">
        <v>225</v>
      </c>
      <c r="G2476" s="7" t="s">
        <v>119</v>
      </c>
      <c r="H2476" s="7" t="s">
        <v>26</v>
      </c>
      <c r="I2476" s="7" t="s">
        <v>195</v>
      </c>
      <c r="J2476" s="12">
        <v>1.4582487999999999E-2</v>
      </c>
      <c r="K2476" s="12">
        <v>1.3530388000000001E-2</v>
      </c>
      <c r="L2476" s="12">
        <v>6.5710080000000007E-7</v>
      </c>
      <c r="M2476" s="12">
        <v>0.11635003200000001</v>
      </c>
      <c r="N2476" s="12">
        <v>0.20421456000000002</v>
      </c>
      <c r="O2476" s="12">
        <v>4.9818639854347724E-3</v>
      </c>
      <c r="P2476" s="12">
        <v>0</v>
      </c>
      <c r="Q2476" t="s">
        <v>26</v>
      </c>
    </row>
    <row r="2477" spans="1:17" hidden="1" x14ac:dyDescent="0.25">
      <c r="A2477" s="7" t="s">
        <v>182</v>
      </c>
      <c r="B2477" s="7" t="s">
        <v>18</v>
      </c>
      <c r="C2477" s="7" t="s">
        <v>19</v>
      </c>
      <c r="D2477" s="7" t="s">
        <v>20</v>
      </c>
      <c r="E2477" s="7" t="s">
        <v>21</v>
      </c>
      <c r="F2477" s="7" t="s">
        <v>225</v>
      </c>
      <c r="G2477" s="7" t="s">
        <v>119</v>
      </c>
      <c r="H2477" s="7" t="s">
        <v>26</v>
      </c>
      <c r="I2477" s="7" t="s">
        <v>196</v>
      </c>
      <c r="J2477" s="12">
        <v>2.1081998169272316</v>
      </c>
      <c r="K2477" s="12">
        <v>1.739612929399394</v>
      </c>
      <c r="L2477" s="12">
        <v>3.9987961829401196E-2</v>
      </c>
      <c r="M2477" s="12">
        <v>5.8283347873323033</v>
      </c>
      <c r="N2477" s="12">
        <v>7.3778137174443144</v>
      </c>
      <c r="O2477" s="12">
        <v>14.245436958018304</v>
      </c>
      <c r="P2477" s="12">
        <v>0.19388813845457167</v>
      </c>
      <c r="Q2477" t="s">
        <v>26</v>
      </c>
    </row>
    <row r="2478" spans="1:17" hidden="1" x14ac:dyDescent="0.25">
      <c r="A2478" s="7" t="s">
        <v>182</v>
      </c>
      <c r="B2478" s="7" t="s">
        <v>18</v>
      </c>
      <c r="C2478" s="7" t="s">
        <v>19</v>
      </c>
      <c r="D2478" s="7" t="s">
        <v>20</v>
      </c>
      <c r="E2478" s="7" t="s">
        <v>21</v>
      </c>
      <c r="F2478" s="7" t="s">
        <v>225</v>
      </c>
      <c r="G2478" s="7" t="s">
        <v>119</v>
      </c>
      <c r="H2478" s="7" t="s">
        <v>26</v>
      </c>
      <c r="I2478" s="7" t="s">
        <v>197</v>
      </c>
      <c r="J2478" s="12">
        <v>0.2077684974157239</v>
      </c>
      <c r="K2478" s="12">
        <v>0.11810851464649313</v>
      </c>
      <c r="L2478" s="12">
        <v>8.8646655915933029E-3</v>
      </c>
      <c r="M2478" s="12">
        <v>9.7817116274829627E-2</v>
      </c>
      <c r="N2478" s="12">
        <v>0.18924474250878887</v>
      </c>
      <c r="O2478" s="12">
        <v>4.2065119824856992E-3</v>
      </c>
      <c r="P2478" s="12">
        <v>1.2476923076923077E-3</v>
      </c>
      <c r="Q2478" t="s">
        <v>26</v>
      </c>
    </row>
    <row r="2479" spans="1:17" hidden="1" x14ac:dyDescent="0.25">
      <c r="A2479" s="7" t="s">
        <v>182</v>
      </c>
      <c r="B2479" s="7" t="s">
        <v>18</v>
      </c>
      <c r="C2479" s="7" t="s">
        <v>19</v>
      </c>
      <c r="D2479" s="7" t="s">
        <v>20</v>
      </c>
      <c r="E2479" s="7" t="s">
        <v>21</v>
      </c>
      <c r="F2479" s="7" t="s">
        <v>225</v>
      </c>
      <c r="G2479" s="7" t="s">
        <v>119</v>
      </c>
      <c r="H2479" s="7" t="s">
        <v>26</v>
      </c>
      <c r="I2479" s="7" t="s">
        <v>198</v>
      </c>
      <c r="J2479" s="12">
        <v>50.957218101879839</v>
      </c>
      <c r="K2479" s="12">
        <v>30.673568175695891</v>
      </c>
      <c r="L2479" s="12">
        <v>0.36607161549251888</v>
      </c>
      <c r="M2479" s="12">
        <v>27.96417977051307</v>
      </c>
      <c r="N2479" s="12">
        <v>18.162747608102126</v>
      </c>
      <c r="O2479" s="12">
        <v>0.92950550889704997</v>
      </c>
      <c r="P2479" s="12">
        <v>0.56203824657891488</v>
      </c>
      <c r="Q2479" t="s">
        <v>26</v>
      </c>
    </row>
    <row r="2480" spans="1:17" hidden="1" x14ac:dyDescent="0.25">
      <c r="A2480" s="7" t="s">
        <v>182</v>
      </c>
      <c r="B2480" s="7" t="s">
        <v>18</v>
      </c>
      <c r="C2480" s="7" t="s">
        <v>19</v>
      </c>
      <c r="D2480" s="7" t="s">
        <v>20</v>
      </c>
      <c r="E2480" s="7" t="s">
        <v>21</v>
      </c>
      <c r="F2480" s="7" t="s">
        <v>225</v>
      </c>
      <c r="G2480" s="7" t="s">
        <v>119</v>
      </c>
      <c r="H2480" s="7" t="s">
        <v>26</v>
      </c>
      <c r="I2480" s="7" t="s">
        <v>199</v>
      </c>
      <c r="J2480" s="12">
        <v>0.10984311333870178</v>
      </c>
      <c r="K2480" s="12">
        <v>0.10983981340970769</v>
      </c>
      <c r="L2480" s="12">
        <v>8.5520706426446599E-3</v>
      </c>
      <c r="M2480" s="12">
        <v>1.2128397276083935</v>
      </c>
      <c r="N2480" s="12">
        <v>1.4576218844901958</v>
      </c>
      <c r="O2480" s="12">
        <v>6.9224344325236897</v>
      </c>
      <c r="P2480" s="12">
        <v>4.5400043607530853E-2</v>
      </c>
      <c r="Q2480" t="s">
        <v>26</v>
      </c>
    </row>
    <row r="2481" spans="1:17" hidden="1" x14ac:dyDescent="0.25">
      <c r="A2481" s="7" t="s">
        <v>182</v>
      </c>
      <c r="B2481" s="7" t="s">
        <v>18</v>
      </c>
      <c r="C2481" s="7" t="s">
        <v>19</v>
      </c>
      <c r="D2481" s="7" t="s">
        <v>20</v>
      </c>
      <c r="E2481" s="7" t="s">
        <v>21</v>
      </c>
      <c r="F2481" s="7" t="s">
        <v>225</v>
      </c>
      <c r="G2481" s="7" t="s">
        <v>119</v>
      </c>
      <c r="H2481" s="7" t="s">
        <v>26</v>
      </c>
      <c r="I2481" s="7" t="s">
        <v>200</v>
      </c>
      <c r="J2481" s="12">
        <v>4.2234192020795182E-2</v>
      </c>
      <c r="K2481" s="12">
        <v>4.2212210060795181E-2</v>
      </c>
      <c r="L2481" s="12">
        <v>2.1994755204431675E-3</v>
      </c>
      <c r="M2481" s="12">
        <v>0.45147168871970533</v>
      </c>
      <c r="N2481" s="12">
        <v>0.66425811250655242</v>
      </c>
      <c r="O2481" s="12">
        <v>121.47885444500798</v>
      </c>
      <c r="P2481" s="12">
        <v>9.2730363168725145E-3</v>
      </c>
      <c r="Q2481" t="s">
        <v>26</v>
      </c>
    </row>
    <row r="2482" spans="1:17" hidden="1" x14ac:dyDescent="0.25">
      <c r="A2482" s="7" t="s">
        <v>182</v>
      </c>
      <c r="B2482" s="7" t="s">
        <v>18</v>
      </c>
      <c r="C2482" s="7" t="s">
        <v>19</v>
      </c>
      <c r="D2482" s="7" t="s">
        <v>20</v>
      </c>
      <c r="E2482" s="7" t="s">
        <v>21</v>
      </c>
      <c r="F2482" s="7" t="s">
        <v>225</v>
      </c>
      <c r="G2482" s="7" t="s">
        <v>119</v>
      </c>
      <c r="H2482" s="7" t="s">
        <v>26</v>
      </c>
      <c r="I2482" s="7" t="s">
        <v>185</v>
      </c>
      <c r="J2482" s="12">
        <v>8.7276469933325966</v>
      </c>
      <c r="K2482" s="12">
        <v>6.8819900064154371</v>
      </c>
      <c r="L2482" s="12">
        <v>0.144339045347082</v>
      </c>
      <c r="M2482" s="12">
        <v>19.910724777576377</v>
      </c>
      <c r="N2482" s="12">
        <v>24.304393601660649</v>
      </c>
      <c r="O2482" s="12">
        <v>307.32615226962605</v>
      </c>
      <c r="P2482" s="12">
        <v>0.72243072007458498</v>
      </c>
      <c r="Q2482" t="s">
        <v>26</v>
      </c>
    </row>
    <row r="2483" spans="1:17" hidden="1" x14ac:dyDescent="0.25">
      <c r="A2483" s="7" t="s">
        <v>182</v>
      </c>
      <c r="B2483" s="7" t="s">
        <v>18</v>
      </c>
      <c r="C2483" s="7" t="s">
        <v>19</v>
      </c>
      <c r="D2483" s="7" t="s">
        <v>20</v>
      </c>
      <c r="E2483" s="7" t="s">
        <v>21</v>
      </c>
      <c r="F2483" s="7" t="s">
        <v>226</v>
      </c>
      <c r="G2483" s="7" t="s">
        <v>121</v>
      </c>
      <c r="H2483" s="7" t="s">
        <v>26</v>
      </c>
      <c r="I2483" s="7" t="s">
        <v>184</v>
      </c>
      <c r="J2483" s="12">
        <v>62.308104439999994</v>
      </c>
      <c r="K2483" s="12">
        <v>37.750212008094671</v>
      </c>
      <c r="L2483" s="12">
        <v>0.41484421065088761</v>
      </c>
      <c r="M2483" s="12">
        <v>0.41906220000000011</v>
      </c>
      <c r="N2483" s="12">
        <v>4.8570107999999994</v>
      </c>
      <c r="O2483" s="12">
        <v>1.7733254437869821E-2</v>
      </c>
      <c r="P2483" s="12">
        <v>3.2222805562130183E-2</v>
      </c>
      <c r="Q2483" t="s">
        <v>26</v>
      </c>
    </row>
    <row r="2484" spans="1:17" hidden="1" x14ac:dyDescent="0.25">
      <c r="A2484" s="7" t="s">
        <v>182</v>
      </c>
      <c r="B2484" s="7" t="s">
        <v>18</v>
      </c>
      <c r="C2484" s="7" t="s">
        <v>19</v>
      </c>
      <c r="D2484" s="7" t="s">
        <v>20</v>
      </c>
      <c r="E2484" s="7" t="s">
        <v>21</v>
      </c>
      <c r="F2484" s="7" t="s">
        <v>226</v>
      </c>
      <c r="G2484" s="7" t="s">
        <v>121</v>
      </c>
      <c r="H2484" s="7" t="s">
        <v>26</v>
      </c>
      <c r="I2484" s="7" t="s">
        <v>198</v>
      </c>
      <c r="J2484" s="12">
        <v>19.78036542756</v>
      </c>
      <c r="K2484" s="12">
        <v>11.961504044258515</v>
      </c>
      <c r="L2484" s="12">
        <v>8.1798864076527339E-2</v>
      </c>
      <c r="M2484" s="12">
        <v>7.2972439199999989E-2</v>
      </c>
      <c r="N2484" s="12">
        <v>0.28970733599999998</v>
      </c>
      <c r="O2484" s="12">
        <v>2.9249090844411765E-3</v>
      </c>
      <c r="P2484" s="12">
        <v>1.1517159763313609E-2</v>
      </c>
      <c r="Q2484" t="s">
        <v>26</v>
      </c>
    </row>
    <row r="2485" spans="1:17" hidden="1" x14ac:dyDescent="0.25">
      <c r="A2485" s="7" t="s">
        <v>182</v>
      </c>
      <c r="B2485" s="13" t="s">
        <v>18</v>
      </c>
      <c r="C2485" s="7" t="s">
        <v>19</v>
      </c>
      <c r="D2485" s="7" t="s">
        <v>20</v>
      </c>
      <c r="E2485" s="7" t="s">
        <v>21</v>
      </c>
      <c r="F2485" s="7" t="s">
        <v>22</v>
      </c>
      <c r="G2485" s="7" t="s">
        <v>23</v>
      </c>
      <c r="H2485" s="7" t="s">
        <v>227</v>
      </c>
      <c r="I2485" s="8" t="s">
        <v>228</v>
      </c>
      <c r="J2485" s="14">
        <v>1.2324520000000001</v>
      </c>
      <c r="K2485" s="14">
        <v>0.88901200000000002</v>
      </c>
      <c r="L2485" s="14">
        <v>0</v>
      </c>
      <c r="M2485" s="14">
        <v>3.9199999999999999E-2</v>
      </c>
      <c r="N2485" s="14">
        <v>6.7400000000000002E-2</v>
      </c>
      <c r="O2485" s="14">
        <v>1E-4</v>
      </c>
      <c r="P2485" s="14">
        <v>0</v>
      </c>
      <c r="Q2485" t="s">
        <v>137</v>
      </c>
    </row>
    <row r="2486" spans="1:17" hidden="1" x14ac:dyDescent="0.25">
      <c r="A2486" s="7" t="s">
        <v>182</v>
      </c>
      <c r="B2486" s="13" t="s">
        <v>18</v>
      </c>
      <c r="C2486" s="7" t="s">
        <v>19</v>
      </c>
      <c r="D2486" s="7" t="s">
        <v>20</v>
      </c>
      <c r="E2486" s="7" t="s">
        <v>21</v>
      </c>
      <c r="F2486" s="7" t="s">
        <v>35</v>
      </c>
      <c r="G2486" s="7" t="s">
        <v>36</v>
      </c>
      <c r="H2486" s="7" t="s">
        <v>227</v>
      </c>
      <c r="I2486" s="8" t="s">
        <v>229</v>
      </c>
      <c r="J2486" s="14">
        <v>11.005023020416644</v>
      </c>
      <c r="K2486" s="14">
        <v>6.4341016627354577</v>
      </c>
      <c r="L2486" s="14">
        <v>0.17760000000000004</v>
      </c>
      <c r="M2486" s="14">
        <v>24.339399999999998</v>
      </c>
      <c r="N2486" s="14">
        <v>178.95482000000001</v>
      </c>
      <c r="O2486" s="14">
        <v>91.513268197679992</v>
      </c>
      <c r="P2486" s="14">
        <v>0.9486</v>
      </c>
      <c r="Q2486" t="s">
        <v>137</v>
      </c>
    </row>
    <row r="2487" spans="1:17" hidden="1" x14ac:dyDescent="0.25">
      <c r="A2487" s="7" t="s">
        <v>182</v>
      </c>
      <c r="B2487" s="13" t="s">
        <v>18</v>
      </c>
      <c r="C2487" s="7" t="s">
        <v>19</v>
      </c>
      <c r="D2487" s="7" t="s">
        <v>20</v>
      </c>
      <c r="E2487" s="7" t="s">
        <v>21</v>
      </c>
      <c r="F2487" s="7" t="s">
        <v>35</v>
      </c>
      <c r="G2487" s="7" t="s">
        <v>36</v>
      </c>
      <c r="H2487" s="7" t="s">
        <v>227</v>
      </c>
      <c r="I2487" s="8" t="s">
        <v>230</v>
      </c>
      <c r="J2487" s="14">
        <v>9.9907435743999997</v>
      </c>
      <c r="K2487" s="14">
        <v>9.990722336444799</v>
      </c>
      <c r="L2487" s="14">
        <v>0.78573259151999997</v>
      </c>
      <c r="M2487" s="14">
        <v>110.40100616800001</v>
      </c>
      <c r="N2487" s="14">
        <v>245.86892288880003</v>
      </c>
      <c r="O2487" s="14">
        <v>7.1977224861680007</v>
      </c>
      <c r="P2487" s="14">
        <v>4.2017000000000007</v>
      </c>
      <c r="Q2487" t="s">
        <v>137</v>
      </c>
    </row>
    <row r="2488" spans="1:17" hidden="1" x14ac:dyDescent="0.25">
      <c r="A2488" s="7" t="s">
        <v>182</v>
      </c>
      <c r="B2488" s="13" t="s">
        <v>18</v>
      </c>
      <c r="C2488" s="7" t="s">
        <v>19</v>
      </c>
      <c r="D2488" s="7" t="s">
        <v>20</v>
      </c>
      <c r="E2488" s="7" t="s">
        <v>21</v>
      </c>
      <c r="F2488" s="7" t="s">
        <v>35</v>
      </c>
      <c r="G2488" s="7" t="s">
        <v>36</v>
      </c>
      <c r="H2488" s="7" t="s">
        <v>227</v>
      </c>
      <c r="I2488" s="8" t="s">
        <v>231</v>
      </c>
      <c r="J2488" s="14">
        <v>0.27609999999999996</v>
      </c>
      <c r="K2488" s="14">
        <v>3.4512499999999995E-2</v>
      </c>
      <c r="L2488" s="14">
        <v>0.78289999999999993</v>
      </c>
      <c r="M2488" s="14">
        <v>2.5636999999999999</v>
      </c>
      <c r="N2488" s="14">
        <v>11.9123</v>
      </c>
      <c r="O2488" s="14">
        <v>0.7681</v>
      </c>
      <c r="P2488" s="14">
        <v>0</v>
      </c>
      <c r="Q2488" t="s">
        <v>137</v>
      </c>
    </row>
    <row r="2489" spans="1:17" hidden="1" x14ac:dyDescent="0.25">
      <c r="A2489" s="7" t="s">
        <v>182</v>
      </c>
      <c r="B2489" s="13" t="s">
        <v>18</v>
      </c>
      <c r="C2489" s="7" t="s">
        <v>19</v>
      </c>
      <c r="D2489" s="7" t="s">
        <v>20</v>
      </c>
      <c r="E2489" s="7" t="s">
        <v>21</v>
      </c>
      <c r="F2489" s="7" t="s">
        <v>35</v>
      </c>
      <c r="G2489" s="7" t="s">
        <v>36</v>
      </c>
      <c r="H2489" s="7" t="s">
        <v>227</v>
      </c>
      <c r="I2489" s="8" t="s">
        <v>228</v>
      </c>
      <c r="J2489" s="14">
        <v>139.22798940067645</v>
      </c>
      <c r="K2489" s="14">
        <v>106.95250924888158</v>
      </c>
      <c r="L2489" s="14">
        <v>5.7947201342963197</v>
      </c>
      <c r="M2489" s="14">
        <v>811.19714820148477</v>
      </c>
      <c r="N2489" s="14">
        <v>962.02564238271998</v>
      </c>
      <c r="O2489" s="14">
        <v>142.70741463104963</v>
      </c>
      <c r="P2489" s="14">
        <v>30.943372286875203</v>
      </c>
      <c r="Q2489" t="s">
        <v>137</v>
      </c>
    </row>
    <row r="2490" spans="1:17" hidden="1" x14ac:dyDescent="0.25">
      <c r="A2490" s="7" t="s">
        <v>182</v>
      </c>
      <c r="B2490" s="13" t="s">
        <v>18</v>
      </c>
      <c r="C2490" s="7" t="s">
        <v>19</v>
      </c>
      <c r="D2490" s="7" t="s">
        <v>20</v>
      </c>
      <c r="E2490" s="7" t="s">
        <v>21</v>
      </c>
      <c r="F2490" s="7" t="s">
        <v>35</v>
      </c>
      <c r="G2490" s="7" t="s">
        <v>36</v>
      </c>
      <c r="H2490" s="7" t="s">
        <v>227</v>
      </c>
      <c r="I2490" s="8" t="s">
        <v>232</v>
      </c>
      <c r="J2490" s="14">
        <v>2.7209936124863998</v>
      </c>
      <c r="K2490" s="14">
        <v>1.3097274062432001</v>
      </c>
      <c r="L2490" s="14">
        <v>0</v>
      </c>
      <c r="M2490" s="14">
        <v>0</v>
      </c>
      <c r="N2490" s="14">
        <v>0</v>
      </c>
      <c r="O2490" s="14">
        <v>0.57477769184860761</v>
      </c>
      <c r="P2490" s="14">
        <v>0</v>
      </c>
      <c r="Q2490" t="s">
        <v>137</v>
      </c>
    </row>
    <row r="2491" spans="1:17" hidden="1" x14ac:dyDescent="0.25">
      <c r="A2491" s="7" t="s">
        <v>182</v>
      </c>
      <c r="B2491" s="13" t="s">
        <v>18</v>
      </c>
      <c r="C2491" s="7" t="s">
        <v>19</v>
      </c>
      <c r="D2491" s="7" t="s">
        <v>20</v>
      </c>
      <c r="E2491" s="7" t="s">
        <v>21</v>
      </c>
      <c r="F2491" s="7" t="s">
        <v>35</v>
      </c>
      <c r="G2491" s="7" t="s">
        <v>36</v>
      </c>
      <c r="H2491" s="7" t="s">
        <v>227</v>
      </c>
      <c r="I2491" s="8" t="s">
        <v>233</v>
      </c>
      <c r="J2491" s="14">
        <v>3.0617031680000002</v>
      </c>
      <c r="K2491" s="14">
        <v>3.0617004680000006</v>
      </c>
      <c r="L2491" s="14">
        <v>0.24200145242395998</v>
      </c>
      <c r="M2491" s="14">
        <v>33.835358864</v>
      </c>
      <c r="N2491" s="14">
        <v>40.301469400000002</v>
      </c>
      <c r="O2491" s="14">
        <v>2.2132000000000001</v>
      </c>
      <c r="P2491" s="14">
        <v>1.2917999999999998</v>
      </c>
      <c r="Q2491" t="s">
        <v>137</v>
      </c>
    </row>
    <row r="2492" spans="1:17" hidden="1" x14ac:dyDescent="0.25">
      <c r="A2492" s="7" t="s">
        <v>182</v>
      </c>
      <c r="B2492" s="13" t="s">
        <v>18</v>
      </c>
      <c r="C2492" s="7" t="s">
        <v>19</v>
      </c>
      <c r="D2492" s="7" t="s">
        <v>20</v>
      </c>
      <c r="E2492" s="7" t="s">
        <v>21</v>
      </c>
      <c r="F2492" s="7" t="s">
        <v>35</v>
      </c>
      <c r="G2492" s="7" t="s">
        <v>36</v>
      </c>
      <c r="H2492" s="7" t="s">
        <v>227</v>
      </c>
      <c r="I2492" s="8" t="s">
        <v>234</v>
      </c>
      <c r="J2492" s="14">
        <v>9.7113999999999992E-2</v>
      </c>
      <c r="K2492" s="14">
        <v>9.1330000000000022E-2</v>
      </c>
      <c r="L2492" s="14">
        <v>1.0149999999999999E-2</v>
      </c>
      <c r="M2492" s="14">
        <v>0.48185</v>
      </c>
      <c r="N2492" s="14">
        <v>0.38849</v>
      </c>
      <c r="O2492" s="14">
        <v>5.7735564799999999</v>
      </c>
      <c r="P2492" s="14">
        <v>0</v>
      </c>
      <c r="Q2492" t="s">
        <v>137</v>
      </c>
    </row>
    <row r="2493" spans="1:17" hidden="1" x14ac:dyDescent="0.25">
      <c r="A2493" s="7" t="s">
        <v>182</v>
      </c>
      <c r="B2493" s="13" t="s">
        <v>18</v>
      </c>
      <c r="C2493" s="7" t="s">
        <v>19</v>
      </c>
      <c r="D2493" s="7" t="s">
        <v>20</v>
      </c>
      <c r="E2493" s="7" t="s">
        <v>21</v>
      </c>
      <c r="F2493" s="7" t="s">
        <v>35</v>
      </c>
      <c r="G2493" s="7" t="s">
        <v>36</v>
      </c>
      <c r="H2493" s="7" t="s">
        <v>227</v>
      </c>
      <c r="I2493" s="8" t="s">
        <v>235</v>
      </c>
      <c r="J2493" s="14">
        <v>29.451696000000002</v>
      </c>
      <c r="K2493" s="14">
        <v>29.011289999999999</v>
      </c>
      <c r="L2493" s="14">
        <v>5.16E-2</v>
      </c>
      <c r="M2493" s="14">
        <v>7.2471999999999994</v>
      </c>
      <c r="N2493" s="14">
        <v>181.2261</v>
      </c>
      <c r="O2493" s="14">
        <v>194.25324000000003</v>
      </c>
      <c r="P2493" s="14">
        <v>0.27700000000000002</v>
      </c>
      <c r="Q2493" t="s">
        <v>137</v>
      </c>
    </row>
    <row r="2494" spans="1:17" hidden="1" x14ac:dyDescent="0.25">
      <c r="A2494" s="7" t="s">
        <v>182</v>
      </c>
      <c r="B2494" s="13" t="s">
        <v>18</v>
      </c>
      <c r="C2494" s="7" t="s">
        <v>19</v>
      </c>
      <c r="D2494" s="7" t="s">
        <v>20</v>
      </c>
      <c r="E2494" s="7" t="s">
        <v>21</v>
      </c>
      <c r="F2494" s="7" t="s">
        <v>41</v>
      </c>
      <c r="G2494" s="7" t="s">
        <v>42</v>
      </c>
      <c r="H2494" s="7" t="s">
        <v>227</v>
      </c>
      <c r="I2494" s="8" t="s">
        <v>228</v>
      </c>
      <c r="J2494" s="14">
        <v>10.061999999999999</v>
      </c>
      <c r="K2494" s="14">
        <v>8.9504999999999999</v>
      </c>
      <c r="L2494" s="14">
        <v>0.216</v>
      </c>
      <c r="M2494" s="14">
        <v>0</v>
      </c>
      <c r="N2494" s="14">
        <v>0.18</v>
      </c>
      <c r="O2494" s="14">
        <v>0.315</v>
      </c>
      <c r="P2494" s="14">
        <v>0</v>
      </c>
      <c r="Q2494" t="s">
        <v>137</v>
      </c>
    </row>
    <row r="2495" spans="1:17" hidden="1" x14ac:dyDescent="0.25">
      <c r="A2495" s="7" t="s">
        <v>182</v>
      </c>
      <c r="B2495" s="13" t="s">
        <v>18</v>
      </c>
      <c r="C2495" s="7" t="s">
        <v>19</v>
      </c>
      <c r="D2495" s="7" t="s">
        <v>20</v>
      </c>
      <c r="E2495" s="7" t="s">
        <v>21</v>
      </c>
      <c r="F2495" s="7" t="s">
        <v>41</v>
      </c>
      <c r="G2495" s="7" t="s">
        <v>42</v>
      </c>
      <c r="H2495" s="7" t="s">
        <v>227</v>
      </c>
      <c r="I2495" s="8" t="s">
        <v>236</v>
      </c>
      <c r="J2495" s="14">
        <v>951.25485789982599</v>
      </c>
      <c r="K2495" s="14">
        <v>517.5974275118333</v>
      </c>
      <c r="L2495" s="14">
        <v>8728.4511616795262</v>
      </c>
      <c r="M2495" s="14">
        <v>1218.2370813533239</v>
      </c>
      <c r="N2495" s="14">
        <v>3372.1771170814018</v>
      </c>
      <c r="O2495" s="14">
        <v>1218.8225375257123</v>
      </c>
      <c r="P2495" s="14">
        <v>52.312664450831662</v>
      </c>
      <c r="Q2495" t="s">
        <v>137</v>
      </c>
    </row>
    <row r="2496" spans="1:17" hidden="1" x14ac:dyDescent="0.25">
      <c r="A2496" s="7" t="s">
        <v>182</v>
      </c>
      <c r="B2496" s="13" t="s">
        <v>18</v>
      </c>
      <c r="C2496" s="7" t="s">
        <v>19</v>
      </c>
      <c r="D2496" s="7" t="s">
        <v>20</v>
      </c>
      <c r="E2496" s="7" t="s">
        <v>21</v>
      </c>
      <c r="F2496" s="7" t="s">
        <v>41</v>
      </c>
      <c r="G2496" s="7" t="s">
        <v>42</v>
      </c>
      <c r="H2496" s="7" t="s">
        <v>227</v>
      </c>
      <c r="I2496" s="8" t="s">
        <v>233</v>
      </c>
      <c r="J2496" s="14">
        <v>9.5799999999999996E-2</v>
      </c>
      <c r="K2496" s="14">
        <v>9.5799999999999996E-2</v>
      </c>
      <c r="L2496" s="14">
        <v>0</v>
      </c>
      <c r="M2496" s="14">
        <v>1.0169999999999999</v>
      </c>
      <c r="N2496" s="14">
        <v>1.7857000000000001</v>
      </c>
      <c r="O2496" s="14">
        <v>0</v>
      </c>
      <c r="P2496" s="14">
        <v>0</v>
      </c>
      <c r="Q2496" t="s">
        <v>137</v>
      </c>
    </row>
    <row r="2497" spans="1:17" hidden="1" x14ac:dyDescent="0.25">
      <c r="A2497" s="7" t="s">
        <v>182</v>
      </c>
      <c r="B2497" s="13" t="s">
        <v>18</v>
      </c>
      <c r="C2497" s="7" t="s">
        <v>19</v>
      </c>
      <c r="D2497" s="7" t="s">
        <v>20</v>
      </c>
      <c r="E2497" s="7" t="s">
        <v>21</v>
      </c>
      <c r="F2497" s="7" t="s">
        <v>41</v>
      </c>
      <c r="G2497" s="7" t="s">
        <v>42</v>
      </c>
      <c r="H2497" s="7" t="s">
        <v>227</v>
      </c>
      <c r="I2497" s="8" t="s">
        <v>234</v>
      </c>
      <c r="J2497" s="14">
        <v>1.7917200000000001E-2</v>
      </c>
      <c r="K2497" s="14">
        <v>1.2127199999999999E-2</v>
      </c>
      <c r="L2497" s="14">
        <v>0.98709999999999987</v>
      </c>
      <c r="M2497" s="14">
        <v>2.0672000000000001</v>
      </c>
      <c r="N2497" s="14">
        <v>0.5474</v>
      </c>
      <c r="O2497" s="14">
        <v>0</v>
      </c>
      <c r="P2497" s="14">
        <v>0</v>
      </c>
      <c r="Q2497" t="s">
        <v>137</v>
      </c>
    </row>
    <row r="2498" spans="1:17" hidden="1" x14ac:dyDescent="0.25">
      <c r="A2498" s="7" t="s">
        <v>182</v>
      </c>
      <c r="B2498" s="13" t="s">
        <v>18</v>
      </c>
      <c r="C2498" s="7" t="s">
        <v>19</v>
      </c>
      <c r="D2498" s="7" t="s">
        <v>20</v>
      </c>
      <c r="E2498" s="7" t="s">
        <v>21</v>
      </c>
      <c r="F2498" s="7" t="s">
        <v>43</v>
      </c>
      <c r="G2498" s="7" t="s">
        <v>44</v>
      </c>
      <c r="H2498" s="7" t="s">
        <v>227</v>
      </c>
      <c r="I2498" s="8" t="s">
        <v>237</v>
      </c>
      <c r="J2498" s="14">
        <v>31.687262277332799</v>
      </c>
      <c r="K2498" s="14">
        <v>21.817825168552801</v>
      </c>
      <c r="L2498" s="14">
        <v>0.47839999999999994</v>
      </c>
      <c r="M2498" s="14">
        <v>72.47689901216205</v>
      </c>
      <c r="N2498" s="14">
        <v>44.927726089980922</v>
      </c>
      <c r="O2498" s="14">
        <v>4.384500000000001</v>
      </c>
      <c r="P2498" s="14">
        <v>2.5595000000000003</v>
      </c>
      <c r="Q2498" t="s">
        <v>137</v>
      </c>
    </row>
    <row r="2499" spans="1:17" hidden="1" x14ac:dyDescent="0.25">
      <c r="A2499" s="7" t="s">
        <v>182</v>
      </c>
      <c r="B2499" s="13" t="s">
        <v>18</v>
      </c>
      <c r="C2499" s="7" t="s">
        <v>19</v>
      </c>
      <c r="D2499" s="7" t="s">
        <v>20</v>
      </c>
      <c r="E2499" s="7" t="s">
        <v>21</v>
      </c>
      <c r="F2499" s="7" t="s">
        <v>43</v>
      </c>
      <c r="G2499" s="7" t="s">
        <v>44</v>
      </c>
      <c r="H2499" s="7" t="s">
        <v>227</v>
      </c>
      <c r="I2499" s="8" t="s">
        <v>228</v>
      </c>
      <c r="J2499" s="14">
        <v>1.1641586399999999</v>
      </c>
      <c r="K2499" s="14">
        <v>0.85439664000000015</v>
      </c>
      <c r="L2499" s="14">
        <v>3.1262399999999997E-3</v>
      </c>
      <c r="M2499" s="14">
        <v>0.61037359999999996</v>
      </c>
      <c r="N2499" s="14">
        <v>0.82423999999999997</v>
      </c>
      <c r="O2499" s="14">
        <v>2.8657200000000004E-2</v>
      </c>
      <c r="P2499" s="14">
        <v>1.6728640499999999E-2</v>
      </c>
      <c r="Q2499" t="s">
        <v>137</v>
      </c>
    </row>
    <row r="2500" spans="1:17" hidden="1" x14ac:dyDescent="0.25">
      <c r="A2500" s="7" t="s">
        <v>182</v>
      </c>
      <c r="B2500" s="13" t="s">
        <v>18</v>
      </c>
      <c r="C2500" s="7" t="s">
        <v>19</v>
      </c>
      <c r="D2500" s="7" t="s">
        <v>20</v>
      </c>
      <c r="E2500" s="7" t="s">
        <v>21</v>
      </c>
      <c r="F2500" s="7" t="s">
        <v>43</v>
      </c>
      <c r="G2500" s="7" t="s">
        <v>44</v>
      </c>
      <c r="H2500" s="7" t="s">
        <v>227</v>
      </c>
      <c r="I2500" s="8" t="s">
        <v>233</v>
      </c>
      <c r="J2500" s="14">
        <v>0.55940000000000001</v>
      </c>
      <c r="K2500" s="14">
        <v>0.55940000000000001</v>
      </c>
      <c r="L2500" s="14">
        <v>4.4199999999999996E-2</v>
      </c>
      <c r="M2500" s="14">
        <v>6.1837999999999997</v>
      </c>
      <c r="N2500" s="14">
        <v>7.3616999999999999</v>
      </c>
      <c r="O2500" s="14">
        <v>0.40479999999999999</v>
      </c>
      <c r="P2500" s="14">
        <v>0.2364</v>
      </c>
      <c r="Q2500" t="s">
        <v>137</v>
      </c>
    </row>
    <row r="2501" spans="1:17" hidden="1" x14ac:dyDescent="0.25">
      <c r="A2501" s="7" t="s">
        <v>182</v>
      </c>
      <c r="B2501" s="13" t="s">
        <v>18</v>
      </c>
      <c r="C2501" s="7" t="s">
        <v>19</v>
      </c>
      <c r="D2501" s="7" t="s">
        <v>20</v>
      </c>
      <c r="E2501" s="7" t="s">
        <v>21</v>
      </c>
      <c r="F2501" s="7" t="s">
        <v>47</v>
      </c>
      <c r="G2501" s="7" t="s">
        <v>48</v>
      </c>
      <c r="H2501" s="7" t="s">
        <v>227</v>
      </c>
      <c r="I2501" s="8" t="s">
        <v>229</v>
      </c>
      <c r="J2501" s="14">
        <v>38.186117077975901</v>
      </c>
      <c r="K2501" s="14">
        <v>30.926522286586252</v>
      </c>
      <c r="L2501" s="14">
        <v>0.58080000000000009</v>
      </c>
      <c r="M2501" s="14">
        <v>90.337460516687301</v>
      </c>
      <c r="N2501" s="14">
        <v>138.0394</v>
      </c>
      <c r="O2501" s="14">
        <v>150.43705099995995</v>
      </c>
      <c r="P2501" s="14">
        <v>3.0686000000000013</v>
      </c>
      <c r="Q2501" t="s">
        <v>137</v>
      </c>
    </row>
    <row r="2502" spans="1:17" hidden="1" x14ac:dyDescent="0.25">
      <c r="A2502" s="7" t="s">
        <v>182</v>
      </c>
      <c r="B2502" s="13" t="s">
        <v>18</v>
      </c>
      <c r="C2502" s="7" t="s">
        <v>19</v>
      </c>
      <c r="D2502" s="7" t="s">
        <v>20</v>
      </c>
      <c r="E2502" s="7" t="s">
        <v>21</v>
      </c>
      <c r="F2502" s="7" t="s">
        <v>47</v>
      </c>
      <c r="G2502" s="7" t="s">
        <v>48</v>
      </c>
      <c r="H2502" s="7" t="s">
        <v>227</v>
      </c>
      <c r="I2502" s="8" t="s">
        <v>228</v>
      </c>
      <c r="J2502" s="14">
        <v>32.262721107343999</v>
      </c>
      <c r="K2502" s="14">
        <v>23.859942034471995</v>
      </c>
      <c r="L2502" s="14">
        <v>0.18813232960000001</v>
      </c>
      <c r="M2502" s="14">
        <v>23.051426143999997</v>
      </c>
      <c r="N2502" s="14">
        <v>48.21172159999999</v>
      </c>
      <c r="O2502" s="14">
        <v>20.930787688000002</v>
      </c>
      <c r="P2502" s="14">
        <v>0.87170695537000009</v>
      </c>
      <c r="Q2502" t="s">
        <v>137</v>
      </c>
    </row>
    <row r="2503" spans="1:17" hidden="1" x14ac:dyDescent="0.25">
      <c r="A2503" s="7" t="s">
        <v>182</v>
      </c>
      <c r="B2503" s="13" t="s">
        <v>18</v>
      </c>
      <c r="C2503" s="7" t="s">
        <v>19</v>
      </c>
      <c r="D2503" s="7" t="s">
        <v>20</v>
      </c>
      <c r="E2503" s="7" t="s">
        <v>21</v>
      </c>
      <c r="F2503" s="7" t="s">
        <v>47</v>
      </c>
      <c r="G2503" s="7" t="s">
        <v>48</v>
      </c>
      <c r="H2503" s="7" t="s">
        <v>227</v>
      </c>
      <c r="I2503" s="8" t="s">
        <v>232</v>
      </c>
      <c r="J2503" s="14">
        <v>0.41742404231839991</v>
      </c>
      <c r="K2503" s="14">
        <v>0.23641202115919996</v>
      </c>
      <c r="L2503" s="14">
        <v>0</v>
      </c>
      <c r="M2503" s="14">
        <v>0.5877</v>
      </c>
      <c r="N2503" s="14">
        <v>1.0316999999999998</v>
      </c>
      <c r="O2503" s="14">
        <v>4.9586958943752348E-2</v>
      </c>
      <c r="P2503" s="14">
        <v>0</v>
      </c>
      <c r="Q2503" t="s">
        <v>137</v>
      </c>
    </row>
    <row r="2504" spans="1:17" hidden="1" x14ac:dyDescent="0.25">
      <c r="A2504" s="7" t="s">
        <v>182</v>
      </c>
      <c r="B2504" s="13" t="s">
        <v>18</v>
      </c>
      <c r="C2504" s="7" t="s">
        <v>19</v>
      </c>
      <c r="D2504" s="7" t="s">
        <v>20</v>
      </c>
      <c r="E2504" s="7" t="s">
        <v>21</v>
      </c>
      <c r="F2504" s="7" t="s">
        <v>47</v>
      </c>
      <c r="G2504" s="7" t="s">
        <v>48</v>
      </c>
      <c r="H2504" s="7" t="s">
        <v>227</v>
      </c>
      <c r="I2504" s="8" t="s">
        <v>233</v>
      </c>
      <c r="J2504" s="14">
        <v>5.3723367143398013</v>
      </c>
      <c r="K2504" s="14">
        <v>3.7095183571699</v>
      </c>
      <c r="L2504" s="14">
        <v>12.553340080000002</v>
      </c>
      <c r="M2504" s="14">
        <v>22.1708</v>
      </c>
      <c r="N2504" s="14">
        <v>303.35304260999999</v>
      </c>
      <c r="O2504" s="14">
        <v>0.72240000000000004</v>
      </c>
      <c r="P2504" s="14">
        <v>0.42169999999999996</v>
      </c>
      <c r="Q2504" t="s">
        <v>137</v>
      </c>
    </row>
    <row r="2505" spans="1:17" hidden="1" x14ac:dyDescent="0.25">
      <c r="A2505" s="7" t="s">
        <v>182</v>
      </c>
      <c r="B2505" s="13" t="s">
        <v>18</v>
      </c>
      <c r="C2505" s="7" t="s">
        <v>19</v>
      </c>
      <c r="D2505" s="7"/>
      <c r="E2505" s="7"/>
      <c r="F2505" s="7" t="s">
        <v>55</v>
      </c>
      <c r="G2505" s="7" t="s">
        <v>56</v>
      </c>
      <c r="H2505" s="7" t="s">
        <v>227</v>
      </c>
      <c r="I2505" s="8" t="s">
        <v>228</v>
      </c>
      <c r="J2505" s="14">
        <v>6.7768600000000001</v>
      </c>
      <c r="K2505" s="14">
        <v>5.0416600000000003</v>
      </c>
      <c r="L2505" s="14">
        <v>4.48E-2</v>
      </c>
      <c r="M2505" s="14">
        <v>6.2853999999999992</v>
      </c>
      <c r="N2505" s="14">
        <v>7.4826000000000006</v>
      </c>
      <c r="O2505" s="14">
        <v>0.41150000000000003</v>
      </c>
      <c r="P2505" s="14">
        <v>0.2402</v>
      </c>
      <c r="Q2505" t="s">
        <v>137</v>
      </c>
    </row>
    <row r="2506" spans="1:17" hidden="1" x14ac:dyDescent="0.25">
      <c r="A2506" s="7" t="s">
        <v>182</v>
      </c>
      <c r="B2506" s="13" t="s">
        <v>18</v>
      </c>
      <c r="C2506" s="7" t="s">
        <v>19</v>
      </c>
      <c r="D2506" s="7"/>
      <c r="E2506" s="7"/>
      <c r="F2506" s="7" t="s">
        <v>55</v>
      </c>
      <c r="G2506" s="7" t="s">
        <v>56</v>
      </c>
      <c r="H2506" s="7" t="s">
        <v>227</v>
      </c>
      <c r="I2506" s="8" t="s">
        <v>233</v>
      </c>
      <c r="J2506" s="14">
        <v>0.25436749999999997</v>
      </c>
      <c r="K2506" s="14">
        <v>0.14057650000000002</v>
      </c>
      <c r="L2506" s="14">
        <v>0</v>
      </c>
      <c r="M2506" s="14">
        <v>8.0000000000000004E-4</v>
      </c>
      <c r="N2506" s="14">
        <v>1.4E-3</v>
      </c>
      <c r="O2506" s="14">
        <v>0</v>
      </c>
      <c r="P2506" s="14">
        <v>0</v>
      </c>
      <c r="Q2506" t="s">
        <v>137</v>
      </c>
    </row>
    <row r="2507" spans="1:17" hidden="1" x14ac:dyDescent="0.25">
      <c r="A2507" s="7" t="s">
        <v>182</v>
      </c>
      <c r="B2507" s="13" t="s">
        <v>18</v>
      </c>
      <c r="C2507" s="7" t="s">
        <v>19</v>
      </c>
      <c r="D2507" s="7" t="s">
        <v>20</v>
      </c>
      <c r="E2507" s="7" t="s">
        <v>21</v>
      </c>
      <c r="F2507" s="7" t="s">
        <v>59</v>
      </c>
      <c r="G2507" s="7" t="s">
        <v>60</v>
      </c>
      <c r="H2507" s="7" t="s">
        <v>227</v>
      </c>
      <c r="I2507" s="8" t="s">
        <v>229</v>
      </c>
      <c r="J2507" s="14">
        <v>590.59625312224034</v>
      </c>
      <c r="K2507" s="14">
        <v>260.68980238975843</v>
      </c>
      <c r="L2507" s="14">
        <v>1.2246323848639991</v>
      </c>
      <c r="M2507" s="14">
        <v>884.86873879850987</v>
      </c>
      <c r="N2507" s="14">
        <v>199.37816414399992</v>
      </c>
      <c r="O2507" s="14">
        <v>42.088493527919987</v>
      </c>
      <c r="P2507" s="14">
        <v>6.4016690219232908</v>
      </c>
      <c r="Q2507" t="s">
        <v>137</v>
      </c>
    </row>
    <row r="2508" spans="1:17" hidden="1" x14ac:dyDescent="0.25">
      <c r="A2508" s="7" t="s">
        <v>182</v>
      </c>
      <c r="B2508" s="13" t="s">
        <v>18</v>
      </c>
      <c r="C2508" s="7" t="s">
        <v>19</v>
      </c>
      <c r="D2508" s="7" t="s">
        <v>20</v>
      </c>
      <c r="E2508" s="7" t="s">
        <v>21</v>
      </c>
      <c r="F2508" s="7" t="s">
        <v>59</v>
      </c>
      <c r="G2508" s="7" t="s">
        <v>60</v>
      </c>
      <c r="H2508" s="7" t="s">
        <v>227</v>
      </c>
      <c r="I2508" s="8" t="s">
        <v>237</v>
      </c>
      <c r="J2508" s="14">
        <v>42.211267275966478</v>
      </c>
      <c r="K2508" s="14">
        <v>22.782401637983238</v>
      </c>
      <c r="L2508" s="14">
        <v>4.7049999999999988E-2</v>
      </c>
      <c r="M2508" s="14">
        <v>65.859499999999997</v>
      </c>
      <c r="N2508" s="14">
        <v>78.404299999999992</v>
      </c>
      <c r="O2508" s="14">
        <v>4.3121999999999998</v>
      </c>
      <c r="P2508" s="14">
        <v>2.5171999999999999</v>
      </c>
      <c r="Q2508" t="s">
        <v>137</v>
      </c>
    </row>
    <row r="2509" spans="1:17" hidden="1" x14ac:dyDescent="0.25">
      <c r="A2509" s="7" t="s">
        <v>182</v>
      </c>
      <c r="B2509" s="13" t="s">
        <v>18</v>
      </c>
      <c r="C2509" s="7" t="s">
        <v>19</v>
      </c>
      <c r="D2509" s="7" t="s">
        <v>20</v>
      </c>
      <c r="E2509" s="7" t="s">
        <v>21</v>
      </c>
      <c r="F2509" s="7" t="s">
        <v>59</v>
      </c>
      <c r="G2509" s="7" t="s">
        <v>60</v>
      </c>
      <c r="H2509" s="7" t="s">
        <v>227</v>
      </c>
      <c r="I2509" s="8" t="s">
        <v>231</v>
      </c>
      <c r="J2509" s="14">
        <v>69.728074635550001</v>
      </c>
      <c r="K2509" s="14">
        <v>69.728074635550001</v>
      </c>
      <c r="L2509" s="14">
        <v>5.9533000000000005</v>
      </c>
      <c r="M2509" s="14">
        <v>732.39879999999994</v>
      </c>
      <c r="N2509" s="14">
        <v>575.71599100000003</v>
      </c>
      <c r="O2509" s="14">
        <v>29.523199999999999</v>
      </c>
      <c r="P2509" s="14">
        <v>10.322699999999999</v>
      </c>
      <c r="Q2509" t="s">
        <v>137</v>
      </c>
    </row>
    <row r="2510" spans="1:17" hidden="1" x14ac:dyDescent="0.25">
      <c r="A2510" s="7" t="s">
        <v>182</v>
      </c>
      <c r="B2510" s="13" t="s">
        <v>18</v>
      </c>
      <c r="C2510" s="7" t="s">
        <v>19</v>
      </c>
      <c r="D2510" s="7" t="s">
        <v>20</v>
      </c>
      <c r="E2510" s="7" t="s">
        <v>21</v>
      </c>
      <c r="F2510" s="7" t="s">
        <v>59</v>
      </c>
      <c r="G2510" s="7" t="s">
        <v>60</v>
      </c>
      <c r="H2510" s="7" t="s">
        <v>227</v>
      </c>
      <c r="I2510" s="8" t="s">
        <v>228</v>
      </c>
      <c r="J2510" s="14">
        <v>277.09270847387199</v>
      </c>
      <c r="K2510" s="14">
        <v>210.16801961323603</v>
      </c>
      <c r="L2510" s="14">
        <v>64.954540359416782</v>
      </c>
      <c r="M2510" s="14">
        <v>207.46329911047999</v>
      </c>
      <c r="N2510" s="14">
        <v>411.69697864099999</v>
      </c>
      <c r="O2510" s="14">
        <v>21.724370796104004</v>
      </c>
      <c r="P2510" s="14">
        <v>5.0203782672994297</v>
      </c>
      <c r="Q2510" t="s">
        <v>137</v>
      </c>
    </row>
    <row r="2511" spans="1:17" hidden="1" x14ac:dyDescent="0.25">
      <c r="A2511" s="7" t="s">
        <v>182</v>
      </c>
      <c r="B2511" s="13" t="s">
        <v>18</v>
      </c>
      <c r="C2511" s="7" t="s">
        <v>19</v>
      </c>
      <c r="D2511" s="7" t="s">
        <v>20</v>
      </c>
      <c r="E2511" s="7" t="s">
        <v>21</v>
      </c>
      <c r="F2511" s="7" t="s">
        <v>59</v>
      </c>
      <c r="G2511" s="7" t="s">
        <v>60</v>
      </c>
      <c r="H2511" s="7" t="s">
        <v>227</v>
      </c>
      <c r="I2511" s="8" t="s">
        <v>236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  <c r="O2511" s="14">
        <v>1.743E-3</v>
      </c>
      <c r="P2511" s="14">
        <v>0</v>
      </c>
      <c r="Q2511" t="s">
        <v>137</v>
      </c>
    </row>
    <row r="2512" spans="1:17" hidden="1" x14ac:dyDescent="0.25">
      <c r="A2512" s="7" t="s">
        <v>182</v>
      </c>
      <c r="B2512" s="13" t="s">
        <v>18</v>
      </c>
      <c r="C2512" s="7" t="s">
        <v>19</v>
      </c>
      <c r="D2512" s="7" t="s">
        <v>20</v>
      </c>
      <c r="E2512" s="7" t="s">
        <v>21</v>
      </c>
      <c r="F2512" s="7" t="s">
        <v>59</v>
      </c>
      <c r="G2512" s="7" t="s">
        <v>60</v>
      </c>
      <c r="H2512" s="7" t="s">
        <v>227</v>
      </c>
      <c r="I2512" s="8" t="s">
        <v>232</v>
      </c>
      <c r="J2512" s="14">
        <v>2.1157596339999998</v>
      </c>
      <c r="K2512" s="14">
        <v>1.0902494271600001</v>
      </c>
      <c r="L2512" s="14">
        <v>0</v>
      </c>
      <c r="M2512" s="14">
        <v>0</v>
      </c>
      <c r="N2512" s="14">
        <v>0</v>
      </c>
      <c r="O2512" s="14">
        <v>65.466059999999999</v>
      </c>
      <c r="P2512" s="14">
        <v>0</v>
      </c>
      <c r="Q2512" t="s">
        <v>137</v>
      </c>
    </row>
    <row r="2513" spans="1:17" hidden="1" x14ac:dyDescent="0.25">
      <c r="A2513" s="7" t="s">
        <v>182</v>
      </c>
      <c r="B2513" s="13" t="s">
        <v>18</v>
      </c>
      <c r="C2513" s="7" t="s">
        <v>19</v>
      </c>
      <c r="D2513" s="7" t="s">
        <v>20</v>
      </c>
      <c r="E2513" s="7" t="s">
        <v>21</v>
      </c>
      <c r="F2513" s="7" t="s">
        <v>59</v>
      </c>
      <c r="G2513" s="7" t="s">
        <v>60</v>
      </c>
      <c r="H2513" s="7" t="s">
        <v>227</v>
      </c>
      <c r="I2513" s="8" t="s">
        <v>233</v>
      </c>
      <c r="J2513" s="14">
        <v>32.426871490799989</v>
      </c>
      <c r="K2513" s="14">
        <v>19.77788684714</v>
      </c>
      <c r="L2513" s="14">
        <v>23.515344041296004</v>
      </c>
      <c r="M2513" s="14">
        <v>60.310456974518416</v>
      </c>
      <c r="N2513" s="14">
        <v>160.734872104</v>
      </c>
      <c r="O2513" s="14">
        <v>8.3178058456399988</v>
      </c>
      <c r="P2513" s="14">
        <v>1.7078662618559999</v>
      </c>
      <c r="Q2513" t="s">
        <v>137</v>
      </c>
    </row>
    <row r="2514" spans="1:17" hidden="1" x14ac:dyDescent="0.25">
      <c r="A2514" s="7" t="s">
        <v>182</v>
      </c>
      <c r="B2514" s="13" t="s">
        <v>18</v>
      </c>
      <c r="C2514" s="7" t="s">
        <v>19</v>
      </c>
      <c r="D2514" s="7" t="s">
        <v>20</v>
      </c>
      <c r="E2514" s="7" t="s">
        <v>21</v>
      </c>
      <c r="F2514" s="7" t="s">
        <v>59</v>
      </c>
      <c r="G2514" s="7" t="s">
        <v>60</v>
      </c>
      <c r="H2514" s="7" t="s">
        <v>227</v>
      </c>
      <c r="I2514" s="8" t="s">
        <v>234</v>
      </c>
      <c r="J2514" s="14">
        <v>4.5976447000000004E-2</v>
      </c>
      <c r="K2514" s="14">
        <v>4.5947922000000002E-2</v>
      </c>
      <c r="L2514" s="14">
        <v>0</v>
      </c>
      <c r="M2514" s="14">
        <v>0.48730000000000001</v>
      </c>
      <c r="N2514" s="14">
        <v>0.85560000000000003</v>
      </c>
      <c r="O2514" s="14">
        <v>0</v>
      </c>
      <c r="P2514" s="14">
        <v>0</v>
      </c>
      <c r="Q2514" t="s">
        <v>137</v>
      </c>
    </row>
    <row r="2515" spans="1:17" hidden="1" x14ac:dyDescent="0.25">
      <c r="A2515" s="7" t="s">
        <v>182</v>
      </c>
      <c r="B2515" s="13" t="s">
        <v>18</v>
      </c>
      <c r="C2515" s="7" t="s">
        <v>19</v>
      </c>
      <c r="D2515" s="7" t="s">
        <v>20</v>
      </c>
      <c r="E2515" s="7" t="s">
        <v>21</v>
      </c>
      <c r="F2515" s="7" t="s">
        <v>59</v>
      </c>
      <c r="G2515" s="7" t="s">
        <v>60</v>
      </c>
      <c r="H2515" s="7" t="s">
        <v>227</v>
      </c>
      <c r="I2515" s="8" t="s">
        <v>235</v>
      </c>
      <c r="J2515" s="14">
        <v>48.66256915540189</v>
      </c>
      <c r="K2515" s="14">
        <v>45.448191572309433</v>
      </c>
      <c r="L2515" s="14">
        <v>470.14294762164798</v>
      </c>
      <c r="M2515" s="14">
        <v>135.02986703072003</v>
      </c>
      <c r="N2515" s="14">
        <v>1018.2762036079998</v>
      </c>
      <c r="O2515" s="14">
        <v>25.253172088440003</v>
      </c>
      <c r="P2515" s="14">
        <v>5.9940377420893496</v>
      </c>
      <c r="Q2515" t="s">
        <v>137</v>
      </c>
    </row>
    <row r="2516" spans="1:17" hidden="1" x14ac:dyDescent="0.25">
      <c r="A2516" s="7" t="s">
        <v>182</v>
      </c>
      <c r="B2516" s="13" t="s">
        <v>18</v>
      </c>
      <c r="C2516" s="7" t="s">
        <v>19</v>
      </c>
      <c r="D2516" s="7" t="s">
        <v>20</v>
      </c>
      <c r="E2516" s="7" t="s">
        <v>21</v>
      </c>
      <c r="F2516" s="7" t="s">
        <v>61</v>
      </c>
      <c r="G2516" s="7" t="s">
        <v>62</v>
      </c>
      <c r="H2516" s="7" t="s">
        <v>227</v>
      </c>
      <c r="I2516" s="8" t="s">
        <v>231</v>
      </c>
      <c r="J2516" s="14">
        <v>4.4096000000000002</v>
      </c>
      <c r="K2516" s="14">
        <v>4.4096000000000002</v>
      </c>
      <c r="L2516" s="14">
        <v>6.0100000000000001E-2</v>
      </c>
      <c r="M2516" s="14">
        <v>6.9083000000000006</v>
      </c>
      <c r="N2516" s="14">
        <v>26.958500000000001</v>
      </c>
      <c r="O2516" s="14">
        <v>0.1769</v>
      </c>
      <c r="P2516" s="14">
        <v>0</v>
      </c>
      <c r="Q2516" t="s">
        <v>137</v>
      </c>
    </row>
    <row r="2517" spans="1:17" hidden="1" x14ac:dyDescent="0.25">
      <c r="A2517" s="7" t="s">
        <v>182</v>
      </c>
      <c r="B2517" s="13" t="s">
        <v>18</v>
      </c>
      <c r="C2517" s="7" t="s">
        <v>19</v>
      </c>
      <c r="D2517" s="7" t="s">
        <v>20</v>
      </c>
      <c r="E2517" s="7" t="s">
        <v>21</v>
      </c>
      <c r="F2517" s="7" t="s">
        <v>61</v>
      </c>
      <c r="G2517" s="7" t="s">
        <v>62</v>
      </c>
      <c r="H2517" s="7" t="s">
        <v>227</v>
      </c>
      <c r="I2517" s="8" t="s">
        <v>228</v>
      </c>
      <c r="J2517" s="14">
        <v>19.641344898600011</v>
      </c>
      <c r="K2517" s="14">
        <v>14.782635750799997</v>
      </c>
      <c r="L2517" s="14">
        <v>2.7599999999999996E-2</v>
      </c>
      <c r="M2517" s="14">
        <v>3.7460000000000013</v>
      </c>
      <c r="N2517" s="14">
        <v>4.4616999999999987</v>
      </c>
      <c r="O2517" s="14">
        <v>85.951001999999988</v>
      </c>
      <c r="P2517" s="14">
        <v>0.14319999999999999</v>
      </c>
      <c r="Q2517" t="s">
        <v>137</v>
      </c>
    </row>
    <row r="2518" spans="1:17" hidden="1" x14ac:dyDescent="0.25">
      <c r="A2518" s="7" t="s">
        <v>182</v>
      </c>
      <c r="B2518" s="13" t="s">
        <v>18</v>
      </c>
      <c r="C2518" s="7" t="s">
        <v>19</v>
      </c>
      <c r="D2518" s="7" t="s">
        <v>20</v>
      </c>
      <c r="E2518" s="7" t="s">
        <v>21</v>
      </c>
      <c r="F2518" s="7" t="s">
        <v>61</v>
      </c>
      <c r="G2518" s="7" t="s">
        <v>62</v>
      </c>
      <c r="H2518" s="7" t="s">
        <v>227</v>
      </c>
      <c r="I2518" s="8" t="s">
        <v>233</v>
      </c>
      <c r="J2518" s="14">
        <v>1.0375289999999999</v>
      </c>
      <c r="K2518" s="14">
        <v>1.0226582</v>
      </c>
      <c r="L2518" s="14">
        <v>7.9299999999999995E-2</v>
      </c>
      <c r="M2518" s="14">
        <v>0.68310000000000004</v>
      </c>
      <c r="N2518" s="14">
        <v>77.811000000000007</v>
      </c>
      <c r="O2518" s="14">
        <v>236.70141000000001</v>
      </c>
      <c r="P2518" s="14">
        <v>0.42430000000000001</v>
      </c>
      <c r="Q2518" t="s">
        <v>137</v>
      </c>
    </row>
    <row r="2519" spans="1:17" hidden="1" x14ac:dyDescent="0.25">
      <c r="A2519" s="7" t="s">
        <v>182</v>
      </c>
      <c r="B2519" s="13" t="s">
        <v>18</v>
      </c>
      <c r="C2519" s="7" t="s">
        <v>19</v>
      </c>
      <c r="D2519" s="7"/>
      <c r="E2519" s="7"/>
      <c r="F2519" s="7" t="s">
        <v>63</v>
      </c>
      <c r="G2519" s="7" t="s">
        <v>64</v>
      </c>
      <c r="H2519" s="7" t="s">
        <v>227</v>
      </c>
      <c r="I2519" s="8" t="s">
        <v>233</v>
      </c>
      <c r="J2519" s="14">
        <v>0.52249999999999996</v>
      </c>
      <c r="K2519" s="14">
        <v>0.52249999999999996</v>
      </c>
      <c r="L2519" s="14">
        <v>4.1200000000000001E-2</v>
      </c>
      <c r="M2519" s="14">
        <v>5.7755999999999998</v>
      </c>
      <c r="N2519" s="14">
        <v>6.8757000000000001</v>
      </c>
      <c r="O2519" s="14">
        <v>0.37819999999999998</v>
      </c>
      <c r="P2519" s="14">
        <v>0.2208</v>
      </c>
      <c r="Q2519" t="s">
        <v>137</v>
      </c>
    </row>
    <row r="2520" spans="1:17" hidden="1" x14ac:dyDescent="0.25">
      <c r="A2520" s="7" t="s">
        <v>182</v>
      </c>
      <c r="B2520" s="13" t="s">
        <v>18</v>
      </c>
      <c r="C2520" s="7" t="s">
        <v>19</v>
      </c>
      <c r="D2520" s="7" t="s">
        <v>20</v>
      </c>
      <c r="E2520" s="7" t="s">
        <v>21</v>
      </c>
      <c r="F2520" s="7" t="s">
        <v>65</v>
      </c>
      <c r="G2520" s="7" t="s">
        <v>66</v>
      </c>
      <c r="H2520" s="7" t="s">
        <v>227</v>
      </c>
      <c r="I2520" s="8" t="s">
        <v>229</v>
      </c>
      <c r="J2520" s="14">
        <v>110.54723774887921</v>
      </c>
      <c r="K2520" s="14">
        <v>61.786600817316909</v>
      </c>
      <c r="L2520" s="14">
        <v>7.4499999999999997E-2</v>
      </c>
      <c r="M2520" s="14">
        <v>10.362500000000001</v>
      </c>
      <c r="N2520" s="14">
        <v>12.336799999999997</v>
      </c>
      <c r="O2520" s="14">
        <v>74.695229949999998</v>
      </c>
      <c r="P2520" s="14">
        <v>0.39539999999999997</v>
      </c>
      <c r="Q2520" t="s">
        <v>137</v>
      </c>
    </row>
    <row r="2521" spans="1:17" hidden="1" x14ac:dyDescent="0.25">
      <c r="A2521" s="7" t="s">
        <v>182</v>
      </c>
      <c r="B2521" s="13" t="s">
        <v>18</v>
      </c>
      <c r="C2521" s="7" t="s">
        <v>19</v>
      </c>
      <c r="D2521" s="7" t="s">
        <v>20</v>
      </c>
      <c r="E2521" s="7" t="s">
        <v>21</v>
      </c>
      <c r="F2521" s="7" t="s">
        <v>65</v>
      </c>
      <c r="G2521" s="7" t="s">
        <v>66</v>
      </c>
      <c r="H2521" s="7" t="s">
        <v>227</v>
      </c>
      <c r="I2521" s="8" t="s">
        <v>228</v>
      </c>
      <c r="J2521" s="14">
        <v>34.753139600000004</v>
      </c>
      <c r="K2521" s="14">
        <v>26.602262699999997</v>
      </c>
      <c r="L2521" s="14">
        <v>1.0470000000000002</v>
      </c>
      <c r="M2521" s="14">
        <v>6.5291999999999932</v>
      </c>
      <c r="N2521" s="14">
        <v>10.213396762616991</v>
      </c>
      <c r="O2521" s="14">
        <v>0.56949999999999978</v>
      </c>
      <c r="P2521" s="14">
        <v>0.22750000000000009</v>
      </c>
      <c r="Q2521" t="s">
        <v>137</v>
      </c>
    </row>
    <row r="2522" spans="1:17" hidden="1" x14ac:dyDescent="0.25">
      <c r="A2522" s="7" t="s">
        <v>182</v>
      </c>
      <c r="B2522" s="13" t="s">
        <v>18</v>
      </c>
      <c r="C2522" s="7" t="s">
        <v>19</v>
      </c>
      <c r="D2522" s="7" t="s">
        <v>20</v>
      </c>
      <c r="E2522" s="7" t="s">
        <v>21</v>
      </c>
      <c r="F2522" s="7" t="s">
        <v>65</v>
      </c>
      <c r="G2522" s="7" t="s">
        <v>66</v>
      </c>
      <c r="H2522" s="7" t="s">
        <v>227</v>
      </c>
      <c r="I2522" s="8" t="s">
        <v>233</v>
      </c>
      <c r="J2522" s="14">
        <v>0.43661999999999995</v>
      </c>
      <c r="K2522" s="14">
        <v>0.354356</v>
      </c>
      <c r="L2522" s="14">
        <v>1.9900000000000001E-2</v>
      </c>
      <c r="M2522" s="14">
        <v>3.6186000000000003</v>
      </c>
      <c r="N2522" s="14">
        <v>3.6137999999999999</v>
      </c>
      <c r="O2522" s="14">
        <v>0.18290000000000001</v>
      </c>
      <c r="P2522" s="14">
        <v>0.10679999999999999</v>
      </c>
      <c r="Q2522" t="s">
        <v>137</v>
      </c>
    </row>
    <row r="2523" spans="1:17" hidden="1" x14ac:dyDescent="0.25">
      <c r="A2523" s="7" t="s">
        <v>182</v>
      </c>
      <c r="B2523" s="13" t="s">
        <v>18</v>
      </c>
      <c r="C2523" s="7" t="s">
        <v>19</v>
      </c>
      <c r="D2523" s="7" t="s">
        <v>20</v>
      </c>
      <c r="E2523" s="7" t="s">
        <v>21</v>
      </c>
      <c r="F2523" s="7" t="s">
        <v>75</v>
      </c>
      <c r="G2523" s="7" t="s">
        <v>76</v>
      </c>
      <c r="H2523" s="7" t="s">
        <v>227</v>
      </c>
      <c r="I2523" s="8" t="s">
        <v>230</v>
      </c>
      <c r="J2523" s="14">
        <v>7.6065000000000014</v>
      </c>
      <c r="K2523" s="14">
        <v>7.6065000000000014</v>
      </c>
      <c r="L2523" s="14">
        <v>0.60050000000000003</v>
      </c>
      <c r="M2523" s="14">
        <v>401.94763168100604</v>
      </c>
      <c r="N2523" s="14">
        <v>165.66118298926975</v>
      </c>
      <c r="O2523" s="14">
        <v>5.5048000000000004</v>
      </c>
      <c r="P2523" s="14">
        <v>3.2134</v>
      </c>
      <c r="Q2523" t="s">
        <v>137</v>
      </c>
    </row>
    <row r="2524" spans="1:17" hidden="1" x14ac:dyDescent="0.25">
      <c r="A2524" s="7" t="s">
        <v>182</v>
      </c>
      <c r="B2524" s="13" t="s">
        <v>18</v>
      </c>
      <c r="C2524" s="7" t="s">
        <v>19</v>
      </c>
      <c r="D2524" s="7" t="s">
        <v>20</v>
      </c>
      <c r="E2524" s="7" t="s">
        <v>21</v>
      </c>
      <c r="F2524" s="7" t="s">
        <v>75</v>
      </c>
      <c r="G2524" s="7" t="s">
        <v>76</v>
      </c>
      <c r="H2524" s="7" t="s">
        <v>227</v>
      </c>
      <c r="I2524" s="8" t="s">
        <v>228</v>
      </c>
      <c r="J2524" s="14">
        <v>21.185023861455999</v>
      </c>
      <c r="K2524" s="14">
        <v>16.101438710728001</v>
      </c>
      <c r="L2524" s="14">
        <v>6.2099999999999995E-2</v>
      </c>
      <c r="M2524" s="14">
        <v>8.7079000000000004</v>
      </c>
      <c r="N2524" s="14">
        <v>14.282699999999998</v>
      </c>
      <c r="O2524" s="14">
        <v>10.2883</v>
      </c>
      <c r="P2524" s="14">
        <v>8.1399999999999986E-2</v>
      </c>
      <c r="Q2524" t="s">
        <v>137</v>
      </c>
    </row>
    <row r="2525" spans="1:17" hidden="1" x14ac:dyDescent="0.25">
      <c r="A2525" s="7" t="s">
        <v>182</v>
      </c>
      <c r="B2525" s="13" t="s">
        <v>18</v>
      </c>
      <c r="C2525" s="7" t="s">
        <v>19</v>
      </c>
      <c r="D2525" s="7" t="s">
        <v>20</v>
      </c>
      <c r="E2525" s="7" t="s">
        <v>21</v>
      </c>
      <c r="F2525" s="7" t="s">
        <v>75</v>
      </c>
      <c r="G2525" s="7" t="s">
        <v>76</v>
      </c>
      <c r="H2525" s="7" t="s">
        <v>227</v>
      </c>
      <c r="I2525" s="8" t="s">
        <v>232</v>
      </c>
      <c r="J2525" s="14">
        <v>1.5147000000000001E-2</v>
      </c>
      <c r="K2525" s="14">
        <v>8.3160000000000005E-3</v>
      </c>
      <c r="L2525" s="14">
        <v>0</v>
      </c>
      <c r="M2525" s="14">
        <v>0</v>
      </c>
      <c r="N2525" s="14">
        <v>0</v>
      </c>
      <c r="O2525" s="14">
        <v>242.46858</v>
      </c>
      <c r="P2525" s="14">
        <v>0</v>
      </c>
      <c r="Q2525" t="s">
        <v>137</v>
      </c>
    </row>
    <row r="2526" spans="1:17" hidden="1" x14ac:dyDescent="0.25">
      <c r="A2526" s="7" t="s">
        <v>182</v>
      </c>
      <c r="B2526" s="13" t="s">
        <v>18</v>
      </c>
      <c r="C2526" s="7" t="s">
        <v>19</v>
      </c>
      <c r="D2526" s="7" t="s">
        <v>20</v>
      </c>
      <c r="E2526" s="7" t="s">
        <v>21</v>
      </c>
      <c r="F2526" s="7" t="s">
        <v>75</v>
      </c>
      <c r="G2526" s="7" t="s">
        <v>76</v>
      </c>
      <c r="H2526" s="7" t="s">
        <v>227</v>
      </c>
      <c r="I2526" s="8" t="s">
        <v>233</v>
      </c>
      <c r="J2526" s="14">
        <v>4.5484341727472613</v>
      </c>
      <c r="K2526" s="14">
        <v>4.3768913799153255</v>
      </c>
      <c r="L2526" s="14">
        <v>0.33006761186051758</v>
      </c>
      <c r="M2526" s="14">
        <v>46.026524737504261</v>
      </c>
      <c r="N2526" s="14">
        <v>54.791052750573783</v>
      </c>
      <c r="O2526" s="14">
        <v>1120.5788885532891</v>
      </c>
      <c r="P2526" s="14">
        <v>1.7579266701695984</v>
      </c>
      <c r="Q2526" t="s">
        <v>137</v>
      </c>
    </row>
    <row r="2527" spans="1:17" hidden="1" x14ac:dyDescent="0.25">
      <c r="A2527" s="7" t="s">
        <v>182</v>
      </c>
      <c r="B2527" s="13" t="s">
        <v>18</v>
      </c>
      <c r="C2527" s="7" t="s">
        <v>19</v>
      </c>
      <c r="D2527" s="7" t="s">
        <v>20</v>
      </c>
      <c r="E2527" s="7" t="s">
        <v>21</v>
      </c>
      <c r="F2527" s="7" t="s">
        <v>85</v>
      </c>
      <c r="G2527" s="7" t="s">
        <v>86</v>
      </c>
      <c r="H2527" s="7" t="s">
        <v>227</v>
      </c>
      <c r="I2527" s="8" t="s">
        <v>231</v>
      </c>
      <c r="J2527" s="14">
        <v>2.3948746405711048</v>
      </c>
      <c r="K2527" s="14">
        <v>2.3948746405711048</v>
      </c>
      <c r="L2527" s="14">
        <v>0.21279999999999999</v>
      </c>
      <c r="M2527" s="14">
        <v>24.445599999999999</v>
      </c>
      <c r="N2527" s="14">
        <v>95.396000000000001</v>
      </c>
      <c r="O2527" s="14">
        <v>0.626</v>
      </c>
      <c r="P2527" s="14">
        <v>0</v>
      </c>
      <c r="Q2527" t="s">
        <v>137</v>
      </c>
    </row>
    <row r="2528" spans="1:17" hidden="1" x14ac:dyDescent="0.25">
      <c r="A2528" s="7" t="s">
        <v>182</v>
      </c>
      <c r="B2528" s="13" t="s">
        <v>18</v>
      </c>
      <c r="C2528" s="7" t="s">
        <v>19</v>
      </c>
      <c r="D2528" s="7" t="s">
        <v>20</v>
      </c>
      <c r="E2528" s="7" t="s">
        <v>21</v>
      </c>
      <c r="F2528" s="7" t="s">
        <v>85</v>
      </c>
      <c r="G2528" s="7" t="s">
        <v>86</v>
      </c>
      <c r="H2528" s="7" t="s">
        <v>227</v>
      </c>
      <c r="I2528" s="8" t="s">
        <v>232</v>
      </c>
      <c r="J2528" s="14">
        <v>0.13248000000000001</v>
      </c>
      <c r="K2528" s="14">
        <v>0.12765000000000001</v>
      </c>
      <c r="L2528" s="14">
        <v>0</v>
      </c>
      <c r="M2528" s="14">
        <v>0</v>
      </c>
      <c r="N2528" s="14">
        <v>0</v>
      </c>
      <c r="O2528" s="14">
        <v>1.75093629755143</v>
      </c>
      <c r="P2528" s="14">
        <v>0</v>
      </c>
      <c r="Q2528" t="s">
        <v>137</v>
      </c>
    </row>
    <row r="2529" spans="1:17" hidden="1" x14ac:dyDescent="0.25">
      <c r="A2529" s="7" t="s">
        <v>182</v>
      </c>
      <c r="B2529" s="13" t="s">
        <v>18</v>
      </c>
      <c r="C2529" s="7" t="s">
        <v>19</v>
      </c>
      <c r="D2529" s="7"/>
      <c r="E2529" s="7"/>
      <c r="F2529" s="7" t="s">
        <v>89</v>
      </c>
      <c r="G2529" s="7" t="s">
        <v>90</v>
      </c>
      <c r="H2529" s="7" t="s">
        <v>227</v>
      </c>
      <c r="I2529" s="8" t="s">
        <v>236</v>
      </c>
      <c r="J2529" s="14">
        <v>1.324921056</v>
      </c>
      <c r="K2529" s="14">
        <v>0.84395022410424325</v>
      </c>
      <c r="L2529" s="14">
        <v>44.286463524800006</v>
      </c>
      <c r="M2529" s="14">
        <v>0.61603432000000002</v>
      </c>
      <c r="N2529" s="14">
        <v>3.1467647119999995</v>
      </c>
      <c r="O2529" s="14">
        <v>4.350923432E-2</v>
      </c>
      <c r="P2529" s="14">
        <v>0</v>
      </c>
      <c r="Q2529" t="s">
        <v>137</v>
      </c>
    </row>
    <row r="2530" spans="1:17" hidden="1" x14ac:dyDescent="0.25">
      <c r="A2530" s="7" t="s">
        <v>182</v>
      </c>
      <c r="B2530" s="13" t="s">
        <v>18</v>
      </c>
      <c r="C2530" s="7" t="s">
        <v>19</v>
      </c>
      <c r="D2530" s="7" t="s">
        <v>20</v>
      </c>
      <c r="E2530" s="7" t="s">
        <v>21</v>
      </c>
      <c r="F2530" s="7" t="s">
        <v>101</v>
      </c>
      <c r="G2530" s="7" t="s">
        <v>21</v>
      </c>
      <c r="H2530" s="7" t="s">
        <v>227</v>
      </c>
      <c r="I2530" s="8" t="s">
        <v>230</v>
      </c>
      <c r="J2530" s="14">
        <v>2.8324228471999997</v>
      </c>
      <c r="K2530" s="14">
        <v>2.4366840406108206</v>
      </c>
      <c r="L2530" s="14">
        <v>9.0149568759999993E-2</v>
      </c>
      <c r="M2530" s="14">
        <v>9.1990250339999999</v>
      </c>
      <c r="N2530" s="14">
        <v>6.2519489394000001</v>
      </c>
      <c r="O2530" s="14">
        <v>0.60177609003400001</v>
      </c>
      <c r="P2530" s="14">
        <v>0.35060000000000002</v>
      </c>
      <c r="Q2530" t="s">
        <v>137</v>
      </c>
    </row>
    <row r="2531" spans="1:17" hidden="1" x14ac:dyDescent="0.25">
      <c r="A2531" s="7" t="s">
        <v>182</v>
      </c>
      <c r="B2531" s="13" t="s">
        <v>18</v>
      </c>
      <c r="C2531" s="7" t="s">
        <v>19</v>
      </c>
      <c r="D2531" s="7" t="s">
        <v>20</v>
      </c>
      <c r="E2531" s="7" t="s">
        <v>21</v>
      </c>
      <c r="F2531" s="7" t="s">
        <v>101</v>
      </c>
      <c r="G2531" s="7" t="s">
        <v>21</v>
      </c>
      <c r="H2531" s="7" t="s">
        <v>227</v>
      </c>
      <c r="I2531" s="8" t="s">
        <v>237</v>
      </c>
      <c r="J2531" s="14">
        <v>150.34759504489301</v>
      </c>
      <c r="K2531" s="14">
        <v>95.657731844893007</v>
      </c>
      <c r="L2531" s="14">
        <v>1792.5743</v>
      </c>
      <c r="M2531" s="14">
        <v>2030.877</v>
      </c>
      <c r="N2531" s="14">
        <v>2040.4110000000001</v>
      </c>
      <c r="O2531" s="14">
        <v>60.456699999999998</v>
      </c>
      <c r="P2531" s="14">
        <v>1.548987174026488</v>
      </c>
      <c r="Q2531" t="s">
        <v>137</v>
      </c>
    </row>
    <row r="2532" spans="1:17" hidden="1" x14ac:dyDescent="0.25">
      <c r="A2532" s="7" t="s">
        <v>182</v>
      </c>
      <c r="B2532" s="13" t="s">
        <v>18</v>
      </c>
      <c r="C2532" s="7" t="s">
        <v>19</v>
      </c>
      <c r="D2532" s="7" t="s">
        <v>20</v>
      </c>
      <c r="E2532" s="7" t="s">
        <v>21</v>
      </c>
      <c r="F2532" s="7" t="s">
        <v>101</v>
      </c>
      <c r="G2532" s="7" t="s">
        <v>21</v>
      </c>
      <c r="H2532" s="7" t="s">
        <v>227</v>
      </c>
      <c r="I2532" s="8" t="s">
        <v>231</v>
      </c>
      <c r="J2532" s="14">
        <v>24.074608106472002</v>
      </c>
      <c r="K2532" s="14">
        <v>20.516333106472</v>
      </c>
      <c r="L2532" s="14">
        <v>3.8763999999999998</v>
      </c>
      <c r="M2532" s="14">
        <v>137.05389999999997</v>
      </c>
      <c r="N2532" s="14">
        <v>566.18389999999999</v>
      </c>
      <c r="O2532" s="14">
        <v>4.1370000000000005</v>
      </c>
      <c r="P2532" s="14">
        <v>0.54370000000000007</v>
      </c>
      <c r="Q2532" t="s">
        <v>137</v>
      </c>
    </row>
    <row r="2533" spans="1:17" hidden="1" x14ac:dyDescent="0.25">
      <c r="A2533" s="7" t="s">
        <v>182</v>
      </c>
      <c r="B2533" s="13" t="s">
        <v>18</v>
      </c>
      <c r="C2533" s="7" t="s">
        <v>19</v>
      </c>
      <c r="D2533" s="7" t="s">
        <v>20</v>
      </c>
      <c r="E2533" s="7" t="s">
        <v>21</v>
      </c>
      <c r="F2533" s="7" t="s">
        <v>101</v>
      </c>
      <c r="G2533" s="7" t="s">
        <v>21</v>
      </c>
      <c r="H2533" s="7" t="s">
        <v>227</v>
      </c>
      <c r="I2533" s="8" t="s">
        <v>228</v>
      </c>
      <c r="J2533" s="14">
        <v>26.353376643803436</v>
      </c>
      <c r="K2533" s="14">
        <v>22.065804950999858</v>
      </c>
      <c r="L2533" s="14">
        <v>0.8790189385599998</v>
      </c>
      <c r="M2533" s="14">
        <v>111.56995139840001</v>
      </c>
      <c r="N2533" s="14">
        <v>204.3701897599999</v>
      </c>
      <c r="O2533" s="14">
        <v>112.6006869368</v>
      </c>
      <c r="P2533" s="14">
        <v>4.7015618618570025</v>
      </c>
      <c r="Q2533" t="s">
        <v>137</v>
      </c>
    </row>
    <row r="2534" spans="1:17" hidden="1" x14ac:dyDescent="0.25">
      <c r="A2534" s="7" t="s">
        <v>182</v>
      </c>
      <c r="B2534" s="13" t="s">
        <v>18</v>
      </c>
      <c r="C2534" s="7" t="s">
        <v>19</v>
      </c>
      <c r="D2534" s="7" t="s">
        <v>20</v>
      </c>
      <c r="E2534" s="7" t="s">
        <v>21</v>
      </c>
      <c r="F2534" s="7" t="s">
        <v>101</v>
      </c>
      <c r="G2534" s="7" t="s">
        <v>21</v>
      </c>
      <c r="H2534" s="7" t="s">
        <v>227</v>
      </c>
      <c r="I2534" s="8" t="s">
        <v>232</v>
      </c>
      <c r="J2534" s="14">
        <v>0.33427259442400004</v>
      </c>
      <c r="K2534" s="14">
        <v>0.21256740721200001</v>
      </c>
      <c r="L2534" s="14">
        <v>2.4000000000000002E-3</v>
      </c>
      <c r="M2534" s="14">
        <v>0.34040000000000004</v>
      </c>
      <c r="N2534" s="14">
        <v>0.40529999999999999</v>
      </c>
      <c r="O2534" s="14">
        <v>338.8820187</v>
      </c>
      <c r="P2534" s="14">
        <v>1.3000000000000001E-2</v>
      </c>
      <c r="Q2534" t="s">
        <v>137</v>
      </c>
    </row>
    <row r="2535" spans="1:17" hidden="1" x14ac:dyDescent="0.25">
      <c r="A2535" s="7" t="s">
        <v>182</v>
      </c>
      <c r="B2535" s="13" t="s">
        <v>18</v>
      </c>
      <c r="C2535" s="7" t="s">
        <v>19</v>
      </c>
      <c r="D2535" s="7" t="s">
        <v>20</v>
      </c>
      <c r="E2535" s="7" t="s">
        <v>21</v>
      </c>
      <c r="F2535" s="7" t="s">
        <v>101</v>
      </c>
      <c r="G2535" s="7" t="s">
        <v>21</v>
      </c>
      <c r="H2535" s="7" t="s">
        <v>227</v>
      </c>
      <c r="I2535" s="8" t="s">
        <v>233</v>
      </c>
      <c r="J2535" s="14">
        <v>40.983186285575769</v>
      </c>
      <c r="K2535" s="14">
        <v>23.113167274767548</v>
      </c>
      <c r="L2535" s="14">
        <v>0.28896910086304001</v>
      </c>
      <c r="M2535" s="14">
        <v>24.68018152141504</v>
      </c>
      <c r="N2535" s="14">
        <v>40.888604978678607</v>
      </c>
      <c r="O2535" s="14">
        <v>204.22145276140375</v>
      </c>
      <c r="P2535" s="14">
        <v>0.98674219435138277</v>
      </c>
      <c r="Q2535" t="s">
        <v>137</v>
      </c>
    </row>
    <row r="2536" spans="1:17" hidden="1" x14ac:dyDescent="0.25">
      <c r="A2536" s="7" t="s">
        <v>182</v>
      </c>
      <c r="B2536" s="13" t="s">
        <v>18</v>
      </c>
      <c r="C2536" s="7" t="s">
        <v>19</v>
      </c>
      <c r="D2536" s="7" t="s">
        <v>20</v>
      </c>
      <c r="E2536" s="7" t="s">
        <v>21</v>
      </c>
      <c r="F2536" s="7" t="s">
        <v>101</v>
      </c>
      <c r="G2536" s="7" t="s">
        <v>21</v>
      </c>
      <c r="H2536" s="7" t="s">
        <v>227</v>
      </c>
      <c r="I2536" s="8" t="s">
        <v>235</v>
      </c>
      <c r="J2536" s="14">
        <v>207.10349588621438</v>
      </c>
      <c r="K2536" s="14">
        <v>120.46523694310719</v>
      </c>
      <c r="L2536" s="14">
        <v>3.0783000000000005</v>
      </c>
      <c r="M2536" s="14">
        <v>430.99220000000003</v>
      </c>
      <c r="N2536" s="14">
        <v>2164.7229694026664</v>
      </c>
      <c r="O2536" s="14">
        <v>28.219399999999993</v>
      </c>
      <c r="P2536" s="14">
        <v>16.472900000000003</v>
      </c>
      <c r="Q2536" t="s">
        <v>137</v>
      </c>
    </row>
    <row r="2537" spans="1:17" hidden="1" x14ac:dyDescent="0.25">
      <c r="A2537" s="7" t="s">
        <v>182</v>
      </c>
      <c r="B2537" s="13" t="s">
        <v>18</v>
      </c>
      <c r="C2537" s="7" t="s">
        <v>19</v>
      </c>
      <c r="D2537" s="7" t="s">
        <v>20</v>
      </c>
      <c r="E2537" s="7" t="s">
        <v>21</v>
      </c>
      <c r="F2537" s="7" t="s">
        <v>104</v>
      </c>
      <c r="G2537" s="7" t="s">
        <v>105</v>
      </c>
      <c r="H2537" s="7" t="s">
        <v>227</v>
      </c>
      <c r="I2537" s="8" t="s">
        <v>229</v>
      </c>
      <c r="J2537" s="14">
        <v>23.012899999999991</v>
      </c>
      <c r="K2537" s="14">
        <v>11.911249999999995</v>
      </c>
      <c r="L2537" s="14">
        <v>6.4000000000000001E-2</v>
      </c>
      <c r="M2537" s="14">
        <v>8.9486000000000008</v>
      </c>
      <c r="N2537" s="14">
        <v>10.653</v>
      </c>
      <c r="O2537" s="14">
        <v>2728.5859999999998</v>
      </c>
      <c r="P2537" s="14">
        <v>0.34200000000000003</v>
      </c>
      <c r="Q2537" t="s">
        <v>137</v>
      </c>
    </row>
    <row r="2538" spans="1:17" hidden="1" x14ac:dyDescent="0.25">
      <c r="A2538" s="7" t="s">
        <v>182</v>
      </c>
      <c r="B2538" s="13" t="s">
        <v>18</v>
      </c>
      <c r="C2538" s="7" t="s">
        <v>19</v>
      </c>
      <c r="D2538" s="7" t="s">
        <v>20</v>
      </c>
      <c r="E2538" s="7" t="s">
        <v>21</v>
      </c>
      <c r="F2538" s="7" t="s">
        <v>104</v>
      </c>
      <c r="G2538" s="7" t="s">
        <v>105</v>
      </c>
      <c r="H2538" s="7" t="s">
        <v>227</v>
      </c>
      <c r="I2538" s="8" t="s">
        <v>231</v>
      </c>
      <c r="J2538" s="14">
        <v>1075.6849927830549</v>
      </c>
      <c r="K2538" s="14">
        <v>1075.694592783055</v>
      </c>
      <c r="L2538" s="14">
        <v>41.664900000000003</v>
      </c>
      <c r="M2538" s="14">
        <v>5275.2715000000007</v>
      </c>
      <c r="N2538" s="14">
        <v>8426.3420999999998</v>
      </c>
      <c r="O2538" s="14">
        <v>255.2852</v>
      </c>
      <c r="P2538" s="14">
        <v>81.087199999999996</v>
      </c>
      <c r="Q2538" t="s">
        <v>137</v>
      </c>
    </row>
    <row r="2539" spans="1:17" hidden="1" x14ac:dyDescent="0.25">
      <c r="A2539" s="7" t="s">
        <v>182</v>
      </c>
      <c r="B2539" s="13" t="s">
        <v>18</v>
      </c>
      <c r="C2539" s="7" t="s">
        <v>19</v>
      </c>
      <c r="D2539" s="7" t="s">
        <v>20</v>
      </c>
      <c r="E2539" s="7" t="s">
        <v>21</v>
      </c>
      <c r="F2539" s="7" t="s">
        <v>104</v>
      </c>
      <c r="G2539" s="7" t="s">
        <v>105</v>
      </c>
      <c r="H2539" s="7" t="s">
        <v>227</v>
      </c>
      <c r="I2539" s="8" t="s">
        <v>228</v>
      </c>
      <c r="J2539" s="14">
        <v>137.48827399999999</v>
      </c>
      <c r="K2539" s="14">
        <v>100.19914280000002</v>
      </c>
      <c r="L2539" s="14">
        <v>0.32299999999999995</v>
      </c>
      <c r="M2539" s="14">
        <v>43.395700000000005</v>
      </c>
      <c r="N2539" s="14">
        <v>77.310400000000016</v>
      </c>
      <c r="O2539" s="14">
        <v>16.764016999999999</v>
      </c>
      <c r="P2539" s="14">
        <v>1.7285999999999999</v>
      </c>
      <c r="Q2539" t="s">
        <v>137</v>
      </c>
    </row>
    <row r="2540" spans="1:17" hidden="1" x14ac:dyDescent="0.25">
      <c r="A2540" s="7" t="s">
        <v>182</v>
      </c>
      <c r="B2540" s="13" t="s">
        <v>18</v>
      </c>
      <c r="C2540" s="7" t="s">
        <v>19</v>
      </c>
      <c r="D2540" s="7" t="s">
        <v>20</v>
      </c>
      <c r="E2540" s="7" t="s">
        <v>21</v>
      </c>
      <c r="F2540" s="7" t="s">
        <v>104</v>
      </c>
      <c r="G2540" s="7" t="s">
        <v>105</v>
      </c>
      <c r="H2540" s="7" t="s">
        <v>227</v>
      </c>
      <c r="I2540" s="8" t="s">
        <v>232</v>
      </c>
      <c r="J2540" s="14">
        <v>2.2662910803331653</v>
      </c>
      <c r="K2540" s="14">
        <v>1.1988455401665825</v>
      </c>
      <c r="L2540" s="14">
        <v>1.03E-2</v>
      </c>
      <c r="M2540" s="14">
        <v>1.4530000000000001</v>
      </c>
      <c r="N2540" s="14">
        <v>19.792188176</v>
      </c>
      <c r="O2540" s="14">
        <v>9.509999999999999E-2</v>
      </c>
      <c r="P2540" s="14">
        <v>5.5599999999999997E-2</v>
      </c>
      <c r="Q2540" t="s">
        <v>137</v>
      </c>
    </row>
    <row r="2541" spans="1:17" hidden="1" x14ac:dyDescent="0.25">
      <c r="A2541" s="7" t="s">
        <v>182</v>
      </c>
      <c r="B2541" s="13" t="s">
        <v>18</v>
      </c>
      <c r="C2541" s="7" t="s">
        <v>19</v>
      </c>
      <c r="D2541" s="7" t="s">
        <v>20</v>
      </c>
      <c r="E2541" s="7" t="s">
        <v>21</v>
      </c>
      <c r="F2541" s="7" t="s">
        <v>104</v>
      </c>
      <c r="G2541" s="7" t="s">
        <v>105</v>
      </c>
      <c r="H2541" s="7" t="s">
        <v>227</v>
      </c>
      <c r="I2541" s="8" t="s">
        <v>233</v>
      </c>
      <c r="J2541" s="14">
        <v>0.1542</v>
      </c>
      <c r="K2541" s="14">
        <v>0.11829339999999999</v>
      </c>
      <c r="L2541" s="14">
        <v>0.27800000000000002</v>
      </c>
      <c r="M2541" s="14">
        <v>1.3940999999999999</v>
      </c>
      <c r="N2541" s="14">
        <v>2.5992000000000002</v>
      </c>
      <c r="O2541" s="14">
        <v>5.4599999999999996E-2</v>
      </c>
      <c r="P2541" s="14">
        <v>6.4699999999999994E-2</v>
      </c>
      <c r="Q2541" t="s">
        <v>137</v>
      </c>
    </row>
    <row r="2542" spans="1:17" hidden="1" x14ac:dyDescent="0.25">
      <c r="A2542" s="7" t="s">
        <v>182</v>
      </c>
      <c r="B2542" s="13" t="s">
        <v>18</v>
      </c>
      <c r="C2542" s="7" t="s">
        <v>19</v>
      </c>
      <c r="D2542" s="7" t="s">
        <v>20</v>
      </c>
      <c r="E2542" s="7" t="s">
        <v>21</v>
      </c>
      <c r="F2542" s="7" t="s">
        <v>104</v>
      </c>
      <c r="G2542" s="7" t="s">
        <v>105</v>
      </c>
      <c r="H2542" s="7" t="s">
        <v>227</v>
      </c>
      <c r="I2542" s="8" t="s">
        <v>234</v>
      </c>
      <c r="J2542" s="14">
        <v>1.4E-3</v>
      </c>
      <c r="K2542" s="14">
        <v>1.4E-3</v>
      </c>
      <c r="L2542" s="14">
        <v>0</v>
      </c>
      <c r="M2542" s="14">
        <v>1.4400000000000001E-2</v>
      </c>
      <c r="N2542" s="14">
        <v>2.53E-2</v>
      </c>
      <c r="O2542" s="14">
        <v>0</v>
      </c>
      <c r="P2542" s="14">
        <v>0</v>
      </c>
      <c r="Q2542" t="s">
        <v>137</v>
      </c>
    </row>
    <row r="2543" spans="1:17" hidden="1" x14ac:dyDescent="0.25">
      <c r="A2543" s="7" t="s">
        <v>182</v>
      </c>
      <c r="B2543" s="13" t="s">
        <v>18</v>
      </c>
      <c r="C2543" s="7" t="s">
        <v>19</v>
      </c>
      <c r="D2543" s="7" t="s">
        <v>20</v>
      </c>
      <c r="E2543" s="7" t="s">
        <v>21</v>
      </c>
      <c r="F2543" s="7" t="s">
        <v>112</v>
      </c>
      <c r="G2543" s="7" t="s">
        <v>113</v>
      </c>
      <c r="H2543" s="7" t="s">
        <v>227</v>
      </c>
      <c r="I2543" s="8" t="s">
        <v>231</v>
      </c>
      <c r="J2543" s="14">
        <v>7.9964999999999993</v>
      </c>
      <c r="K2543" s="14">
        <v>7.9964999999999993</v>
      </c>
      <c r="L2543" s="14">
        <v>0.48139999999999994</v>
      </c>
      <c r="M2543" s="14">
        <v>320.1148</v>
      </c>
      <c r="N2543" s="14">
        <v>261.82532680128003</v>
      </c>
      <c r="O2543" s="14">
        <v>93.060599999999994</v>
      </c>
      <c r="P2543" s="14">
        <v>0</v>
      </c>
      <c r="Q2543" t="s">
        <v>137</v>
      </c>
    </row>
    <row r="2544" spans="1:17" hidden="1" x14ac:dyDescent="0.25">
      <c r="A2544" s="7" t="s">
        <v>182</v>
      </c>
      <c r="B2544" s="13" t="s">
        <v>18</v>
      </c>
      <c r="C2544" s="7" t="s">
        <v>19</v>
      </c>
      <c r="D2544" s="7" t="s">
        <v>20</v>
      </c>
      <c r="E2544" s="7" t="s">
        <v>21</v>
      </c>
      <c r="F2544" s="7" t="s">
        <v>112</v>
      </c>
      <c r="G2544" s="7" t="s">
        <v>113</v>
      </c>
      <c r="H2544" s="7" t="s">
        <v>227</v>
      </c>
      <c r="I2544" s="8" t="s">
        <v>228</v>
      </c>
      <c r="J2544" s="14">
        <v>0.1598</v>
      </c>
      <c r="K2544" s="14">
        <v>0.1598</v>
      </c>
      <c r="L2544" s="14">
        <v>1E-4</v>
      </c>
      <c r="M2544" s="14">
        <v>1.6978</v>
      </c>
      <c r="N2544" s="14">
        <v>2.9807999999999999</v>
      </c>
      <c r="O2544" s="14">
        <v>0</v>
      </c>
      <c r="P2544" s="14">
        <v>0</v>
      </c>
      <c r="Q2544" t="s">
        <v>137</v>
      </c>
    </row>
    <row r="2545" spans="1:17" hidden="1" x14ac:dyDescent="0.25">
      <c r="A2545" s="7" t="s">
        <v>182</v>
      </c>
      <c r="B2545" s="13" t="s">
        <v>18</v>
      </c>
      <c r="C2545" s="7" t="s">
        <v>19</v>
      </c>
      <c r="D2545" s="7" t="s">
        <v>20</v>
      </c>
      <c r="E2545" s="7" t="s">
        <v>21</v>
      </c>
      <c r="F2545" s="7" t="s">
        <v>112</v>
      </c>
      <c r="G2545" s="7" t="s">
        <v>113</v>
      </c>
      <c r="H2545" s="7" t="s">
        <v>227</v>
      </c>
      <c r="I2545" s="8" t="s">
        <v>233</v>
      </c>
      <c r="J2545" s="14">
        <v>4.8617999999999997</v>
      </c>
      <c r="K2545" s="14">
        <v>4.8617999999999997</v>
      </c>
      <c r="L2545" s="14">
        <v>1.2999999999999999E-3</v>
      </c>
      <c r="M2545" s="14">
        <v>51.6402</v>
      </c>
      <c r="N2545" s="14">
        <v>90.665999999999997</v>
      </c>
      <c r="O2545" s="14">
        <v>0</v>
      </c>
      <c r="P2545" s="14">
        <v>0</v>
      </c>
      <c r="Q2545" t="s">
        <v>137</v>
      </c>
    </row>
    <row r="2546" spans="1:17" hidden="1" x14ac:dyDescent="0.25">
      <c r="A2546" s="7" t="s">
        <v>182</v>
      </c>
      <c r="B2546" s="13" t="s">
        <v>18</v>
      </c>
      <c r="C2546" s="7" t="s">
        <v>19</v>
      </c>
      <c r="D2546" s="7" t="s">
        <v>20</v>
      </c>
      <c r="E2546" s="7" t="s">
        <v>21</v>
      </c>
      <c r="F2546" s="7" t="s">
        <v>112</v>
      </c>
      <c r="G2546" s="7" t="s">
        <v>113</v>
      </c>
      <c r="H2546" s="7" t="s">
        <v>227</v>
      </c>
      <c r="I2546" s="8" t="s">
        <v>234</v>
      </c>
      <c r="J2546" s="14">
        <v>1.2999999999999999E-3</v>
      </c>
      <c r="K2546" s="14">
        <v>1.2999999999999999E-3</v>
      </c>
      <c r="L2546" s="14">
        <v>2.8479999999999999</v>
      </c>
      <c r="M2546" s="14">
        <v>0.70459999999999989</v>
      </c>
      <c r="N2546" s="14">
        <v>6.3459000000000003</v>
      </c>
      <c r="O2546" s="14">
        <v>5.9999999999999995E-4</v>
      </c>
      <c r="P2546" s="14">
        <v>0</v>
      </c>
      <c r="Q2546" t="s">
        <v>137</v>
      </c>
    </row>
    <row r="2547" spans="1:17" hidden="1" x14ac:dyDescent="0.25">
      <c r="A2547" s="7" t="s">
        <v>182</v>
      </c>
      <c r="B2547" s="13" t="s">
        <v>18</v>
      </c>
      <c r="C2547" s="7" t="s">
        <v>19</v>
      </c>
      <c r="D2547" s="7" t="s">
        <v>20</v>
      </c>
      <c r="E2547" s="7" t="s">
        <v>21</v>
      </c>
      <c r="F2547" s="7" t="s">
        <v>112</v>
      </c>
      <c r="G2547" s="7" t="s">
        <v>62</v>
      </c>
      <c r="H2547" s="7" t="s">
        <v>227</v>
      </c>
      <c r="I2547" s="8" t="s">
        <v>234</v>
      </c>
      <c r="J2547" s="14">
        <v>1.1351</v>
      </c>
      <c r="K2547" s="14">
        <v>1.1351</v>
      </c>
      <c r="L2547" s="14">
        <v>5.9999999999999995E-4</v>
      </c>
      <c r="M2547" s="14">
        <v>12.056900000000001</v>
      </c>
      <c r="N2547" s="14">
        <v>21.168600000000001</v>
      </c>
      <c r="O2547" s="14">
        <v>0</v>
      </c>
      <c r="P2547" s="14">
        <v>0</v>
      </c>
      <c r="Q2547" t="s">
        <v>137</v>
      </c>
    </row>
    <row r="2548" spans="1:17" hidden="1" x14ac:dyDescent="0.25">
      <c r="A2548" s="7" t="s">
        <v>182</v>
      </c>
      <c r="B2548" s="13" t="s">
        <v>18</v>
      </c>
      <c r="C2548" s="7" t="s">
        <v>19</v>
      </c>
      <c r="D2548" s="7" t="s">
        <v>20</v>
      </c>
      <c r="E2548" s="7" t="s">
        <v>21</v>
      </c>
      <c r="F2548" s="7" t="s">
        <v>114</v>
      </c>
      <c r="G2548" s="7" t="s">
        <v>115</v>
      </c>
      <c r="H2548" s="7" t="s">
        <v>227</v>
      </c>
      <c r="I2548" s="8" t="s">
        <v>229</v>
      </c>
      <c r="J2548" s="14">
        <v>1.5200000000000002E-2</v>
      </c>
      <c r="K2548" s="14">
        <v>1.5200000000000002E-2</v>
      </c>
      <c r="L2548" s="14">
        <v>1.2000000000000001E-3</v>
      </c>
      <c r="M2548" s="14">
        <v>0.13439999999999999</v>
      </c>
      <c r="N2548" s="14">
        <v>0.47239999999999999</v>
      </c>
      <c r="O2548" s="14">
        <v>1.0999999999999999E-2</v>
      </c>
      <c r="P2548" s="14">
        <v>6.3999999999999994E-3</v>
      </c>
      <c r="Q2548" t="s">
        <v>137</v>
      </c>
    </row>
    <row r="2549" spans="1:17" hidden="1" x14ac:dyDescent="0.25">
      <c r="A2549" s="7" t="s">
        <v>182</v>
      </c>
      <c r="B2549" s="13" t="s">
        <v>18</v>
      </c>
      <c r="C2549" s="7" t="s">
        <v>19</v>
      </c>
      <c r="D2549" s="7" t="s">
        <v>20</v>
      </c>
      <c r="E2549" s="7" t="s">
        <v>21</v>
      </c>
      <c r="F2549" s="7" t="s">
        <v>114</v>
      </c>
      <c r="G2549" s="7" t="s">
        <v>115</v>
      </c>
      <c r="H2549" s="7" t="s">
        <v>227</v>
      </c>
      <c r="I2549" s="8" t="s">
        <v>230</v>
      </c>
      <c r="J2549" s="14">
        <v>24.566213464002431</v>
      </c>
      <c r="K2549" s="14">
        <v>20.985541022556749</v>
      </c>
      <c r="L2549" s="14">
        <v>0.58130650720019272</v>
      </c>
      <c r="M2549" s="14">
        <v>58.399944480026889</v>
      </c>
      <c r="N2549" s="14">
        <v>95.674391368031991</v>
      </c>
      <c r="O2549" s="14">
        <v>6.5949463744817596</v>
      </c>
      <c r="P2549" s="14">
        <v>2.7971000000010275</v>
      </c>
      <c r="Q2549" t="s">
        <v>137</v>
      </c>
    </row>
    <row r="2550" spans="1:17" hidden="1" x14ac:dyDescent="0.25">
      <c r="A2550" s="7" t="s">
        <v>182</v>
      </c>
      <c r="B2550" s="13" t="s">
        <v>18</v>
      </c>
      <c r="C2550" s="7" t="s">
        <v>19</v>
      </c>
      <c r="D2550" s="7" t="s">
        <v>20</v>
      </c>
      <c r="E2550" s="7" t="s">
        <v>21</v>
      </c>
      <c r="F2550" s="7" t="s">
        <v>114</v>
      </c>
      <c r="G2550" s="7" t="s">
        <v>115</v>
      </c>
      <c r="H2550" s="7" t="s">
        <v>227</v>
      </c>
      <c r="I2550" s="8" t="s">
        <v>231</v>
      </c>
      <c r="J2550" s="14">
        <v>3.3073604016999996</v>
      </c>
      <c r="K2550" s="14">
        <v>3.3073604016999996</v>
      </c>
      <c r="L2550" s="14">
        <v>0.29049999999999998</v>
      </c>
      <c r="M2550" s="14">
        <v>34.046900000000001</v>
      </c>
      <c r="N2550" s="14">
        <v>128.71019999999999</v>
      </c>
      <c r="O2550" s="14">
        <v>1.0218</v>
      </c>
      <c r="P2550" s="14">
        <v>0.14369999999999999</v>
      </c>
      <c r="Q2550" t="s">
        <v>137</v>
      </c>
    </row>
    <row r="2551" spans="1:17" hidden="1" x14ac:dyDescent="0.25">
      <c r="A2551" s="7" t="s">
        <v>182</v>
      </c>
      <c r="B2551" s="13" t="s">
        <v>18</v>
      </c>
      <c r="C2551" s="7" t="s">
        <v>19</v>
      </c>
      <c r="D2551" s="7" t="s">
        <v>20</v>
      </c>
      <c r="E2551" s="7" t="s">
        <v>21</v>
      </c>
      <c r="F2551" s="7" t="s">
        <v>114</v>
      </c>
      <c r="G2551" s="7" t="s">
        <v>115</v>
      </c>
      <c r="H2551" s="7" t="s">
        <v>227</v>
      </c>
      <c r="I2551" s="8" t="s">
        <v>228</v>
      </c>
      <c r="J2551" s="14">
        <v>271.04910718497911</v>
      </c>
      <c r="K2551" s="14">
        <v>205.19350878390219</v>
      </c>
      <c r="L2551" s="14">
        <v>2.8825825428800016</v>
      </c>
      <c r="M2551" s="14">
        <v>398.52212196224502</v>
      </c>
      <c r="N2551" s="14">
        <v>580.93952470262275</v>
      </c>
      <c r="O2551" s="14">
        <v>149.83425997640001</v>
      </c>
      <c r="P2551" s="14">
        <v>14.443066586223505</v>
      </c>
      <c r="Q2551" t="s">
        <v>137</v>
      </c>
    </row>
    <row r="2552" spans="1:17" hidden="1" x14ac:dyDescent="0.25">
      <c r="A2552" s="7" t="s">
        <v>182</v>
      </c>
      <c r="B2552" s="13" t="s">
        <v>18</v>
      </c>
      <c r="C2552" s="7" t="s">
        <v>19</v>
      </c>
      <c r="D2552" s="7" t="s">
        <v>20</v>
      </c>
      <c r="E2552" s="7" t="s">
        <v>21</v>
      </c>
      <c r="F2552" s="7" t="s">
        <v>114</v>
      </c>
      <c r="G2552" s="7" t="s">
        <v>115</v>
      </c>
      <c r="H2552" s="7" t="s">
        <v>227</v>
      </c>
      <c r="I2552" s="8" t="s">
        <v>236</v>
      </c>
      <c r="J2552" s="14">
        <v>3.3121999999999999E-2</v>
      </c>
      <c r="K2552" s="14">
        <v>2.0732E-2</v>
      </c>
      <c r="L2552" s="14">
        <v>0</v>
      </c>
      <c r="M2552" s="14">
        <v>4.3900000000000002E-2</v>
      </c>
      <c r="N2552" s="14">
        <v>7.7100000000000002E-2</v>
      </c>
      <c r="O2552" s="14">
        <v>0.25469599999999998</v>
      </c>
      <c r="P2552" s="14">
        <v>0</v>
      </c>
      <c r="Q2552" t="s">
        <v>137</v>
      </c>
    </row>
    <row r="2553" spans="1:17" hidden="1" x14ac:dyDescent="0.25">
      <c r="A2553" s="7" t="s">
        <v>182</v>
      </c>
      <c r="B2553" s="13" t="s">
        <v>18</v>
      </c>
      <c r="C2553" s="7" t="s">
        <v>19</v>
      </c>
      <c r="D2553" s="7" t="s">
        <v>20</v>
      </c>
      <c r="E2553" s="7" t="s">
        <v>21</v>
      </c>
      <c r="F2553" s="7" t="s">
        <v>114</v>
      </c>
      <c r="G2553" s="7" t="s">
        <v>115</v>
      </c>
      <c r="H2553" s="7" t="s">
        <v>227</v>
      </c>
      <c r="I2553" s="8" t="s">
        <v>232</v>
      </c>
      <c r="J2553" s="14">
        <v>4.9208000000000002E-2</v>
      </c>
      <c r="K2553" s="14">
        <v>0.28909699999999999</v>
      </c>
      <c r="L2553" s="14">
        <v>7.2899999999999996E-3</v>
      </c>
      <c r="M2553" s="14">
        <v>6.7991999999999999</v>
      </c>
      <c r="N2553" s="14">
        <v>8.094100000000001</v>
      </c>
      <c r="O2553" s="14">
        <v>0.44499999999999995</v>
      </c>
      <c r="P2553" s="14">
        <v>0.2601</v>
      </c>
      <c r="Q2553" t="s">
        <v>137</v>
      </c>
    </row>
    <row r="2554" spans="1:17" hidden="1" x14ac:dyDescent="0.25">
      <c r="A2554" s="7" t="s">
        <v>182</v>
      </c>
      <c r="B2554" s="13" t="s">
        <v>18</v>
      </c>
      <c r="C2554" s="7" t="s">
        <v>19</v>
      </c>
      <c r="D2554" s="7" t="s">
        <v>20</v>
      </c>
      <c r="E2554" s="7" t="s">
        <v>21</v>
      </c>
      <c r="F2554" s="7" t="s">
        <v>114</v>
      </c>
      <c r="G2554" s="7" t="s">
        <v>115</v>
      </c>
      <c r="H2554" s="7" t="s">
        <v>227</v>
      </c>
      <c r="I2554" s="8" t="s">
        <v>233</v>
      </c>
      <c r="J2554" s="14">
        <v>147.07854609842627</v>
      </c>
      <c r="K2554" s="14">
        <v>95.150367514818043</v>
      </c>
      <c r="L2554" s="14">
        <v>113.03246501192</v>
      </c>
      <c r="M2554" s="14">
        <v>219.65957428010401</v>
      </c>
      <c r="N2554" s="14">
        <v>1299.1372605148417</v>
      </c>
      <c r="O2554" s="14">
        <v>1947.3551439720002</v>
      </c>
      <c r="P2554" s="14">
        <v>7.9302839604481399</v>
      </c>
      <c r="Q2554" t="s">
        <v>137</v>
      </c>
    </row>
    <row r="2555" spans="1:17" hidden="1" x14ac:dyDescent="0.25">
      <c r="A2555" s="7" t="s">
        <v>182</v>
      </c>
      <c r="B2555" s="13" t="s">
        <v>18</v>
      </c>
      <c r="C2555" s="7" t="s">
        <v>19</v>
      </c>
      <c r="D2555" s="7" t="s">
        <v>20</v>
      </c>
      <c r="E2555" s="7" t="s">
        <v>21</v>
      </c>
      <c r="F2555" s="7" t="s">
        <v>114</v>
      </c>
      <c r="G2555" s="7" t="s">
        <v>115</v>
      </c>
      <c r="H2555" s="7" t="s">
        <v>227</v>
      </c>
      <c r="I2555" s="8" t="s">
        <v>235</v>
      </c>
      <c r="J2555" s="14">
        <v>3.6300000000000006E-2</v>
      </c>
      <c r="K2555" s="14">
        <v>3.6300000000000006E-2</v>
      </c>
      <c r="L2555" s="14">
        <v>2.8999999999999998E-3</v>
      </c>
      <c r="M2555" s="14">
        <v>0.40160000000000001</v>
      </c>
      <c r="N2555" s="14">
        <v>0.47809999999999997</v>
      </c>
      <c r="O2555" s="14">
        <v>2.6299999999999997E-2</v>
      </c>
      <c r="P2555" s="14">
        <v>1.5399999999999999E-2</v>
      </c>
      <c r="Q2555" t="s">
        <v>137</v>
      </c>
    </row>
    <row r="2556" spans="1:17" hidden="1" x14ac:dyDescent="0.25">
      <c r="A2556" s="7" t="s">
        <v>182</v>
      </c>
      <c r="B2556" s="13" t="s">
        <v>18</v>
      </c>
      <c r="C2556" s="7" t="s">
        <v>19</v>
      </c>
      <c r="D2556" s="7" t="s">
        <v>20</v>
      </c>
      <c r="E2556" s="7" t="s">
        <v>21</v>
      </c>
      <c r="F2556" s="7" t="s">
        <v>116</v>
      </c>
      <c r="G2556" s="7" t="s">
        <v>117</v>
      </c>
      <c r="H2556" s="7" t="s">
        <v>227</v>
      </c>
      <c r="I2556" s="8" t="s">
        <v>237</v>
      </c>
      <c r="J2556" s="14">
        <v>0.21216999999999997</v>
      </c>
      <c r="K2556" s="14">
        <v>0.10608499999999998</v>
      </c>
      <c r="L2556" s="14">
        <v>0</v>
      </c>
      <c r="M2556" s="14">
        <v>0</v>
      </c>
      <c r="N2556" s="14">
        <v>0</v>
      </c>
      <c r="O2556" s="14">
        <v>0</v>
      </c>
      <c r="P2556" s="14">
        <v>0</v>
      </c>
      <c r="Q2556" t="s">
        <v>137</v>
      </c>
    </row>
    <row r="2557" spans="1:17" hidden="1" x14ac:dyDescent="0.25">
      <c r="A2557" s="7" t="s">
        <v>182</v>
      </c>
      <c r="B2557" s="13" t="s">
        <v>18</v>
      </c>
      <c r="C2557" s="7" t="s">
        <v>19</v>
      </c>
      <c r="D2557" s="7" t="s">
        <v>20</v>
      </c>
      <c r="E2557" s="7" t="s">
        <v>21</v>
      </c>
      <c r="F2557" s="7" t="s">
        <v>118</v>
      </c>
      <c r="G2557" s="7" t="s">
        <v>119</v>
      </c>
      <c r="H2557" s="7" t="s">
        <v>227</v>
      </c>
      <c r="I2557" s="8" t="s">
        <v>229</v>
      </c>
      <c r="J2557" s="14">
        <v>15.127416386401599</v>
      </c>
      <c r="K2557" s="14">
        <v>10.957744714992799</v>
      </c>
      <c r="L2557" s="14">
        <v>3.670000000000001E-2</v>
      </c>
      <c r="M2557" s="14">
        <v>5.1063459764735999</v>
      </c>
      <c r="N2557" s="14">
        <v>6.2437682176000004</v>
      </c>
      <c r="O2557" s="14">
        <v>23.652311999999998</v>
      </c>
      <c r="P2557" s="14">
        <v>0.1966</v>
      </c>
      <c r="Q2557" t="s">
        <v>137</v>
      </c>
    </row>
    <row r="2558" spans="1:17" hidden="1" x14ac:dyDescent="0.25">
      <c r="A2558" s="7" t="s">
        <v>182</v>
      </c>
      <c r="B2558" s="13" t="s">
        <v>18</v>
      </c>
      <c r="C2558" s="7" t="s">
        <v>19</v>
      </c>
      <c r="D2558" s="7" t="s">
        <v>20</v>
      </c>
      <c r="E2558" s="7" t="s">
        <v>21</v>
      </c>
      <c r="F2558" s="7" t="s">
        <v>118</v>
      </c>
      <c r="G2558" s="7" t="s">
        <v>119</v>
      </c>
      <c r="H2558" s="7" t="s">
        <v>227</v>
      </c>
      <c r="I2558" s="8" t="s">
        <v>230</v>
      </c>
      <c r="J2558" s="14">
        <v>0.39499750239999998</v>
      </c>
      <c r="K2558" s="14">
        <v>0.39499750239999998</v>
      </c>
      <c r="L2558" s="14">
        <v>2.930005059584E-2</v>
      </c>
      <c r="M2558" s="14">
        <v>2.9311356336000003</v>
      </c>
      <c r="N2558" s="14">
        <v>5.1799182879999996</v>
      </c>
      <c r="O2558" s="14">
        <v>157.63592330271078</v>
      </c>
      <c r="P2558" s="14">
        <v>0.15660000000000002</v>
      </c>
      <c r="Q2558" t="s">
        <v>137</v>
      </c>
    </row>
    <row r="2559" spans="1:17" hidden="1" x14ac:dyDescent="0.25">
      <c r="A2559" s="7" t="s">
        <v>182</v>
      </c>
      <c r="B2559" s="13" t="s">
        <v>18</v>
      </c>
      <c r="C2559" s="7" t="s">
        <v>19</v>
      </c>
      <c r="D2559" s="7" t="s">
        <v>20</v>
      </c>
      <c r="E2559" s="7" t="s">
        <v>21</v>
      </c>
      <c r="F2559" s="7" t="s">
        <v>118</v>
      </c>
      <c r="G2559" s="7" t="s">
        <v>119</v>
      </c>
      <c r="H2559" s="7" t="s">
        <v>227</v>
      </c>
      <c r="I2559" s="8" t="s">
        <v>228</v>
      </c>
      <c r="J2559" s="14">
        <v>154.13519993476797</v>
      </c>
      <c r="K2559" s="14">
        <v>111.67003283476799</v>
      </c>
      <c r="L2559" s="14">
        <v>0.165671058008</v>
      </c>
      <c r="M2559" s="14">
        <v>22.902048121120004</v>
      </c>
      <c r="N2559" s="14">
        <v>27.291309668000004</v>
      </c>
      <c r="O2559" s="14">
        <v>147.59201803174</v>
      </c>
      <c r="P2559" s="14">
        <v>0.87484377602822527</v>
      </c>
      <c r="Q2559" t="s">
        <v>137</v>
      </c>
    </row>
    <row r="2560" spans="1:17" hidden="1" x14ac:dyDescent="0.25">
      <c r="A2560" s="7" t="s">
        <v>182</v>
      </c>
      <c r="B2560" s="13" t="s">
        <v>18</v>
      </c>
      <c r="C2560" s="7" t="s">
        <v>19</v>
      </c>
      <c r="D2560" s="7" t="s">
        <v>20</v>
      </c>
      <c r="E2560" s="7" t="s">
        <v>21</v>
      </c>
      <c r="F2560" s="7" t="s">
        <v>118</v>
      </c>
      <c r="G2560" s="7" t="s">
        <v>119</v>
      </c>
      <c r="H2560" s="7" t="s">
        <v>227</v>
      </c>
      <c r="I2560" s="8" t="s">
        <v>236</v>
      </c>
      <c r="J2560" s="14">
        <v>3.1537450094450019</v>
      </c>
      <c r="K2560" s="14">
        <v>3.1537450094450019</v>
      </c>
      <c r="L2560" s="14">
        <v>4.3005545564634887E-2</v>
      </c>
      <c r="M2560" s="14">
        <v>4.9407989127390843</v>
      </c>
      <c r="N2560" s="14">
        <v>19.280852728899326</v>
      </c>
      <c r="O2560" s="14">
        <v>115.09106439214233</v>
      </c>
      <c r="P2560" s="14">
        <v>0</v>
      </c>
      <c r="Q2560" t="s">
        <v>137</v>
      </c>
    </row>
    <row r="2561" spans="1:17" hidden="1" x14ac:dyDescent="0.25">
      <c r="A2561" s="7" t="s">
        <v>182</v>
      </c>
      <c r="B2561" s="13" t="s">
        <v>18</v>
      </c>
      <c r="C2561" s="7" t="s">
        <v>19</v>
      </c>
      <c r="D2561" s="7" t="s">
        <v>20</v>
      </c>
      <c r="E2561" s="7" t="s">
        <v>21</v>
      </c>
      <c r="F2561" s="7" t="s">
        <v>118</v>
      </c>
      <c r="G2561" s="7" t="s">
        <v>119</v>
      </c>
      <c r="H2561" s="7" t="s">
        <v>227</v>
      </c>
      <c r="I2561" s="8" t="s">
        <v>232</v>
      </c>
      <c r="J2561" s="14">
        <v>17.77773551229</v>
      </c>
      <c r="K2561" s="14">
        <v>8.539730991519999</v>
      </c>
      <c r="L2561" s="14">
        <v>0.1069</v>
      </c>
      <c r="M2561" s="14">
        <v>7.7010290023999994</v>
      </c>
      <c r="N2561" s="14">
        <v>10.346671277819199</v>
      </c>
      <c r="O2561" s="14">
        <v>0.81498575369477078</v>
      </c>
      <c r="P2561" s="14">
        <v>0.40870000000000001</v>
      </c>
      <c r="Q2561" t="s">
        <v>137</v>
      </c>
    </row>
    <row r="2562" spans="1:17" hidden="1" x14ac:dyDescent="0.25">
      <c r="A2562" s="7" t="s">
        <v>182</v>
      </c>
      <c r="B2562" s="13" t="s">
        <v>18</v>
      </c>
      <c r="C2562" s="7" t="s">
        <v>19</v>
      </c>
      <c r="D2562" s="7" t="s">
        <v>20</v>
      </c>
      <c r="E2562" s="7" t="s">
        <v>21</v>
      </c>
      <c r="F2562" s="7" t="s">
        <v>118</v>
      </c>
      <c r="G2562" s="7" t="s">
        <v>119</v>
      </c>
      <c r="H2562" s="7" t="s">
        <v>227</v>
      </c>
      <c r="I2562" s="8" t="s">
        <v>233</v>
      </c>
      <c r="J2562" s="14">
        <v>1.9977215000000001</v>
      </c>
      <c r="K2562" s="14">
        <v>1.4880332000000001</v>
      </c>
      <c r="L2562" s="14">
        <v>2.4746808000000002</v>
      </c>
      <c r="M2562" s="14">
        <v>13.687100000000001</v>
      </c>
      <c r="N2562" s="14">
        <v>66.961068000000012</v>
      </c>
      <c r="O2562" s="14">
        <v>0.60969999999999991</v>
      </c>
      <c r="P2562" s="14">
        <v>0.35680000000000001</v>
      </c>
      <c r="Q2562" t="s">
        <v>137</v>
      </c>
    </row>
    <row r="2563" spans="1:17" hidden="1" x14ac:dyDescent="0.25">
      <c r="A2563" s="7" t="s">
        <v>17</v>
      </c>
      <c r="B2563" s="15" t="s">
        <v>18</v>
      </c>
      <c r="C2563" s="7" t="s">
        <v>19</v>
      </c>
      <c r="D2563" s="15" t="s">
        <v>20</v>
      </c>
      <c r="E2563" s="15" t="s">
        <v>21</v>
      </c>
      <c r="F2563" s="15" t="s">
        <v>22</v>
      </c>
      <c r="G2563" s="15" t="s">
        <v>23</v>
      </c>
      <c r="H2563" s="7" t="s">
        <v>24</v>
      </c>
      <c r="I2563" s="7" t="s">
        <v>238</v>
      </c>
      <c r="J2563" s="16">
        <v>1.0999490088487748E-3</v>
      </c>
      <c r="K2563" s="17">
        <v>1.0999490088487748E-3</v>
      </c>
      <c r="L2563" s="17">
        <v>1.2872078252216778E-4</v>
      </c>
      <c r="M2563" s="17">
        <v>9.4319393189320946E-3</v>
      </c>
      <c r="N2563" s="17">
        <v>1.5637844573055067E-2</v>
      </c>
      <c r="O2563" s="18">
        <v>9.4047048150655154E-4</v>
      </c>
      <c r="P2563" s="17">
        <v>9.5154852249585672E-6</v>
      </c>
      <c r="Q2563" t="s">
        <v>26</v>
      </c>
    </row>
    <row r="2564" spans="1:17" hidden="1" x14ac:dyDescent="0.25">
      <c r="A2564" s="7" t="s">
        <v>17</v>
      </c>
      <c r="B2564" s="15" t="s">
        <v>18</v>
      </c>
      <c r="C2564" s="7" t="s">
        <v>19</v>
      </c>
      <c r="D2564" s="15"/>
      <c r="E2564" s="15"/>
      <c r="F2564" s="15" t="s">
        <v>27</v>
      </c>
      <c r="G2564" s="15" t="s">
        <v>28</v>
      </c>
      <c r="H2564" s="7" t="s">
        <v>24</v>
      </c>
      <c r="I2564" s="7" t="s">
        <v>238</v>
      </c>
      <c r="J2564" s="16">
        <v>3.8094475642956285E-3</v>
      </c>
      <c r="K2564" s="17">
        <v>3.8094475642956285E-3</v>
      </c>
      <c r="L2564" s="17">
        <v>4.6827667184397607E-4</v>
      </c>
      <c r="M2564" s="17">
        <v>3.1202853121471075E-2</v>
      </c>
      <c r="N2564" s="17">
        <v>5.4783635251437764E-2</v>
      </c>
      <c r="O2564" s="18">
        <v>3.3346560587831685E-3</v>
      </c>
      <c r="P2564" s="17">
        <v>0</v>
      </c>
      <c r="Q2564" t="s">
        <v>26</v>
      </c>
    </row>
    <row r="2565" spans="1:17" hidden="1" x14ac:dyDescent="0.25">
      <c r="A2565" s="7" t="s">
        <v>17</v>
      </c>
      <c r="B2565" s="15" t="s">
        <v>18</v>
      </c>
      <c r="C2565" s="7" t="s">
        <v>19</v>
      </c>
      <c r="D2565" s="15"/>
      <c r="E2565" s="15"/>
      <c r="F2565" s="15" t="s">
        <v>29</v>
      </c>
      <c r="G2565" s="15" t="s">
        <v>30</v>
      </c>
      <c r="H2565" s="7" t="s">
        <v>24</v>
      </c>
      <c r="I2565" s="7" t="s">
        <v>238</v>
      </c>
      <c r="J2565" s="16">
        <v>1.1904523638423838E-3</v>
      </c>
      <c r="K2565" s="17">
        <v>1.1904523638423838E-3</v>
      </c>
      <c r="L2565" s="17">
        <v>1.4633645995124254E-4</v>
      </c>
      <c r="M2565" s="17">
        <v>9.7508916004597108E-3</v>
      </c>
      <c r="N2565" s="17">
        <v>1.7119886016074299E-2</v>
      </c>
      <c r="O2565" s="18">
        <v>1.0420800183697401E-3</v>
      </c>
      <c r="P2565" s="17">
        <v>0</v>
      </c>
      <c r="Q2565" t="s">
        <v>26</v>
      </c>
    </row>
    <row r="2566" spans="1:17" hidden="1" x14ac:dyDescent="0.25">
      <c r="A2566" s="7" t="s">
        <v>17</v>
      </c>
      <c r="B2566" s="15" t="s">
        <v>18</v>
      </c>
      <c r="C2566" s="7" t="s">
        <v>19</v>
      </c>
      <c r="D2566" s="15"/>
      <c r="E2566" s="15"/>
      <c r="F2566" s="15" t="s">
        <v>31</v>
      </c>
      <c r="G2566" s="15" t="s">
        <v>32</v>
      </c>
      <c r="H2566" s="7" t="s">
        <v>24</v>
      </c>
      <c r="I2566" s="7" t="s">
        <v>238</v>
      </c>
      <c r="J2566" s="16">
        <v>5.3094175427370334E-2</v>
      </c>
      <c r="K2566" s="17">
        <v>5.3094175427370334E-2</v>
      </c>
      <c r="L2566" s="17">
        <v>6.5266061138254177E-3</v>
      </c>
      <c r="M2566" s="17">
        <v>0.43488976538050317</v>
      </c>
      <c r="N2566" s="17">
        <v>0.76354691631691385</v>
      </c>
      <c r="O2566" s="18">
        <v>4.6476768819290415E-2</v>
      </c>
      <c r="P2566" s="17">
        <v>0</v>
      </c>
      <c r="Q2566" t="s">
        <v>26</v>
      </c>
    </row>
    <row r="2567" spans="1:17" hidden="1" x14ac:dyDescent="0.25">
      <c r="A2567" s="7" t="s">
        <v>17</v>
      </c>
      <c r="B2567" s="15" t="s">
        <v>18</v>
      </c>
      <c r="C2567" s="7" t="s">
        <v>19</v>
      </c>
      <c r="D2567" s="15"/>
      <c r="E2567" s="15"/>
      <c r="F2567" s="15" t="s">
        <v>33</v>
      </c>
      <c r="G2567" s="15" t="s">
        <v>34</v>
      </c>
      <c r="H2567" s="7" t="s">
        <v>24</v>
      </c>
      <c r="I2567" s="7" t="s">
        <v>238</v>
      </c>
      <c r="J2567" s="16">
        <v>3.8034953024764166E-2</v>
      </c>
      <c r="K2567" s="17">
        <v>3.8034953024764166E-2</v>
      </c>
      <c r="L2567" s="17">
        <v>4.6754498954421977E-3</v>
      </c>
      <c r="M2567" s="17">
        <v>0.31154098663468771</v>
      </c>
      <c r="N2567" s="17">
        <v>0.54698035821357383</v>
      </c>
      <c r="O2567" s="18">
        <v>3.3294456586913192E-2</v>
      </c>
      <c r="P2567" s="17">
        <v>0</v>
      </c>
      <c r="Q2567" t="s">
        <v>26</v>
      </c>
    </row>
    <row r="2568" spans="1:17" hidden="1" x14ac:dyDescent="0.25">
      <c r="A2568" s="7" t="s">
        <v>17</v>
      </c>
      <c r="B2568" s="15" t="s">
        <v>18</v>
      </c>
      <c r="C2568" s="7" t="s">
        <v>19</v>
      </c>
      <c r="D2568" s="15" t="s">
        <v>20</v>
      </c>
      <c r="E2568" s="15" t="s">
        <v>21</v>
      </c>
      <c r="F2568" s="15" t="s">
        <v>35</v>
      </c>
      <c r="G2568" s="15" t="s">
        <v>36</v>
      </c>
      <c r="H2568" s="7" t="s">
        <v>24</v>
      </c>
      <c r="I2568" s="7" t="s">
        <v>238</v>
      </c>
      <c r="J2568" s="16">
        <v>0.763708346206315</v>
      </c>
      <c r="K2568" s="17">
        <v>0.763708346206315</v>
      </c>
      <c r="L2568" s="17">
        <v>8.9372448314922651E-2</v>
      </c>
      <c r="M2568" s="17">
        <v>6.5487133683760419</v>
      </c>
      <c r="N2568" s="17">
        <v>10.857550960129299</v>
      </c>
      <c r="O2568" s="18">
        <v>0.6529804111910178</v>
      </c>
      <c r="P2568" s="17">
        <v>6.606720335254045E-3</v>
      </c>
      <c r="Q2568" t="s">
        <v>26</v>
      </c>
    </row>
    <row r="2569" spans="1:17" hidden="1" x14ac:dyDescent="0.25">
      <c r="A2569" s="7" t="s">
        <v>17</v>
      </c>
      <c r="B2569" s="15" t="s">
        <v>18</v>
      </c>
      <c r="C2569" s="7" t="s">
        <v>19</v>
      </c>
      <c r="D2569" s="15"/>
      <c r="E2569" s="15"/>
      <c r="F2569" s="15" t="s">
        <v>37</v>
      </c>
      <c r="G2569" s="15" t="s">
        <v>38</v>
      </c>
      <c r="H2569" s="7" t="s">
        <v>24</v>
      </c>
      <c r="I2569" s="7" t="s">
        <v>238</v>
      </c>
      <c r="J2569" s="16">
        <v>1.3571156947803179E-2</v>
      </c>
      <c r="K2569" s="17">
        <v>1.3571156947803179E-2</v>
      </c>
      <c r="L2569" s="17">
        <v>1.6682356434441653E-3</v>
      </c>
      <c r="M2569" s="17">
        <v>0.11116016424524072</v>
      </c>
      <c r="N2569" s="17">
        <v>0.19516670058324706</v>
      </c>
      <c r="O2569" s="18">
        <v>1.187971220941504E-2</v>
      </c>
      <c r="P2569" s="17">
        <v>0</v>
      </c>
      <c r="Q2569" t="s">
        <v>26</v>
      </c>
    </row>
    <row r="2570" spans="1:17" hidden="1" x14ac:dyDescent="0.25">
      <c r="A2570" s="7" t="s">
        <v>17</v>
      </c>
      <c r="B2570" s="15" t="s">
        <v>18</v>
      </c>
      <c r="C2570" s="7" t="s">
        <v>19</v>
      </c>
      <c r="D2570" s="15"/>
      <c r="E2570" s="15"/>
      <c r="F2570" s="15" t="s">
        <v>39</v>
      </c>
      <c r="G2570" s="15" t="s">
        <v>40</v>
      </c>
      <c r="H2570" s="7" t="s">
        <v>24</v>
      </c>
      <c r="I2570" s="7" t="s">
        <v>238</v>
      </c>
      <c r="J2570" s="16">
        <v>1.3809247420571652E-2</v>
      </c>
      <c r="K2570" s="17">
        <v>1.3809247420571652E-2</v>
      </c>
      <c r="L2570" s="17">
        <v>1.6975029354344133E-3</v>
      </c>
      <c r="M2570" s="17">
        <v>0.11311034256533264</v>
      </c>
      <c r="N2570" s="17">
        <v>0.19859067778646186</v>
      </c>
      <c r="O2570" s="18">
        <v>1.2088128213088984E-2</v>
      </c>
      <c r="P2570" s="17">
        <v>0</v>
      </c>
      <c r="Q2570" t="s">
        <v>26</v>
      </c>
    </row>
    <row r="2571" spans="1:17" hidden="1" x14ac:dyDescent="0.25">
      <c r="A2571" s="7" t="s">
        <v>17</v>
      </c>
      <c r="B2571" s="15" t="s">
        <v>18</v>
      </c>
      <c r="C2571" s="7" t="s">
        <v>19</v>
      </c>
      <c r="D2571" s="15" t="s">
        <v>20</v>
      </c>
      <c r="E2571" s="15" t="s">
        <v>21</v>
      </c>
      <c r="F2571" s="15" t="s">
        <v>41</v>
      </c>
      <c r="G2571" s="15" t="s">
        <v>42</v>
      </c>
      <c r="H2571" s="7" t="s">
        <v>24</v>
      </c>
      <c r="I2571" s="7" t="s">
        <v>238</v>
      </c>
      <c r="J2571" s="16">
        <v>0.20630918597219833</v>
      </c>
      <c r="K2571" s="17">
        <v>0.20630918597219833</v>
      </c>
      <c r="L2571" s="17">
        <v>2.41431917718141E-2</v>
      </c>
      <c r="M2571" s="17">
        <v>1.7690781185072013</v>
      </c>
      <c r="N2571" s="17">
        <v>2.9330732227336416</v>
      </c>
      <c r="O2571" s="18">
        <v>0.17639699468757258</v>
      </c>
      <c r="P2571" s="17">
        <v>1.7847481975062911E-3</v>
      </c>
      <c r="Q2571" t="s">
        <v>26</v>
      </c>
    </row>
    <row r="2572" spans="1:17" hidden="1" x14ac:dyDescent="0.25">
      <c r="A2572" s="7" t="s">
        <v>17</v>
      </c>
      <c r="B2572" s="15" t="s">
        <v>18</v>
      </c>
      <c r="C2572" s="7" t="s">
        <v>19</v>
      </c>
      <c r="D2572" s="15" t="s">
        <v>20</v>
      </c>
      <c r="E2572" s="15" t="s">
        <v>21</v>
      </c>
      <c r="F2572" s="15" t="s">
        <v>43</v>
      </c>
      <c r="G2572" s="15" t="s">
        <v>44</v>
      </c>
      <c r="H2572" s="7" t="s">
        <v>24</v>
      </c>
      <c r="I2572" s="7" t="s">
        <v>238</v>
      </c>
      <c r="J2572" s="16">
        <v>1.5811767002201139E-2</v>
      </c>
      <c r="K2572" s="17">
        <v>1.5811767002201139E-2</v>
      </c>
      <c r="L2572" s="17">
        <v>1.8503612487561622E-3</v>
      </c>
      <c r="M2572" s="17">
        <v>0.13558412770964887</v>
      </c>
      <c r="N2572" s="17">
        <v>0.22479401573766661</v>
      </c>
      <c r="O2572" s="18">
        <v>1.3519263171656679E-2</v>
      </c>
      <c r="P2572" s="17">
        <v>1.3678510010877939E-4</v>
      </c>
      <c r="Q2572" t="s">
        <v>26</v>
      </c>
    </row>
    <row r="2573" spans="1:17" hidden="1" x14ac:dyDescent="0.25">
      <c r="A2573" s="7" t="s">
        <v>17</v>
      </c>
      <c r="B2573" s="15" t="s">
        <v>18</v>
      </c>
      <c r="C2573" s="7" t="s">
        <v>19</v>
      </c>
      <c r="D2573" s="15"/>
      <c r="E2573" s="15"/>
      <c r="F2573" s="15" t="s">
        <v>45</v>
      </c>
      <c r="G2573" s="15" t="s">
        <v>46</v>
      </c>
      <c r="H2573" s="7" t="s">
        <v>24</v>
      </c>
      <c r="I2573" s="7" t="s">
        <v>238</v>
      </c>
      <c r="J2573" s="16">
        <v>2.3928092513231917E-2</v>
      </c>
      <c r="K2573" s="17">
        <v>2.3928092513231917E-2</v>
      </c>
      <c r="L2573" s="17">
        <v>2.9413628450199753E-3</v>
      </c>
      <c r="M2573" s="17">
        <v>0.19599292116924019</v>
      </c>
      <c r="N2573" s="17">
        <v>0.3441097089230935</v>
      </c>
      <c r="O2573" s="18">
        <v>2.0945808369231777E-2</v>
      </c>
      <c r="P2573" s="17">
        <v>0</v>
      </c>
      <c r="Q2573" t="s">
        <v>26</v>
      </c>
    </row>
    <row r="2574" spans="1:17" hidden="1" x14ac:dyDescent="0.25">
      <c r="A2574" s="7" t="s">
        <v>17</v>
      </c>
      <c r="B2574" s="15" t="s">
        <v>18</v>
      </c>
      <c r="C2574" s="7" t="s">
        <v>19</v>
      </c>
      <c r="D2574" s="15" t="s">
        <v>20</v>
      </c>
      <c r="E2574" s="15" t="s">
        <v>21</v>
      </c>
      <c r="F2574" s="15" t="s">
        <v>47</v>
      </c>
      <c r="G2574" s="15" t="s">
        <v>48</v>
      </c>
      <c r="H2574" s="7" t="s">
        <v>24</v>
      </c>
      <c r="I2574" s="7" t="s">
        <v>238</v>
      </c>
      <c r="J2574" s="16">
        <v>4.1041847392669917E-2</v>
      </c>
      <c r="K2574" s="17">
        <v>4.1041847392669917E-2</v>
      </c>
      <c r="L2574" s="17">
        <v>4.8028941978583871E-3</v>
      </c>
      <c r="M2574" s="17">
        <v>0.3519292358376539</v>
      </c>
      <c r="N2574" s="17">
        <v>0.58348707563211732</v>
      </c>
      <c r="O2574" s="18">
        <v>3.5091304841213214E-2</v>
      </c>
      <c r="P2574" s="17">
        <v>3.5504654245626651E-4</v>
      </c>
      <c r="Q2574" t="s">
        <v>26</v>
      </c>
    </row>
    <row r="2575" spans="1:17" hidden="1" x14ac:dyDescent="0.25">
      <c r="A2575" s="7" t="s">
        <v>17</v>
      </c>
      <c r="B2575" s="15" t="s">
        <v>18</v>
      </c>
      <c r="C2575" s="7" t="s">
        <v>19</v>
      </c>
      <c r="D2575" s="15"/>
      <c r="E2575" s="15"/>
      <c r="F2575" s="15" t="s">
        <v>49</v>
      </c>
      <c r="G2575" s="15" t="s">
        <v>50</v>
      </c>
      <c r="H2575" s="7" t="s">
        <v>24</v>
      </c>
      <c r="I2575" s="7" t="s">
        <v>238</v>
      </c>
      <c r="J2575" s="16">
        <v>1.9344850912438743E-2</v>
      </c>
      <c r="K2575" s="17">
        <v>1.9344850912438743E-2</v>
      </c>
      <c r="L2575" s="17">
        <v>2.3779674742076921E-3</v>
      </c>
      <c r="M2575" s="17">
        <v>0.15845198850747036</v>
      </c>
      <c r="N2575" s="17">
        <v>0.27819814776120744</v>
      </c>
      <c r="O2575" s="18">
        <v>1.6933800298508279E-2</v>
      </c>
      <c r="P2575" s="17">
        <v>0</v>
      </c>
      <c r="Q2575" t="s">
        <v>26</v>
      </c>
    </row>
    <row r="2576" spans="1:17" hidden="1" x14ac:dyDescent="0.25">
      <c r="A2576" s="7" t="s">
        <v>17</v>
      </c>
      <c r="B2576" s="15" t="s">
        <v>18</v>
      </c>
      <c r="C2576" s="7" t="s">
        <v>19</v>
      </c>
      <c r="D2576" s="15"/>
      <c r="E2576" s="15"/>
      <c r="F2576" s="15" t="s">
        <v>51</v>
      </c>
      <c r="G2576" s="15" t="s">
        <v>52</v>
      </c>
      <c r="H2576" s="7" t="s">
        <v>24</v>
      </c>
      <c r="I2576" s="7" t="s">
        <v>238</v>
      </c>
      <c r="J2576" s="16">
        <v>4.5177667207818475E-2</v>
      </c>
      <c r="K2576" s="17">
        <v>4.5177667207818475E-2</v>
      </c>
      <c r="L2576" s="17">
        <v>5.5534686551496548E-3</v>
      </c>
      <c r="M2576" s="17">
        <v>0.37004633623744604</v>
      </c>
      <c r="N2576" s="17">
        <v>0.64969967431001974</v>
      </c>
      <c r="O2576" s="18">
        <v>3.9546936697131642E-2</v>
      </c>
      <c r="P2576" s="17">
        <v>0</v>
      </c>
      <c r="Q2576" t="s">
        <v>26</v>
      </c>
    </row>
    <row r="2577" spans="1:17" hidden="1" x14ac:dyDescent="0.25">
      <c r="A2577" s="7" t="s">
        <v>17</v>
      </c>
      <c r="B2577" s="15" t="s">
        <v>18</v>
      </c>
      <c r="C2577" s="7" t="s">
        <v>19</v>
      </c>
      <c r="D2577" s="15"/>
      <c r="E2577" s="15"/>
      <c r="F2577" s="15" t="s">
        <v>53</v>
      </c>
      <c r="G2577" s="15" t="s">
        <v>54</v>
      </c>
      <c r="H2577" s="7" t="s">
        <v>24</v>
      </c>
      <c r="I2577" s="7" t="s">
        <v>238</v>
      </c>
      <c r="J2577" s="16">
        <v>1.666633309379338E-3</v>
      </c>
      <c r="K2577" s="17">
        <v>1.666633309379338E-3</v>
      </c>
      <c r="L2577" s="17">
        <v>2.0487104393173962E-4</v>
      </c>
      <c r="M2577" s="17">
        <v>1.36512482406436E-2</v>
      </c>
      <c r="N2577" s="17">
        <v>2.3967840422504029E-2</v>
      </c>
      <c r="O2577" s="18">
        <v>1.4589120257176365E-3</v>
      </c>
      <c r="P2577" s="17">
        <v>0</v>
      </c>
      <c r="Q2577" t="s">
        <v>26</v>
      </c>
    </row>
    <row r="2578" spans="1:17" hidden="1" x14ac:dyDescent="0.25">
      <c r="A2578" s="7" t="s">
        <v>17</v>
      </c>
      <c r="B2578" s="15" t="s">
        <v>18</v>
      </c>
      <c r="C2578" s="7" t="s">
        <v>19</v>
      </c>
      <c r="D2578" s="15"/>
      <c r="E2578" s="15"/>
      <c r="F2578" s="15" t="s">
        <v>55</v>
      </c>
      <c r="G2578" s="15" t="s">
        <v>56</v>
      </c>
      <c r="H2578" s="7" t="s">
        <v>24</v>
      </c>
      <c r="I2578" s="7" t="s">
        <v>238</v>
      </c>
      <c r="J2578" s="16">
        <v>2.3809047276847676E-3</v>
      </c>
      <c r="K2578" s="17">
        <v>2.3809047276847676E-3</v>
      </c>
      <c r="L2578" s="17">
        <v>2.9267291990248508E-4</v>
      </c>
      <c r="M2578" s="17">
        <v>1.9501783200919422E-2</v>
      </c>
      <c r="N2578" s="17">
        <v>3.4239772032148598E-2</v>
      </c>
      <c r="O2578" s="18">
        <v>2.0841600367394802E-3</v>
      </c>
      <c r="P2578" s="17">
        <v>0</v>
      </c>
      <c r="Q2578" t="s">
        <v>26</v>
      </c>
    </row>
    <row r="2579" spans="1:17" hidden="1" x14ac:dyDescent="0.25">
      <c r="A2579" s="7" t="s">
        <v>17</v>
      </c>
      <c r="B2579" s="15" t="s">
        <v>18</v>
      </c>
      <c r="C2579" s="7" t="s">
        <v>19</v>
      </c>
      <c r="D2579" s="15"/>
      <c r="E2579" s="15"/>
      <c r="F2579" s="15" t="s">
        <v>57</v>
      </c>
      <c r="G2579" s="15" t="s">
        <v>58</v>
      </c>
      <c r="H2579" s="7" t="s">
        <v>24</v>
      </c>
      <c r="I2579" s="7" t="s">
        <v>238</v>
      </c>
      <c r="J2579" s="16">
        <v>3.0594625750749265E-2</v>
      </c>
      <c r="K2579" s="17">
        <v>3.0594625750749265E-2</v>
      </c>
      <c r="L2579" s="17">
        <v>3.7608470207469327E-3</v>
      </c>
      <c r="M2579" s="17">
        <v>0.25059791413181454</v>
      </c>
      <c r="N2579" s="17">
        <v>0.43998107061310948</v>
      </c>
      <c r="O2579" s="18">
        <v>2.6781456472102318E-2</v>
      </c>
      <c r="P2579" s="17">
        <v>0</v>
      </c>
      <c r="Q2579" t="s">
        <v>26</v>
      </c>
    </row>
    <row r="2580" spans="1:17" hidden="1" x14ac:dyDescent="0.25">
      <c r="A2580" s="7" t="s">
        <v>17</v>
      </c>
      <c r="B2580" s="15" t="s">
        <v>18</v>
      </c>
      <c r="C2580" s="7" t="s">
        <v>19</v>
      </c>
      <c r="D2580" s="15" t="s">
        <v>20</v>
      </c>
      <c r="E2580" s="15" t="s">
        <v>21</v>
      </c>
      <c r="F2580" s="15" t="s">
        <v>59</v>
      </c>
      <c r="G2580" s="15" t="s">
        <v>60</v>
      </c>
      <c r="H2580" s="7" t="s">
        <v>24</v>
      </c>
      <c r="I2580" s="7" t="s">
        <v>238</v>
      </c>
      <c r="J2580" s="16">
        <v>0.13082518523995115</v>
      </c>
      <c r="K2580" s="17">
        <v>0.13082518523995115</v>
      </c>
      <c r="L2580" s="17">
        <v>1.5309728071230332E-2</v>
      </c>
      <c r="M2580" s="17">
        <v>1.121811282745486</v>
      </c>
      <c r="N2580" s="17">
        <v>1.8599261389077371</v>
      </c>
      <c r="O2580" s="18">
        <v>0.11185720789418548</v>
      </c>
      <c r="P2580" s="17">
        <v>1.1317480239435094E-3</v>
      </c>
      <c r="Q2580" t="s">
        <v>26</v>
      </c>
    </row>
    <row r="2581" spans="1:17" hidden="1" x14ac:dyDescent="0.25">
      <c r="A2581" s="7" t="s">
        <v>17</v>
      </c>
      <c r="B2581" s="15" t="s">
        <v>18</v>
      </c>
      <c r="C2581" s="7" t="s">
        <v>19</v>
      </c>
      <c r="D2581" s="15" t="s">
        <v>20</v>
      </c>
      <c r="E2581" s="15" t="s">
        <v>21</v>
      </c>
      <c r="F2581" s="7" t="s">
        <v>61</v>
      </c>
      <c r="G2581" s="15" t="s">
        <v>62</v>
      </c>
      <c r="H2581" s="7" t="s">
        <v>24</v>
      </c>
      <c r="I2581" s="7" t="s">
        <v>238</v>
      </c>
      <c r="J2581" s="16">
        <v>0.92285721842412205</v>
      </c>
      <c r="K2581" s="17">
        <v>0.92285721842412205</v>
      </c>
      <c r="L2581" s="17">
        <v>0.10799673653609877</v>
      </c>
      <c r="M2581" s="17">
        <v>7.9133970885840279</v>
      </c>
      <c r="N2581" s="17">
        <v>13.120151596793201</v>
      </c>
      <c r="O2581" s="18">
        <v>0.78905473398399684</v>
      </c>
      <c r="P2581" s="17">
        <v>7.9834921037402369E-3</v>
      </c>
      <c r="Q2581" t="s">
        <v>26</v>
      </c>
    </row>
    <row r="2582" spans="1:17" hidden="1" x14ac:dyDescent="0.25">
      <c r="A2582" s="7" t="s">
        <v>17</v>
      </c>
      <c r="B2582" s="15" t="s">
        <v>18</v>
      </c>
      <c r="C2582" s="7" t="s">
        <v>19</v>
      </c>
      <c r="D2582" s="15"/>
      <c r="E2582" s="15"/>
      <c r="F2582" s="15" t="s">
        <v>63</v>
      </c>
      <c r="G2582" s="15" t="s">
        <v>64</v>
      </c>
      <c r="H2582" s="7" t="s">
        <v>24</v>
      </c>
      <c r="I2582" s="7" t="s">
        <v>238</v>
      </c>
      <c r="J2582" s="16">
        <v>8.1545986923203286E-3</v>
      </c>
      <c r="K2582" s="17">
        <v>8.1545986923203286E-3</v>
      </c>
      <c r="L2582" s="17">
        <v>1.0024047506660113E-3</v>
      </c>
      <c r="M2582" s="17">
        <v>6.679360746314901E-2</v>
      </c>
      <c r="N2582" s="17">
        <v>0.11727121921010895</v>
      </c>
      <c r="O2582" s="18">
        <v>7.1382481258327191E-3</v>
      </c>
      <c r="P2582" s="17">
        <v>0</v>
      </c>
      <c r="Q2582" t="s">
        <v>26</v>
      </c>
    </row>
    <row r="2583" spans="1:17" hidden="1" x14ac:dyDescent="0.25">
      <c r="A2583" s="7" t="s">
        <v>17</v>
      </c>
      <c r="B2583" s="15" t="s">
        <v>18</v>
      </c>
      <c r="C2583" s="7" t="s">
        <v>19</v>
      </c>
      <c r="D2583" s="15" t="s">
        <v>20</v>
      </c>
      <c r="E2583" s="15" t="s">
        <v>21</v>
      </c>
      <c r="F2583" s="15" t="s">
        <v>65</v>
      </c>
      <c r="G2583" s="15" t="s">
        <v>66</v>
      </c>
      <c r="H2583" s="7" t="s">
        <v>24</v>
      </c>
      <c r="I2583" s="7" t="s">
        <v>238</v>
      </c>
      <c r="J2583" s="16">
        <v>0.50721398670539131</v>
      </c>
      <c r="K2583" s="17">
        <v>0.50721398670539131</v>
      </c>
      <c r="L2583" s="17">
        <v>5.935637084053462E-2</v>
      </c>
      <c r="M2583" s="17">
        <v>4.3493030184425621</v>
      </c>
      <c r="N2583" s="17">
        <v>7.2110010787500176</v>
      </c>
      <c r="O2583" s="18">
        <v>0.43367445078470862</v>
      </c>
      <c r="P2583" s="17">
        <v>4.3878281243590177E-3</v>
      </c>
      <c r="Q2583" t="s">
        <v>26</v>
      </c>
    </row>
    <row r="2584" spans="1:17" hidden="1" x14ac:dyDescent="0.25">
      <c r="A2584" s="7" t="s">
        <v>17</v>
      </c>
      <c r="B2584" s="15" t="s">
        <v>18</v>
      </c>
      <c r="C2584" s="7" t="s">
        <v>19</v>
      </c>
      <c r="D2584" s="15"/>
      <c r="E2584" s="15"/>
      <c r="F2584" s="15" t="s">
        <v>67</v>
      </c>
      <c r="G2584" s="15" t="s">
        <v>68</v>
      </c>
      <c r="H2584" s="7" t="s">
        <v>24</v>
      </c>
      <c r="I2584" s="7" t="s">
        <v>238</v>
      </c>
      <c r="J2584" s="16">
        <v>1.755917236667516E-2</v>
      </c>
      <c r="K2584" s="17">
        <v>1.755917236667516E-2</v>
      </c>
      <c r="L2584" s="17">
        <v>2.1584627842808272E-3</v>
      </c>
      <c r="M2584" s="17">
        <v>0.14382565110678072</v>
      </c>
      <c r="N2584" s="17">
        <v>0.2525183187370959</v>
      </c>
      <c r="O2584" s="18">
        <v>1.5370680270953665E-2</v>
      </c>
      <c r="P2584" s="17">
        <v>0</v>
      </c>
      <c r="Q2584" t="s">
        <v>26</v>
      </c>
    </row>
    <row r="2585" spans="1:17" hidden="1" x14ac:dyDescent="0.25">
      <c r="A2585" s="7" t="s">
        <v>17</v>
      </c>
      <c r="B2585" s="15" t="s">
        <v>18</v>
      </c>
      <c r="C2585" s="7" t="s">
        <v>19</v>
      </c>
      <c r="D2585" s="15"/>
      <c r="E2585" s="15"/>
      <c r="F2585" s="15" t="s">
        <v>69</v>
      </c>
      <c r="G2585" s="15" t="s">
        <v>70</v>
      </c>
      <c r="H2585" s="7" t="s">
        <v>24</v>
      </c>
      <c r="I2585" s="7" t="s">
        <v>238</v>
      </c>
      <c r="J2585" s="16">
        <v>1.9047237821478143E-3</v>
      </c>
      <c r="K2585" s="17">
        <v>1.9047237821478143E-3</v>
      </c>
      <c r="L2585" s="17">
        <v>2.3413833592198803E-4</v>
      </c>
      <c r="M2585" s="17">
        <v>1.5601426560735538E-2</v>
      </c>
      <c r="N2585" s="17">
        <v>2.7391817625718882E-2</v>
      </c>
      <c r="O2585" s="18">
        <v>1.6673280293915843E-3</v>
      </c>
      <c r="P2585" s="17">
        <v>0</v>
      </c>
      <c r="Q2585" t="s">
        <v>26</v>
      </c>
    </row>
    <row r="2586" spans="1:17" hidden="1" x14ac:dyDescent="0.25">
      <c r="A2586" s="7" t="s">
        <v>17</v>
      </c>
      <c r="B2586" s="15" t="s">
        <v>18</v>
      </c>
      <c r="C2586" s="7" t="s">
        <v>19</v>
      </c>
      <c r="D2586" s="15"/>
      <c r="E2586" s="15"/>
      <c r="F2586" s="15" t="s">
        <v>71</v>
      </c>
      <c r="G2586" s="15" t="s">
        <v>72</v>
      </c>
      <c r="H2586" s="7" t="s">
        <v>24</v>
      </c>
      <c r="I2586" s="7" t="s">
        <v>238</v>
      </c>
      <c r="J2586" s="16">
        <v>6.6070106193252308E-3</v>
      </c>
      <c r="K2586" s="17">
        <v>6.6070106193252308E-3</v>
      </c>
      <c r="L2586" s="17">
        <v>8.1216735272939596E-4</v>
      </c>
      <c r="M2586" s="17">
        <v>5.4117448382551392E-2</v>
      </c>
      <c r="N2586" s="17">
        <v>9.501536738921236E-2</v>
      </c>
      <c r="O2586" s="18">
        <v>5.7835441019520577E-3</v>
      </c>
      <c r="P2586" s="17">
        <v>0</v>
      </c>
      <c r="Q2586" t="s">
        <v>26</v>
      </c>
    </row>
    <row r="2587" spans="1:17" hidden="1" x14ac:dyDescent="0.25">
      <c r="A2587" s="7" t="s">
        <v>17</v>
      </c>
      <c r="B2587" s="15" t="s">
        <v>18</v>
      </c>
      <c r="C2587" s="7" t="s">
        <v>19</v>
      </c>
      <c r="D2587" s="15" t="s">
        <v>20</v>
      </c>
      <c r="E2587" s="15" t="s">
        <v>21</v>
      </c>
      <c r="F2587" s="15" t="s">
        <v>73</v>
      </c>
      <c r="G2587" s="15" t="s">
        <v>74</v>
      </c>
      <c r="H2587" s="7" t="s">
        <v>24</v>
      </c>
      <c r="I2587" s="7" t="s">
        <v>238</v>
      </c>
      <c r="J2587" s="16">
        <v>8.1464973467862384E-2</v>
      </c>
      <c r="K2587" s="17">
        <v>8.1464973467862384E-2</v>
      </c>
      <c r="L2587" s="17">
        <v>9.5333829555480521E-3</v>
      </c>
      <c r="M2587" s="17">
        <v>0.6985530058084084</v>
      </c>
      <c r="N2587" s="17">
        <v>1.1581778636918911</v>
      </c>
      <c r="O2587" s="18">
        <v>6.9653595036578975E-2</v>
      </c>
      <c r="P2587" s="17">
        <v>7.0474062447349389E-4</v>
      </c>
      <c r="Q2587" t="s">
        <v>26</v>
      </c>
    </row>
    <row r="2588" spans="1:17" hidden="1" x14ac:dyDescent="0.25">
      <c r="A2588" s="7" t="s">
        <v>17</v>
      </c>
      <c r="B2588" s="15" t="s">
        <v>18</v>
      </c>
      <c r="C2588" s="7" t="s">
        <v>19</v>
      </c>
      <c r="D2588" s="15" t="s">
        <v>20</v>
      </c>
      <c r="E2588" s="15" t="s">
        <v>21</v>
      </c>
      <c r="F2588" s="15" t="s">
        <v>75</v>
      </c>
      <c r="G2588" s="15" t="s">
        <v>76</v>
      </c>
      <c r="H2588" s="7" t="s">
        <v>24</v>
      </c>
      <c r="I2588" s="7" t="s">
        <v>238</v>
      </c>
      <c r="J2588" s="16">
        <v>1.3575433173585472</v>
      </c>
      <c r="K2588" s="17">
        <v>1.3575433173585472</v>
      </c>
      <c r="L2588" s="17">
        <v>0.15886558077907795</v>
      </c>
      <c r="M2588" s="17">
        <v>11.640781608184502</v>
      </c>
      <c r="N2588" s="17">
        <v>19.300032299007398</v>
      </c>
      <c r="O2588" s="18">
        <v>1.1607169123943668</v>
      </c>
      <c r="P2588" s="17">
        <v>1.1743892921078549E-2</v>
      </c>
      <c r="Q2588" t="s">
        <v>26</v>
      </c>
    </row>
    <row r="2589" spans="1:17" hidden="1" x14ac:dyDescent="0.25">
      <c r="A2589" s="7" t="s">
        <v>17</v>
      </c>
      <c r="B2589" s="15" t="s">
        <v>18</v>
      </c>
      <c r="C2589" s="7" t="s">
        <v>19</v>
      </c>
      <c r="D2589" s="15"/>
      <c r="E2589" s="15"/>
      <c r="F2589" s="15" t="s">
        <v>77</v>
      </c>
      <c r="G2589" s="15" t="s">
        <v>78</v>
      </c>
      <c r="H2589" s="7" t="s">
        <v>24</v>
      </c>
      <c r="I2589" s="7" t="s">
        <v>238</v>
      </c>
      <c r="J2589" s="16">
        <v>3.8094475642956285E-3</v>
      </c>
      <c r="K2589" s="17">
        <v>3.8094475642956285E-3</v>
      </c>
      <c r="L2589" s="17">
        <v>4.6827667184397607E-4</v>
      </c>
      <c r="M2589" s="17">
        <v>3.1202853121471075E-2</v>
      </c>
      <c r="N2589" s="17">
        <v>5.4783635251437764E-2</v>
      </c>
      <c r="O2589" s="18">
        <v>3.3346560587831685E-3</v>
      </c>
      <c r="P2589" s="17">
        <v>0</v>
      </c>
      <c r="Q2589" t="s">
        <v>26</v>
      </c>
    </row>
    <row r="2590" spans="1:17" hidden="1" x14ac:dyDescent="0.25">
      <c r="A2590" s="7" t="s">
        <v>17</v>
      </c>
      <c r="B2590" s="15" t="s">
        <v>18</v>
      </c>
      <c r="C2590" s="7" t="s">
        <v>19</v>
      </c>
      <c r="D2590" s="15"/>
      <c r="E2590" s="15"/>
      <c r="F2590" s="15" t="s">
        <v>79</v>
      </c>
      <c r="G2590" s="15" t="s">
        <v>80</v>
      </c>
      <c r="H2590" s="7" t="s">
        <v>24</v>
      </c>
      <c r="I2590" s="7" t="s">
        <v>238</v>
      </c>
      <c r="J2590" s="16">
        <v>1.9047237821478143E-3</v>
      </c>
      <c r="K2590" s="17">
        <v>1.9047237821478143E-3</v>
      </c>
      <c r="L2590" s="17">
        <v>2.3413833592198803E-4</v>
      </c>
      <c r="M2590" s="17">
        <v>1.5601426560735538E-2</v>
      </c>
      <c r="N2590" s="17">
        <v>2.7391817625718882E-2</v>
      </c>
      <c r="O2590" s="18">
        <v>1.6673280293915843E-3</v>
      </c>
      <c r="P2590" s="17">
        <v>0</v>
      </c>
      <c r="Q2590" t="s">
        <v>26</v>
      </c>
    </row>
    <row r="2591" spans="1:17" hidden="1" x14ac:dyDescent="0.25">
      <c r="A2591" s="7" t="s">
        <v>17</v>
      </c>
      <c r="B2591" s="15" t="s">
        <v>18</v>
      </c>
      <c r="C2591" s="7" t="s">
        <v>19</v>
      </c>
      <c r="D2591" s="15"/>
      <c r="E2591" s="15"/>
      <c r="F2591" s="15" t="s">
        <v>81</v>
      </c>
      <c r="G2591" s="15" t="s">
        <v>82</v>
      </c>
      <c r="H2591" s="7" t="s">
        <v>24</v>
      </c>
      <c r="I2591" s="7" t="s">
        <v>238</v>
      </c>
      <c r="J2591" s="16">
        <v>8.6307796378572842E-3</v>
      </c>
      <c r="K2591" s="17">
        <v>8.6307796378572842E-3</v>
      </c>
      <c r="L2591" s="17">
        <v>1.0609393346465083E-3</v>
      </c>
      <c r="M2591" s="17">
        <v>7.0693964103332896E-2</v>
      </c>
      <c r="N2591" s="17">
        <v>0.12411917361653869</v>
      </c>
      <c r="O2591" s="18">
        <v>7.5550801331806163E-3</v>
      </c>
      <c r="P2591" s="17">
        <v>0</v>
      </c>
      <c r="Q2591" t="s">
        <v>26</v>
      </c>
    </row>
    <row r="2592" spans="1:17" hidden="1" x14ac:dyDescent="0.25">
      <c r="A2592" s="7" t="s">
        <v>17</v>
      </c>
      <c r="B2592" s="15" t="s">
        <v>18</v>
      </c>
      <c r="C2592" s="7" t="s">
        <v>19</v>
      </c>
      <c r="D2592" s="15"/>
      <c r="E2592" s="15"/>
      <c r="F2592" s="15" t="s">
        <v>83</v>
      </c>
      <c r="G2592" s="15" t="s">
        <v>84</v>
      </c>
      <c r="H2592" s="7" t="s">
        <v>24</v>
      </c>
      <c r="I2592" s="7" t="s">
        <v>238</v>
      </c>
      <c r="J2592" s="16">
        <v>2.1428142549162915E-3</v>
      </c>
      <c r="K2592" s="17">
        <v>2.1428142549162915E-3</v>
      </c>
      <c r="L2592" s="17">
        <v>2.6340562791223661E-4</v>
      </c>
      <c r="M2592" s="17">
        <v>1.7551604880827482E-2</v>
      </c>
      <c r="N2592" s="17">
        <v>3.0815794828933749E-2</v>
      </c>
      <c r="O2592" s="18">
        <v>1.8757440330655325E-3</v>
      </c>
      <c r="P2592" s="17">
        <v>0</v>
      </c>
      <c r="Q2592" t="s">
        <v>26</v>
      </c>
    </row>
    <row r="2593" spans="1:17" hidden="1" x14ac:dyDescent="0.25">
      <c r="A2593" s="7" t="s">
        <v>17</v>
      </c>
      <c r="B2593" s="15" t="s">
        <v>18</v>
      </c>
      <c r="C2593" s="7" t="s">
        <v>19</v>
      </c>
      <c r="D2593" s="15" t="s">
        <v>20</v>
      </c>
      <c r="E2593" s="15" t="s">
        <v>21</v>
      </c>
      <c r="F2593" s="15" t="s">
        <v>85</v>
      </c>
      <c r="G2593" s="15" t="s">
        <v>86</v>
      </c>
      <c r="H2593" s="7" t="s">
        <v>24</v>
      </c>
      <c r="I2593" s="7" t="s">
        <v>238</v>
      </c>
      <c r="J2593" s="16">
        <v>0.25051338676530843</v>
      </c>
      <c r="K2593" s="17">
        <v>0.25051338676530843</v>
      </c>
      <c r="L2593" s="17">
        <v>2.9316158219423721E-2</v>
      </c>
      <c r="M2593" s="17">
        <v>2.1481241798867847</v>
      </c>
      <c r="N2593" s="17">
        <v>3.5615191015132917</v>
      </c>
      <c r="O2593" s="18">
        <v>0.21419215216311713</v>
      </c>
      <c r="P2593" s="17">
        <v>2.1671517599843142E-3</v>
      </c>
      <c r="Q2593" t="s">
        <v>26</v>
      </c>
    </row>
    <row r="2594" spans="1:17" hidden="1" x14ac:dyDescent="0.25">
      <c r="A2594" s="7" t="s">
        <v>17</v>
      </c>
      <c r="B2594" s="15" t="s">
        <v>18</v>
      </c>
      <c r="C2594" s="7" t="s">
        <v>19</v>
      </c>
      <c r="D2594" s="15"/>
      <c r="E2594" s="15"/>
      <c r="F2594" s="15" t="s">
        <v>87</v>
      </c>
      <c r="G2594" s="15" t="s">
        <v>88</v>
      </c>
      <c r="H2594" s="7" t="s">
        <v>24</v>
      </c>
      <c r="I2594" s="7" t="s">
        <v>238</v>
      </c>
      <c r="J2594" s="16">
        <v>1.0297412947236625E-2</v>
      </c>
      <c r="K2594" s="17">
        <v>1.0297412947236625E-2</v>
      </c>
      <c r="L2594" s="17">
        <v>1.2658103785782484E-3</v>
      </c>
      <c r="M2594" s="17">
        <v>8.4345212343976544E-2</v>
      </c>
      <c r="N2594" s="17">
        <v>0.14808701403904276</v>
      </c>
      <c r="O2594" s="18">
        <v>9.0139921588982558E-3</v>
      </c>
      <c r="P2594" s="17">
        <v>0</v>
      </c>
      <c r="Q2594" t="s">
        <v>26</v>
      </c>
    </row>
    <row r="2595" spans="1:17" hidden="1" x14ac:dyDescent="0.25">
      <c r="A2595" s="7" t="s">
        <v>17</v>
      </c>
      <c r="B2595" s="15" t="s">
        <v>18</v>
      </c>
      <c r="C2595" s="7" t="s">
        <v>19</v>
      </c>
      <c r="D2595" s="15"/>
      <c r="E2595" s="15"/>
      <c r="F2595" s="15" t="s">
        <v>89</v>
      </c>
      <c r="G2595" s="15" t="s">
        <v>90</v>
      </c>
      <c r="H2595" s="7" t="s">
        <v>24</v>
      </c>
      <c r="I2595" s="7" t="s">
        <v>238</v>
      </c>
      <c r="J2595" s="16">
        <v>0.13850913253306144</v>
      </c>
      <c r="K2595" s="17">
        <v>0.13850913253306144</v>
      </c>
      <c r="L2595" s="17">
        <v>1.7026247115327072E-2</v>
      </c>
      <c r="M2595" s="17">
        <v>1.1345162377134876</v>
      </c>
      <c r="N2595" s="17">
        <v>1.9918987379702455</v>
      </c>
      <c r="O2595" s="18">
        <v>0.1212460101373193</v>
      </c>
      <c r="P2595" s="17">
        <v>0</v>
      </c>
      <c r="Q2595" t="s">
        <v>26</v>
      </c>
    </row>
    <row r="2596" spans="1:17" hidden="1" x14ac:dyDescent="0.25">
      <c r="A2596" s="7" t="s">
        <v>17</v>
      </c>
      <c r="B2596" s="15" t="s">
        <v>18</v>
      </c>
      <c r="C2596" s="7" t="s">
        <v>19</v>
      </c>
      <c r="D2596" s="15"/>
      <c r="E2596" s="15"/>
      <c r="F2596" s="15" t="s">
        <v>91</v>
      </c>
      <c r="G2596" s="15" t="s">
        <v>92</v>
      </c>
      <c r="H2596" s="7" t="s">
        <v>24</v>
      </c>
      <c r="I2596" s="7" t="s">
        <v>238</v>
      </c>
      <c r="J2596" s="16">
        <v>4.1665832734483444E-3</v>
      </c>
      <c r="K2596" s="17">
        <v>4.1665832734483444E-3</v>
      </c>
      <c r="L2596" s="17">
        <v>5.1217760982934886E-4</v>
      </c>
      <c r="M2596" s="17">
        <v>3.412812060160899E-2</v>
      </c>
      <c r="N2596" s="17">
        <v>5.9919601056260055E-2</v>
      </c>
      <c r="O2596" s="18">
        <v>3.6472800642940906E-3</v>
      </c>
      <c r="P2596" s="17">
        <v>0</v>
      </c>
      <c r="Q2596" t="s">
        <v>26</v>
      </c>
    </row>
    <row r="2597" spans="1:17" hidden="1" x14ac:dyDescent="0.25">
      <c r="A2597" s="7" t="s">
        <v>17</v>
      </c>
      <c r="B2597" s="15" t="s">
        <v>18</v>
      </c>
      <c r="C2597" s="7" t="s">
        <v>19</v>
      </c>
      <c r="D2597" s="15"/>
      <c r="E2597" s="15"/>
      <c r="F2597" s="15" t="s">
        <v>93</v>
      </c>
      <c r="G2597" s="15" t="s">
        <v>94</v>
      </c>
      <c r="H2597" s="7" t="s">
        <v>24</v>
      </c>
      <c r="I2597" s="7" t="s">
        <v>238</v>
      </c>
      <c r="J2597" s="16">
        <v>2.3809047276847678E-4</v>
      </c>
      <c r="K2597" s="17">
        <v>2.3809047276847678E-4</v>
      </c>
      <c r="L2597" s="17">
        <v>2.9267291990248504E-5</v>
      </c>
      <c r="M2597" s="17">
        <v>1.9501783200919422E-3</v>
      </c>
      <c r="N2597" s="17">
        <v>3.4239772032148602E-3</v>
      </c>
      <c r="O2597" s="18">
        <v>2.0841600367394803E-4</v>
      </c>
      <c r="P2597" s="17">
        <v>0</v>
      </c>
      <c r="Q2597" t="s">
        <v>26</v>
      </c>
    </row>
    <row r="2598" spans="1:17" hidden="1" x14ac:dyDescent="0.25">
      <c r="A2598" s="7" t="s">
        <v>17</v>
      </c>
      <c r="B2598" s="15" t="s">
        <v>18</v>
      </c>
      <c r="C2598" s="7" t="s">
        <v>19</v>
      </c>
      <c r="D2598" s="15"/>
      <c r="E2598" s="15"/>
      <c r="F2598" s="15" t="s">
        <v>95</v>
      </c>
      <c r="G2598" s="15" t="s">
        <v>96</v>
      </c>
      <c r="H2598" s="7" t="s">
        <v>24</v>
      </c>
      <c r="I2598" s="7" t="s">
        <v>238</v>
      </c>
      <c r="J2598" s="16">
        <v>1.9642464003399342E-3</v>
      </c>
      <c r="K2598" s="17">
        <v>1.9642464003399342E-3</v>
      </c>
      <c r="L2598" s="17">
        <v>2.4145515891955025E-4</v>
      </c>
      <c r="M2598" s="17">
        <v>1.6088971140758527E-2</v>
      </c>
      <c r="N2598" s="17">
        <v>2.8247811926522603E-2</v>
      </c>
      <c r="O2598" s="18">
        <v>1.7194320303100716E-3</v>
      </c>
      <c r="P2598" s="17">
        <v>0</v>
      </c>
      <c r="Q2598" t="s">
        <v>26</v>
      </c>
    </row>
    <row r="2599" spans="1:17" hidden="1" x14ac:dyDescent="0.25">
      <c r="A2599" s="7" t="s">
        <v>17</v>
      </c>
      <c r="B2599" s="15" t="s">
        <v>18</v>
      </c>
      <c r="C2599" s="7" t="s">
        <v>19</v>
      </c>
      <c r="D2599" s="15"/>
      <c r="E2599" s="15"/>
      <c r="F2599" s="15" t="s">
        <v>97</v>
      </c>
      <c r="G2599" s="15" t="s">
        <v>98</v>
      </c>
      <c r="H2599" s="7" t="s">
        <v>24</v>
      </c>
      <c r="I2599" s="7" t="s">
        <v>238</v>
      </c>
      <c r="J2599" s="16">
        <v>8.0355534559360918E-3</v>
      </c>
      <c r="K2599" s="17">
        <v>8.0355534559360918E-3</v>
      </c>
      <c r="L2599" s="17">
        <v>9.8777110467088711E-4</v>
      </c>
      <c r="M2599" s="17">
        <v>6.5818518303103049E-2</v>
      </c>
      <c r="N2599" s="17">
        <v>0.11555923060850154</v>
      </c>
      <c r="O2599" s="18">
        <v>7.034040123995746E-3</v>
      </c>
      <c r="P2599" s="17">
        <v>0</v>
      </c>
      <c r="Q2599" t="s">
        <v>26</v>
      </c>
    </row>
    <row r="2600" spans="1:17" hidden="1" x14ac:dyDescent="0.25">
      <c r="A2600" s="7" t="s">
        <v>17</v>
      </c>
      <c r="B2600" s="15" t="s">
        <v>18</v>
      </c>
      <c r="C2600" s="7" t="s">
        <v>19</v>
      </c>
      <c r="D2600" s="15"/>
      <c r="E2600" s="15"/>
      <c r="F2600" s="15" t="s">
        <v>99</v>
      </c>
      <c r="G2600" s="15" t="s">
        <v>100</v>
      </c>
      <c r="H2600" s="7" t="s">
        <v>24</v>
      </c>
      <c r="I2600" s="7" t="s">
        <v>238</v>
      </c>
      <c r="J2600" s="16">
        <v>0.12100948278457833</v>
      </c>
      <c r="K2600" s="17">
        <v>0.12100948278457833</v>
      </c>
      <c r="L2600" s="17">
        <v>1.4875101154043805E-2</v>
      </c>
      <c r="M2600" s="17">
        <v>0.99117813118672971</v>
      </c>
      <c r="N2600" s="17">
        <v>1.7402364135339528</v>
      </c>
      <c r="O2600" s="18">
        <v>0.10592743386728409</v>
      </c>
      <c r="P2600" s="17">
        <v>0</v>
      </c>
      <c r="Q2600" t="s">
        <v>26</v>
      </c>
    </row>
    <row r="2601" spans="1:17" hidden="1" x14ac:dyDescent="0.25">
      <c r="A2601" s="7" t="s">
        <v>17</v>
      </c>
      <c r="B2601" s="15" t="s">
        <v>18</v>
      </c>
      <c r="C2601" s="7" t="s">
        <v>19</v>
      </c>
      <c r="D2601" s="15" t="s">
        <v>20</v>
      </c>
      <c r="E2601" s="15" t="s">
        <v>21</v>
      </c>
      <c r="F2601" s="15" t="s">
        <v>101</v>
      </c>
      <c r="G2601" s="15" t="s">
        <v>21</v>
      </c>
      <c r="H2601" s="7" t="s">
        <v>24</v>
      </c>
      <c r="I2601" s="7" t="s">
        <v>238</v>
      </c>
      <c r="J2601" s="16">
        <v>4.3900339879415666</v>
      </c>
      <c r="K2601" s="17">
        <v>4.3900339879415666</v>
      </c>
      <c r="L2601" s="17">
        <v>0.51374073314378699</v>
      </c>
      <c r="M2601" s="17">
        <v>37.644048814272864</v>
      </c>
      <c r="N2601" s="17">
        <v>62.412592421634407</v>
      </c>
      <c r="O2601" s="18">
        <v>3.7535352505028361</v>
      </c>
      <c r="P2601" s="17">
        <v>3.797749096846275E-2</v>
      </c>
      <c r="Q2601" t="s">
        <v>26</v>
      </c>
    </row>
    <row r="2602" spans="1:17" hidden="1" x14ac:dyDescent="0.25">
      <c r="A2602" s="7" t="s">
        <v>17</v>
      </c>
      <c r="B2602" s="15" t="s">
        <v>18</v>
      </c>
      <c r="C2602" s="7" t="s">
        <v>19</v>
      </c>
      <c r="D2602" s="15"/>
      <c r="E2602" s="15"/>
      <c r="F2602" s="15" t="s">
        <v>102</v>
      </c>
      <c r="G2602" s="15" t="s">
        <v>103</v>
      </c>
      <c r="H2602" s="7" t="s">
        <v>24</v>
      </c>
      <c r="I2602" s="7" t="s">
        <v>238</v>
      </c>
      <c r="J2602" s="16">
        <v>4.7618094553695357E-4</v>
      </c>
      <c r="K2602" s="17">
        <v>4.7618094553695357E-4</v>
      </c>
      <c r="L2602" s="17">
        <v>5.8534583980497009E-5</v>
      </c>
      <c r="M2602" s="17">
        <v>3.9003566401838844E-3</v>
      </c>
      <c r="N2602" s="17">
        <v>6.8479544064297205E-3</v>
      </c>
      <c r="O2602" s="18">
        <v>4.1683200734789606E-4</v>
      </c>
      <c r="P2602" s="17">
        <v>0</v>
      </c>
      <c r="Q2602" t="s">
        <v>26</v>
      </c>
    </row>
    <row r="2603" spans="1:17" hidden="1" x14ac:dyDescent="0.25">
      <c r="A2603" s="7" t="s">
        <v>17</v>
      </c>
      <c r="B2603" s="15" t="s">
        <v>18</v>
      </c>
      <c r="C2603" s="7" t="s">
        <v>19</v>
      </c>
      <c r="D2603" s="15" t="s">
        <v>20</v>
      </c>
      <c r="E2603" s="15" t="s">
        <v>21</v>
      </c>
      <c r="F2603" s="15" t="s">
        <v>104</v>
      </c>
      <c r="G2603" s="15" t="s">
        <v>105</v>
      </c>
      <c r="H2603" s="7" t="s">
        <v>24</v>
      </c>
      <c r="I2603" s="7" t="s">
        <v>238</v>
      </c>
      <c r="J2603" s="16">
        <v>2.1655246111710259E-2</v>
      </c>
      <c r="K2603" s="17">
        <v>2.1655246111710259E-2</v>
      </c>
      <c r="L2603" s="17">
        <v>2.5341904059051788E-3</v>
      </c>
      <c r="M2603" s="17">
        <v>0.18569130534147565</v>
      </c>
      <c r="N2603" s="17">
        <v>0.30787006503202174</v>
      </c>
      <c r="O2603" s="18">
        <v>1.8515512604660236E-2</v>
      </c>
      <c r="P2603" s="17">
        <v>1.8733611536637178E-4</v>
      </c>
      <c r="Q2603" t="s">
        <v>26</v>
      </c>
    </row>
    <row r="2604" spans="1:17" hidden="1" x14ac:dyDescent="0.25">
      <c r="A2604" s="7" t="s">
        <v>17</v>
      </c>
      <c r="B2604" s="15" t="s">
        <v>18</v>
      </c>
      <c r="C2604" s="7" t="s">
        <v>19</v>
      </c>
      <c r="D2604" s="15"/>
      <c r="E2604" s="15"/>
      <c r="F2604" s="15" t="s">
        <v>106</v>
      </c>
      <c r="G2604" s="15" t="s">
        <v>107</v>
      </c>
      <c r="H2604" s="7" t="s">
        <v>24</v>
      </c>
      <c r="I2604" s="7" t="s">
        <v>238</v>
      </c>
      <c r="J2604" s="16">
        <v>2.9166082914138408E-3</v>
      </c>
      <c r="K2604" s="17">
        <v>2.9166082914138408E-3</v>
      </c>
      <c r="L2604" s="17">
        <v>3.5852432688054421E-4</v>
      </c>
      <c r="M2604" s="17">
        <v>2.3889684421126291E-2</v>
      </c>
      <c r="N2604" s="17">
        <v>4.1943720739382039E-2</v>
      </c>
      <c r="O2604" s="18">
        <v>2.5530960450058631E-3</v>
      </c>
      <c r="P2604" s="17">
        <v>0</v>
      </c>
      <c r="Q2604" t="s">
        <v>26</v>
      </c>
    </row>
    <row r="2605" spans="1:17" hidden="1" x14ac:dyDescent="0.25">
      <c r="A2605" s="7" t="s">
        <v>17</v>
      </c>
      <c r="B2605" s="15" t="s">
        <v>18</v>
      </c>
      <c r="C2605" s="7" t="s">
        <v>19</v>
      </c>
      <c r="D2605" s="15"/>
      <c r="E2605" s="15"/>
      <c r="F2605" s="15" t="s">
        <v>108</v>
      </c>
      <c r="G2605" s="15" t="s">
        <v>109</v>
      </c>
      <c r="H2605" s="7" t="s">
        <v>24</v>
      </c>
      <c r="I2605" s="7" t="s">
        <v>238</v>
      </c>
      <c r="J2605" s="16">
        <v>3.6308797097192713E-3</v>
      </c>
      <c r="K2605" s="17">
        <v>3.6308797097192713E-3</v>
      </c>
      <c r="L2605" s="17">
        <v>4.4632620285128978E-4</v>
      </c>
      <c r="M2605" s="17">
        <v>2.974021938140212E-2</v>
      </c>
      <c r="N2605" s="17">
        <v>5.2215652349026621E-2</v>
      </c>
      <c r="O2605" s="18">
        <v>3.1783440560277073E-3</v>
      </c>
      <c r="P2605" s="17">
        <v>0</v>
      </c>
      <c r="Q2605" t="s">
        <v>26</v>
      </c>
    </row>
    <row r="2606" spans="1:17" hidden="1" x14ac:dyDescent="0.25">
      <c r="A2606" s="7" t="s">
        <v>17</v>
      </c>
      <c r="B2606" s="15" t="s">
        <v>18</v>
      </c>
      <c r="C2606" s="7" t="s">
        <v>19</v>
      </c>
      <c r="D2606" s="15"/>
      <c r="E2606" s="15"/>
      <c r="F2606" s="15" t="s">
        <v>110</v>
      </c>
      <c r="G2606" s="15" t="s">
        <v>111</v>
      </c>
      <c r="H2606" s="7" t="s">
        <v>24</v>
      </c>
      <c r="I2606" s="7" t="s">
        <v>238</v>
      </c>
      <c r="J2606" s="16">
        <v>9.0295811797444808E-2</v>
      </c>
      <c r="K2606" s="17">
        <v>9.0295811797444808E-2</v>
      </c>
      <c r="L2606" s="17">
        <v>1.1099620487301745E-2</v>
      </c>
      <c r="M2606" s="17">
        <v>0.7396051278948691</v>
      </c>
      <c r="N2606" s="17">
        <v>1.2985433543192357</v>
      </c>
      <c r="O2606" s="18">
        <v>7.9041769393344785E-2</v>
      </c>
      <c r="P2606" s="17">
        <v>0</v>
      </c>
      <c r="Q2606" t="s">
        <v>26</v>
      </c>
    </row>
    <row r="2607" spans="1:17" hidden="1" x14ac:dyDescent="0.25">
      <c r="A2607" s="7" t="s">
        <v>17</v>
      </c>
      <c r="B2607" s="15" t="s">
        <v>18</v>
      </c>
      <c r="C2607" s="7" t="s">
        <v>19</v>
      </c>
      <c r="D2607" s="15" t="s">
        <v>20</v>
      </c>
      <c r="E2607" s="15" t="s">
        <v>21</v>
      </c>
      <c r="F2607" s="15" t="s">
        <v>112</v>
      </c>
      <c r="G2607" s="15" t="s">
        <v>113</v>
      </c>
      <c r="H2607" s="7" t="s">
        <v>24</v>
      </c>
      <c r="I2607" s="7" t="s">
        <v>238</v>
      </c>
      <c r="J2607" s="16">
        <v>4.0491872888245524E-2</v>
      </c>
      <c r="K2607" s="17">
        <v>4.0491872888245524E-2</v>
      </c>
      <c r="L2607" s="17">
        <v>4.7385338065973033E-3</v>
      </c>
      <c r="M2607" s="17">
        <v>0.34721326617818782</v>
      </c>
      <c r="N2607" s="17">
        <v>0.57566815334558974</v>
      </c>
      <c r="O2607" s="18">
        <v>3.4621069600459929E-2</v>
      </c>
      <c r="P2607" s="17">
        <v>3.5028879984378726E-4</v>
      </c>
      <c r="Q2607" t="s">
        <v>26</v>
      </c>
    </row>
    <row r="2608" spans="1:17" hidden="1" x14ac:dyDescent="0.25">
      <c r="A2608" s="7" t="s">
        <v>17</v>
      </c>
      <c r="B2608" s="15" t="s">
        <v>18</v>
      </c>
      <c r="C2608" s="7" t="s">
        <v>19</v>
      </c>
      <c r="D2608" s="15" t="s">
        <v>20</v>
      </c>
      <c r="E2608" s="15" t="s">
        <v>21</v>
      </c>
      <c r="F2608" s="15" t="s">
        <v>114</v>
      </c>
      <c r="G2608" s="15" t="s">
        <v>115</v>
      </c>
      <c r="H2608" s="7" t="s">
        <v>24</v>
      </c>
      <c r="I2608" s="7" t="s">
        <v>238</v>
      </c>
      <c r="J2608" s="16">
        <v>1.1669771515754972</v>
      </c>
      <c r="K2608" s="17">
        <v>1.1669771515754972</v>
      </c>
      <c r="L2608" s="17">
        <v>0.13656470520711242</v>
      </c>
      <c r="M2608" s="17">
        <v>10.006698121179522</v>
      </c>
      <c r="N2608" s="17">
        <v>16.590775726725614</v>
      </c>
      <c r="O2608" s="18">
        <v>0.99778040147335734</v>
      </c>
      <c r="P2608" s="17">
        <v>1.009533510585448E-2</v>
      </c>
      <c r="Q2608" t="s">
        <v>26</v>
      </c>
    </row>
    <row r="2609" spans="1:17" hidden="1" x14ac:dyDescent="0.25">
      <c r="A2609" s="7" t="s">
        <v>17</v>
      </c>
      <c r="B2609" s="15" t="s">
        <v>18</v>
      </c>
      <c r="C2609" s="7" t="s">
        <v>19</v>
      </c>
      <c r="D2609" s="15" t="s">
        <v>20</v>
      </c>
      <c r="E2609" s="15" t="s">
        <v>21</v>
      </c>
      <c r="F2609" s="15" t="s">
        <v>116</v>
      </c>
      <c r="G2609" s="15" t="s">
        <v>117</v>
      </c>
      <c r="H2609" s="7" t="s">
        <v>24</v>
      </c>
      <c r="I2609" s="7" t="s">
        <v>238</v>
      </c>
      <c r="J2609" s="16">
        <v>2.536757401657487E-2</v>
      </c>
      <c r="K2609" s="17">
        <v>2.536757401657487E-2</v>
      </c>
      <c r="L2609" s="17">
        <v>2.9686230469174947E-3</v>
      </c>
      <c r="M2609" s="17">
        <v>0.21752410054287147</v>
      </c>
      <c r="N2609" s="17">
        <v>0.36064779046608247</v>
      </c>
      <c r="O2609" s="18">
        <v>2.1689600479744844E-2</v>
      </c>
      <c r="P2609" s="17">
        <v>2.1945087800060692E-4</v>
      </c>
      <c r="Q2609" t="s">
        <v>26</v>
      </c>
    </row>
    <row r="2610" spans="1:17" hidden="1" x14ac:dyDescent="0.25">
      <c r="A2610" s="7" t="s">
        <v>17</v>
      </c>
      <c r="B2610" s="15" t="s">
        <v>18</v>
      </c>
      <c r="C2610" s="7" t="s">
        <v>19</v>
      </c>
      <c r="D2610" s="15" t="s">
        <v>20</v>
      </c>
      <c r="E2610" s="15" t="s">
        <v>21</v>
      </c>
      <c r="F2610" s="15" t="s">
        <v>118</v>
      </c>
      <c r="G2610" s="15" t="s">
        <v>119</v>
      </c>
      <c r="H2610" s="7" t="s">
        <v>24</v>
      </c>
      <c r="I2610" s="7" t="s">
        <v>238</v>
      </c>
      <c r="J2610" s="16">
        <v>0.36779544983380913</v>
      </c>
      <c r="K2610" s="17">
        <v>0.36779544983380913</v>
      </c>
      <c r="L2610" s="17">
        <v>4.3041011655849858E-2</v>
      </c>
      <c r="M2610" s="17">
        <v>3.1538047097679196</v>
      </c>
      <c r="N2610" s="17">
        <v>5.2289042791152891</v>
      </c>
      <c r="O2610" s="18">
        <v>0.31446981725375328</v>
      </c>
      <c r="P2610" s="17">
        <v>3.1817403720955212E-3</v>
      </c>
      <c r="Q2610" t="s">
        <v>26</v>
      </c>
    </row>
    <row r="2611" spans="1:17" hidden="1" x14ac:dyDescent="0.25">
      <c r="A2611" s="7" t="s">
        <v>17</v>
      </c>
      <c r="B2611" s="15" t="s">
        <v>18</v>
      </c>
      <c r="C2611" s="7" t="s">
        <v>19</v>
      </c>
      <c r="D2611" s="15" t="s">
        <v>20</v>
      </c>
      <c r="E2611" s="15" t="s">
        <v>21</v>
      </c>
      <c r="F2611" s="15" t="s">
        <v>120</v>
      </c>
      <c r="G2611" s="15" t="s">
        <v>121</v>
      </c>
      <c r="H2611" s="7" t="s">
        <v>24</v>
      </c>
      <c r="I2611" s="7" t="s">
        <v>238</v>
      </c>
      <c r="J2611" s="16">
        <v>0.1506242673992291</v>
      </c>
      <c r="K2611" s="17">
        <v>0.1506242673992291</v>
      </c>
      <c r="L2611" s="17">
        <v>1.7626702156629356E-2</v>
      </c>
      <c r="M2611" s="17">
        <v>1.291586190486264</v>
      </c>
      <c r="N2611" s="17">
        <v>2.1414073412227284</v>
      </c>
      <c r="O2611" s="18">
        <v>0.12878567656130341</v>
      </c>
      <c r="P2611" s="17">
        <v>1.3030267579927635E-3</v>
      </c>
      <c r="Q2611" t="s">
        <v>26</v>
      </c>
    </row>
    <row r="2612" spans="1:17" hidden="1" x14ac:dyDescent="0.25">
      <c r="A2612" s="7" t="s">
        <v>17</v>
      </c>
      <c r="B2612" s="15" t="s">
        <v>18</v>
      </c>
      <c r="C2612" s="7" t="s">
        <v>19</v>
      </c>
      <c r="D2612" s="15"/>
      <c r="E2612" s="15"/>
      <c r="F2612" s="15" t="s">
        <v>122</v>
      </c>
      <c r="G2612" s="15" t="s">
        <v>123</v>
      </c>
      <c r="H2612" s="7" t="s">
        <v>24</v>
      </c>
      <c r="I2612" s="7" t="s">
        <v>238</v>
      </c>
      <c r="J2612" s="16">
        <v>6.4879653829409949E-3</v>
      </c>
      <c r="K2612" s="17">
        <v>6.4879653829409949E-3</v>
      </c>
      <c r="L2612" s="17">
        <v>7.9753370673427213E-4</v>
      </c>
      <c r="M2612" s="17">
        <v>5.3142359222505445E-2</v>
      </c>
      <c r="N2612" s="17">
        <v>9.3303378787604987E-2</v>
      </c>
      <c r="O2612" s="18">
        <v>5.6793361001150865E-3</v>
      </c>
      <c r="P2612" s="17">
        <v>0</v>
      </c>
      <c r="Q2612" t="s">
        <v>26</v>
      </c>
    </row>
    <row r="2613" spans="1:17" hidden="1" x14ac:dyDescent="0.25">
      <c r="A2613" s="7" t="s">
        <v>17</v>
      </c>
      <c r="B2613" s="15" t="s">
        <v>18</v>
      </c>
      <c r="C2613" s="7" t="s">
        <v>19</v>
      </c>
      <c r="D2613" s="15"/>
      <c r="E2613" s="15"/>
      <c r="F2613" s="15" t="s">
        <v>124</v>
      </c>
      <c r="G2613" s="15" t="s">
        <v>125</v>
      </c>
      <c r="H2613" s="7" t="s">
        <v>24</v>
      </c>
      <c r="I2613" s="7" t="s">
        <v>238</v>
      </c>
      <c r="J2613" s="16">
        <v>1.2678317674921389E-2</v>
      </c>
      <c r="K2613" s="17">
        <v>1.2678317674921389E-2</v>
      </c>
      <c r="L2613" s="17">
        <v>1.558483298480733E-3</v>
      </c>
      <c r="M2613" s="17">
        <v>0.10384699554489593</v>
      </c>
      <c r="N2613" s="17">
        <v>0.18232678607119132</v>
      </c>
      <c r="O2613" s="18">
        <v>1.1098152195637732E-2</v>
      </c>
      <c r="P2613" s="17">
        <v>0</v>
      </c>
      <c r="Q2613" t="s">
        <v>26</v>
      </c>
    </row>
    <row r="2614" spans="1:17" hidden="1" x14ac:dyDescent="0.25">
      <c r="A2614" s="7" t="s">
        <v>17</v>
      </c>
      <c r="B2614" s="15" t="s">
        <v>18</v>
      </c>
      <c r="C2614" s="7" t="s">
        <v>19</v>
      </c>
      <c r="D2614" s="15" t="s">
        <v>20</v>
      </c>
      <c r="E2614" s="15" t="s">
        <v>21</v>
      </c>
      <c r="F2614" s="15" t="s">
        <v>22</v>
      </c>
      <c r="G2614" s="15" t="s">
        <v>23</v>
      </c>
      <c r="H2614" s="15" t="s">
        <v>24</v>
      </c>
      <c r="I2614" s="15" t="s">
        <v>239</v>
      </c>
      <c r="J2614" s="16">
        <v>6.6445277512148376E-3</v>
      </c>
      <c r="K2614" s="17">
        <v>4.5197766783953231E-3</v>
      </c>
      <c r="L2614" s="17">
        <v>6.2397172599736126E-4</v>
      </c>
      <c r="M2614" s="17">
        <v>4.5503832723179073E-2</v>
      </c>
      <c r="N2614" s="17">
        <v>0.11126410242121723</v>
      </c>
      <c r="O2614" s="18">
        <v>2.4923701962187295E-3</v>
      </c>
      <c r="P2614" s="17">
        <v>2.2365800766521201E-3</v>
      </c>
      <c r="Q2614" t="s">
        <v>26</v>
      </c>
    </row>
    <row r="2615" spans="1:17" hidden="1" x14ac:dyDescent="0.25">
      <c r="A2615" s="7" t="s">
        <v>17</v>
      </c>
      <c r="B2615" s="15" t="s">
        <v>18</v>
      </c>
      <c r="C2615" s="7" t="s">
        <v>19</v>
      </c>
      <c r="D2615" s="15"/>
      <c r="E2615" s="15"/>
      <c r="F2615" s="15" t="s">
        <v>27</v>
      </c>
      <c r="G2615" s="15" t="s">
        <v>28</v>
      </c>
      <c r="H2615" s="15" t="s">
        <v>24</v>
      </c>
      <c r="I2615" s="15" t="s">
        <v>239</v>
      </c>
      <c r="J2615" s="16">
        <v>4.4955171565997966E-3</v>
      </c>
      <c r="K2615" s="17">
        <v>3.0579650446957477E-3</v>
      </c>
      <c r="L2615" s="17">
        <v>4.2216327547754846E-4</v>
      </c>
      <c r="M2615" s="17">
        <v>3.0786726816017566E-2</v>
      </c>
      <c r="N2615" s="17">
        <v>7.5278439653865228E-2</v>
      </c>
      <c r="O2615" s="18">
        <v>1.6862737875766643E-3</v>
      </c>
      <c r="P2615" s="17">
        <v>1.5132127493726827E-3</v>
      </c>
      <c r="Q2615" t="s">
        <v>26</v>
      </c>
    </row>
    <row r="2616" spans="1:17" hidden="1" x14ac:dyDescent="0.25">
      <c r="A2616" s="7" t="s">
        <v>17</v>
      </c>
      <c r="B2616" s="15" t="s">
        <v>18</v>
      </c>
      <c r="C2616" s="7" t="s">
        <v>19</v>
      </c>
      <c r="D2616" s="15"/>
      <c r="E2616" s="15"/>
      <c r="F2616" s="15" t="s">
        <v>29</v>
      </c>
      <c r="G2616" s="15" t="s">
        <v>30</v>
      </c>
      <c r="H2616" s="15" t="s">
        <v>24</v>
      </c>
      <c r="I2616" s="15" t="s">
        <v>239</v>
      </c>
      <c r="J2616" s="16">
        <v>0</v>
      </c>
      <c r="K2616" s="17">
        <v>0</v>
      </c>
      <c r="L2616" s="17">
        <v>0</v>
      </c>
      <c r="M2616" s="17">
        <v>0</v>
      </c>
      <c r="N2616" s="17">
        <v>0</v>
      </c>
      <c r="O2616" s="18">
        <v>0</v>
      </c>
      <c r="P2616" s="17">
        <v>0</v>
      </c>
      <c r="Q2616" t="s">
        <v>26</v>
      </c>
    </row>
    <row r="2617" spans="1:17" hidden="1" x14ac:dyDescent="0.25">
      <c r="A2617" s="7" t="s">
        <v>17</v>
      </c>
      <c r="B2617" s="15" t="s">
        <v>18</v>
      </c>
      <c r="C2617" s="7" t="s">
        <v>19</v>
      </c>
      <c r="D2617" s="15"/>
      <c r="E2617" s="15"/>
      <c r="F2617" s="15" t="s">
        <v>31</v>
      </c>
      <c r="G2617" s="15" t="s">
        <v>32</v>
      </c>
      <c r="H2617" s="15" t="s">
        <v>24</v>
      </c>
      <c r="I2617" s="15" t="s">
        <v>239</v>
      </c>
      <c r="J2617" s="16">
        <v>5.7834829853986372E-2</v>
      </c>
      <c r="K2617" s="17">
        <v>3.9340721411723595E-2</v>
      </c>
      <c r="L2617" s="17">
        <v>5.4311306924946859E-3</v>
      </c>
      <c r="M2617" s="17">
        <v>0.39607125168047597</v>
      </c>
      <c r="N2617" s="17">
        <v>0.96845715351419703</v>
      </c>
      <c r="O2617" s="18">
        <v>2.1693912890212892E-2</v>
      </c>
      <c r="P2617" s="17">
        <v>1.9467482570802917E-2</v>
      </c>
      <c r="Q2617" t="s">
        <v>26</v>
      </c>
    </row>
    <row r="2618" spans="1:17" hidden="1" x14ac:dyDescent="0.25">
      <c r="A2618" s="7" t="s">
        <v>17</v>
      </c>
      <c r="B2618" s="15" t="s">
        <v>18</v>
      </c>
      <c r="C2618" s="7" t="s">
        <v>19</v>
      </c>
      <c r="D2618" s="15"/>
      <c r="E2618" s="15"/>
      <c r="F2618" s="15" t="s">
        <v>33</v>
      </c>
      <c r="G2618" s="15" t="s">
        <v>34</v>
      </c>
      <c r="H2618" s="15" t="s">
        <v>24</v>
      </c>
      <c r="I2618" s="15" t="s">
        <v>239</v>
      </c>
      <c r="J2618" s="16">
        <v>5.2956262177155364E-2</v>
      </c>
      <c r="K2618" s="17">
        <v>3.6022195666130533E-2</v>
      </c>
      <c r="L2618" s="17">
        <v>4.9729960578473072E-3</v>
      </c>
      <c r="M2618" s="17">
        <v>0.36266127345371058</v>
      </c>
      <c r="N2618" s="17">
        <v>0.88676444727717063</v>
      </c>
      <c r="O2618" s="18">
        <v>1.9863956400717229E-2</v>
      </c>
      <c r="P2618" s="17">
        <v>1.782533316949983E-2</v>
      </c>
      <c r="Q2618" t="s">
        <v>26</v>
      </c>
    </row>
    <row r="2619" spans="1:17" hidden="1" x14ac:dyDescent="0.25">
      <c r="A2619" s="7" t="s">
        <v>17</v>
      </c>
      <c r="B2619" s="15" t="s">
        <v>18</v>
      </c>
      <c r="C2619" s="7" t="s">
        <v>19</v>
      </c>
      <c r="D2619" s="15" t="s">
        <v>20</v>
      </c>
      <c r="E2619" s="15" t="s">
        <v>21</v>
      </c>
      <c r="F2619" s="15" t="s">
        <v>35</v>
      </c>
      <c r="G2619" s="15" t="s">
        <v>36</v>
      </c>
      <c r="H2619" s="15" t="s">
        <v>24</v>
      </c>
      <c r="I2619" s="15" t="s">
        <v>239</v>
      </c>
      <c r="J2619" s="16">
        <v>2.0166205838416027</v>
      </c>
      <c r="K2619" s="17">
        <v>1.3717565830547964</v>
      </c>
      <c r="L2619" s="17">
        <v>0.1893760209145624</v>
      </c>
      <c r="M2619" s="17">
        <v>13.810457138428017</v>
      </c>
      <c r="N2619" s="17">
        <v>33.768762444293117</v>
      </c>
      <c r="O2619" s="18">
        <v>0.75643675945654332</v>
      </c>
      <c r="P2619" s="17">
        <v>0.67880421135453284</v>
      </c>
      <c r="Q2619" t="s">
        <v>26</v>
      </c>
    </row>
    <row r="2620" spans="1:17" hidden="1" x14ac:dyDescent="0.25">
      <c r="A2620" s="7" t="s">
        <v>17</v>
      </c>
      <c r="B2620" s="15" t="s">
        <v>18</v>
      </c>
      <c r="C2620" s="7" t="s">
        <v>19</v>
      </c>
      <c r="D2620" s="15"/>
      <c r="E2620" s="15"/>
      <c r="F2620" s="15" t="s">
        <v>37</v>
      </c>
      <c r="G2620" s="15" t="s">
        <v>38</v>
      </c>
      <c r="H2620" s="15" t="s">
        <v>24</v>
      </c>
      <c r="I2620" s="15" t="s">
        <v>239</v>
      </c>
      <c r="J2620" s="16">
        <v>1.0367771730812473E-2</v>
      </c>
      <c r="K2620" s="17">
        <v>7.0524218771281346E-3</v>
      </c>
      <c r="L2620" s="17">
        <v>9.7361267253928295E-4</v>
      </c>
      <c r="M2620" s="17">
        <v>7.100178796976804E-2</v>
      </c>
      <c r="N2620" s="17">
        <v>0.17361065510276646</v>
      </c>
      <c r="O2620" s="18">
        <v>3.8889634042617435E-3</v>
      </c>
      <c r="P2620" s="17">
        <v>3.4898419512466722E-3</v>
      </c>
      <c r="Q2620" t="s">
        <v>26</v>
      </c>
    </row>
    <row r="2621" spans="1:17" hidden="1" x14ac:dyDescent="0.25">
      <c r="A2621" s="7" t="s">
        <v>17</v>
      </c>
      <c r="B2621" s="15" t="s">
        <v>18</v>
      </c>
      <c r="C2621" s="7" t="s">
        <v>19</v>
      </c>
      <c r="D2621" s="15"/>
      <c r="E2621" s="15"/>
      <c r="F2621" s="15" t="s">
        <v>39</v>
      </c>
      <c r="G2621" s="15" t="s">
        <v>40</v>
      </c>
      <c r="H2621" s="15" t="s">
        <v>24</v>
      </c>
      <c r="I2621" s="15" t="s">
        <v>239</v>
      </c>
      <c r="J2621" s="16">
        <v>1.397047885095444E-2</v>
      </c>
      <c r="K2621" s="17">
        <v>9.5030748400462758E-3</v>
      </c>
      <c r="L2621" s="17">
        <v>1.3119342905966325E-3</v>
      </c>
      <c r="M2621" s="17">
        <v>9.5674268585952266E-2</v>
      </c>
      <c r="N2621" s="17">
        <v>0.23393879112956467</v>
      </c>
      <c r="O2621" s="18">
        <v>5.240343094158462E-3</v>
      </c>
      <c r="P2621" s="17">
        <v>4.7025305377980707E-3</v>
      </c>
      <c r="Q2621" t="s">
        <v>26</v>
      </c>
    </row>
    <row r="2622" spans="1:17" hidden="1" x14ac:dyDescent="0.25">
      <c r="A2622" s="7" t="s">
        <v>17</v>
      </c>
      <c r="B2622" s="15" t="s">
        <v>18</v>
      </c>
      <c r="C2622" s="7" t="s">
        <v>19</v>
      </c>
      <c r="D2622" s="15" t="s">
        <v>20</v>
      </c>
      <c r="E2622" s="15" t="s">
        <v>21</v>
      </c>
      <c r="F2622" s="15" t="s">
        <v>41</v>
      </c>
      <c r="G2622" s="15" t="s">
        <v>42</v>
      </c>
      <c r="H2622" s="15" t="s">
        <v>24</v>
      </c>
      <c r="I2622" s="15" t="s">
        <v>239</v>
      </c>
      <c r="J2622" s="16">
        <v>0.19598780589318812</v>
      </c>
      <c r="K2622" s="17">
        <v>0.13331588752322451</v>
      </c>
      <c r="L2622" s="17">
        <v>1.8404746596964644E-2</v>
      </c>
      <c r="M2622" s="17">
        <v>1.3421866337326958</v>
      </c>
      <c r="N2622" s="17">
        <v>3.281859618122958</v>
      </c>
      <c r="O2622" s="18">
        <v>7.3515257143921847E-2</v>
      </c>
      <c r="P2622" s="17">
        <v>6.5970440389435378E-2</v>
      </c>
      <c r="Q2622" t="s">
        <v>26</v>
      </c>
    </row>
    <row r="2623" spans="1:17" hidden="1" x14ac:dyDescent="0.25">
      <c r="A2623" s="7" t="s">
        <v>17</v>
      </c>
      <c r="B2623" s="15" t="s">
        <v>18</v>
      </c>
      <c r="C2623" s="7" t="s">
        <v>19</v>
      </c>
      <c r="D2623" s="15" t="s">
        <v>20</v>
      </c>
      <c r="E2623" s="15" t="s">
        <v>21</v>
      </c>
      <c r="F2623" s="15" t="s">
        <v>43</v>
      </c>
      <c r="G2623" s="15" t="s">
        <v>44</v>
      </c>
      <c r="H2623" s="15" t="s">
        <v>24</v>
      </c>
      <c r="I2623" s="15" t="s">
        <v>239</v>
      </c>
      <c r="J2623" s="16">
        <v>0.10230142391299255</v>
      </c>
      <c r="K2623" s="17">
        <v>6.9588029018923012E-2</v>
      </c>
      <c r="L2623" s="17">
        <v>9.6068823008989453E-3</v>
      </c>
      <c r="M2623" s="17">
        <v>0.70059258616667486</v>
      </c>
      <c r="N2623" s="17">
        <v>1.7130602104883184</v>
      </c>
      <c r="O2623" s="18">
        <v>3.8373384766865221E-2</v>
      </c>
      <c r="P2623" s="17">
        <v>3.4435152520073196E-2</v>
      </c>
      <c r="Q2623" t="s">
        <v>26</v>
      </c>
    </row>
    <row r="2624" spans="1:17" hidden="1" x14ac:dyDescent="0.25">
      <c r="A2624" s="7" t="s">
        <v>17</v>
      </c>
      <c r="B2624" s="15" t="s">
        <v>18</v>
      </c>
      <c r="C2624" s="7" t="s">
        <v>19</v>
      </c>
      <c r="D2624" s="15"/>
      <c r="E2624" s="15"/>
      <c r="F2624" s="15" t="s">
        <v>45</v>
      </c>
      <c r="G2624" s="15" t="s">
        <v>46</v>
      </c>
      <c r="H2624" s="15" t="s">
        <v>24</v>
      </c>
      <c r="I2624" s="15" t="s">
        <v>239</v>
      </c>
      <c r="J2624" s="16">
        <v>7.929271181583375E-3</v>
      </c>
      <c r="K2624" s="17">
        <v>5.3936918175471853E-3</v>
      </c>
      <c r="L2624" s="17">
        <v>7.4461891203165252E-4</v>
      </c>
      <c r="M2624" s="17">
        <v>5.4302163069079819E-2</v>
      </c>
      <c r="N2624" s="17">
        <v>0.13277741833676529</v>
      </c>
      <c r="O2624" s="18">
        <v>2.9742789722115629E-3</v>
      </c>
      <c r="P2624" s="17">
        <v>2.6690309095117799E-3</v>
      </c>
      <c r="Q2624" t="s">
        <v>26</v>
      </c>
    </row>
    <row r="2625" spans="1:17" hidden="1" x14ac:dyDescent="0.25">
      <c r="A2625" s="7" t="s">
        <v>17</v>
      </c>
      <c r="B2625" s="15" t="s">
        <v>18</v>
      </c>
      <c r="C2625" s="7" t="s">
        <v>19</v>
      </c>
      <c r="D2625" s="15" t="s">
        <v>20</v>
      </c>
      <c r="E2625" s="15" t="s">
        <v>21</v>
      </c>
      <c r="F2625" s="15" t="s">
        <v>47</v>
      </c>
      <c r="G2625" s="15" t="s">
        <v>48</v>
      </c>
      <c r="H2625" s="15" t="s">
        <v>24</v>
      </c>
      <c r="I2625" s="15" t="s">
        <v>239</v>
      </c>
      <c r="J2625" s="16">
        <v>8.6001419680762997E-2</v>
      </c>
      <c r="K2625" s="17">
        <v>5.8500351798656085E-2</v>
      </c>
      <c r="L2625" s="17">
        <v>8.0761878474535503E-3</v>
      </c>
      <c r="M2625" s="17">
        <v>0.58896498918133999</v>
      </c>
      <c r="N2625" s="17">
        <v>1.4401129961389652</v>
      </c>
      <c r="O2625" s="18">
        <v>3.225923395468442E-2</v>
      </c>
      <c r="P2625" s="17">
        <v>2.8948492507480963E-2</v>
      </c>
      <c r="Q2625" t="s">
        <v>26</v>
      </c>
    </row>
    <row r="2626" spans="1:17" hidden="1" x14ac:dyDescent="0.25">
      <c r="A2626" s="7" t="s">
        <v>17</v>
      </c>
      <c r="B2626" s="15" t="s">
        <v>18</v>
      </c>
      <c r="C2626" s="7" t="s">
        <v>19</v>
      </c>
      <c r="D2626" s="15"/>
      <c r="E2626" s="15"/>
      <c r="F2626" s="15" t="s">
        <v>49</v>
      </c>
      <c r="G2626" s="15" t="s">
        <v>50</v>
      </c>
      <c r="H2626" s="15" t="s">
        <v>24</v>
      </c>
      <c r="I2626" s="15" t="s">
        <v>239</v>
      </c>
      <c r="J2626" s="16">
        <v>2.7859954696988889E-2</v>
      </c>
      <c r="K2626" s="17">
        <v>1.8951049377072461E-2</v>
      </c>
      <c r="L2626" s="17">
        <v>2.616261782533773E-3</v>
      </c>
      <c r="M2626" s="17">
        <v>0.19079380291177894</v>
      </c>
      <c r="N2626" s="17">
        <v>0.46652116883543693</v>
      </c>
      <c r="O2626" s="18">
        <v>1.0450301865634271E-2</v>
      </c>
      <c r="P2626" s="17">
        <v>9.3777950735962415E-3</v>
      </c>
      <c r="Q2626" t="s">
        <v>26</v>
      </c>
    </row>
    <row r="2627" spans="1:17" hidden="1" x14ac:dyDescent="0.25">
      <c r="A2627" s="7" t="s">
        <v>17</v>
      </c>
      <c r="B2627" s="15" t="s">
        <v>18</v>
      </c>
      <c r="C2627" s="7" t="s">
        <v>19</v>
      </c>
      <c r="D2627" s="15"/>
      <c r="E2627" s="15"/>
      <c r="F2627" s="15" t="s">
        <v>51</v>
      </c>
      <c r="G2627" s="15" t="s">
        <v>52</v>
      </c>
      <c r="H2627" s="15" t="s">
        <v>24</v>
      </c>
      <c r="I2627" s="15" t="s">
        <v>239</v>
      </c>
      <c r="J2627" s="16">
        <v>5.1026391591401099E-2</v>
      </c>
      <c r="K2627" s="17">
        <v>3.4709448636935196E-2</v>
      </c>
      <c r="L2627" s="17">
        <v>4.7917665219898544E-3</v>
      </c>
      <c r="M2627" s="17">
        <v>0.34944490780673287</v>
      </c>
      <c r="N2627" s="17">
        <v>0.85444833294176159</v>
      </c>
      <c r="O2627" s="18">
        <v>1.9140059667858568E-2</v>
      </c>
      <c r="P2627" s="17">
        <v>1.7175729425753586E-2</v>
      </c>
      <c r="Q2627" t="s">
        <v>26</v>
      </c>
    </row>
    <row r="2628" spans="1:17" hidden="1" x14ac:dyDescent="0.25">
      <c r="A2628" s="7" t="s">
        <v>17</v>
      </c>
      <c r="B2628" s="15" t="s">
        <v>18</v>
      </c>
      <c r="C2628" s="7" t="s">
        <v>19</v>
      </c>
      <c r="D2628" s="15"/>
      <c r="E2628" s="15"/>
      <c r="F2628" s="15" t="s">
        <v>53</v>
      </c>
      <c r="G2628" s="15" t="s">
        <v>54</v>
      </c>
      <c r="H2628" s="15" t="s">
        <v>24</v>
      </c>
      <c r="I2628" s="15" t="s">
        <v>239</v>
      </c>
      <c r="J2628" s="16">
        <v>1.16420657091287E-3</v>
      </c>
      <c r="K2628" s="17">
        <v>7.9192290333718958E-4</v>
      </c>
      <c r="L2628" s="17">
        <v>1.0932785754971939E-4</v>
      </c>
      <c r="M2628" s="17">
        <v>7.9728557154960227E-3</v>
      </c>
      <c r="N2628" s="17">
        <v>1.9494899260797057E-2</v>
      </c>
      <c r="O2628" s="18">
        <v>4.3669525784653852E-4</v>
      </c>
      <c r="P2628" s="17">
        <v>3.9187754481650582E-4</v>
      </c>
      <c r="Q2628" t="s">
        <v>26</v>
      </c>
    </row>
    <row r="2629" spans="1:17" hidden="1" x14ac:dyDescent="0.25">
      <c r="A2629" s="7" t="s">
        <v>17</v>
      </c>
      <c r="B2629" s="15" t="s">
        <v>18</v>
      </c>
      <c r="C2629" s="7" t="s">
        <v>19</v>
      </c>
      <c r="D2629" s="15"/>
      <c r="E2629" s="15"/>
      <c r="F2629" s="15" t="s">
        <v>55</v>
      </c>
      <c r="G2629" s="15" t="s">
        <v>56</v>
      </c>
      <c r="H2629" s="15" t="s">
        <v>24</v>
      </c>
      <c r="I2629" s="15" t="s">
        <v>239</v>
      </c>
      <c r="J2629" s="16">
        <v>1.4860226123897414E-2</v>
      </c>
      <c r="K2629" s="17">
        <v>1.0108303552226494E-2</v>
      </c>
      <c r="L2629" s="17">
        <v>1.3954883312127121E-3</v>
      </c>
      <c r="M2629" s="17">
        <v>0.10176754001017041</v>
      </c>
      <c r="N2629" s="17">
        <v>0.24883780809696704</v>
      </c>
      <c r="O2629" s="18">
        <v>5.5740883456316791E-3</v>
      </c>
      <c r="P2629" s="17">
        <v>5.0020237596536E-3</v>
      </c>
      <c r="Q2629" t="s">
        <v>26</v>
      </c>
    </row>
    <row r="2630" spans="1:17" hidden="1" x14ac:dyDescent="0.25">
      <c r="A2630" s="7" t="s">
        <v>17</v>
      </c>
      <c r="B2630" s="15" t="s">
        <v>18</v>
      </c>
      <c r="C2630" s="7" t="s">
        <v>19</v>
      </c>
      <c r="D2630" s="15"/>
      <c r="E2630" s="15"/>
      <c r="F2630" s="15" t="s">
        <v>57</v>
      </c>
      <c r="G2630" s="15" t="s">
        <v>58</v>
      </c>
      <c r="H2630" s="15" t="s">
        <v>24</v>
      </c>
      <c r="I2630" s="15" t="s">
        <v>239</v>
      </c>
      <c r="J2630" s="16">
        <v>9.7856684453560393E-3</v>
      </c>
      <c r="K2630" s="17">
        <v>6.6564604254595412E-3</v>
      </c>
      <c r="L2630" s="17">
        <v>9.1894874376442326E-4</v>
      </c>
      <c r="M2630" s="17">
        <v>6.7015360112020028E-2</v>
      </c>
      <c r="N2630" s="17">
        <v>0.16386320547236793</v>
      </c>
      <c r="O2630" s="18">
        <v>3.6706157753384743E-3</v>
      </c>
      <c r="P2630" s="17">
        <v>3.2939031788384188E-3</v>
      </c>
      <c r="Q2630" t="s">
        <v>26</v>
      </c>
    </row>
    <row r="2631" spans="1:17" hidden="1" x14ac:dyDescent="0.25">
      <c r="A2631" s="7" t="s">
        <v>17</v>
      </c>
      <c r="B2631" s="15" t="s">
        <v>18</v>
      </c>
      <c r="C2631" s="7" t="s">
        <v>19</v>
      </c>
      <c r="D2631" s="15" t="s">
        <v>20</v>
      </c>
      <c r="E2631" s="15" t="s">
        <v>21</v>
      </c>
      <c r="F2631" s="15" t="s">
        <v>59</v>
      </c>
      <c r="G2631" s="15" t="s">
        <v>60</v>
      </c>
      <c r="H2631" s="15" t="s">
        <v>24</v>
      </c>
      <c r="I2631" s="15" t="s">
        <v>239</v>
      </c>
      <c r="J2631" s="16">
        <v>0.38145292655753155</v>
      </c>
      <c r="K2631" s="17">
        <v>0.259473977070102</v>
      </c>
      <c r="L2631" s="17">
        <v>3.5821332964909448E-2</v>
      </c>
      <c r="M2631" s="17">
        <v>2.61231058274495</v>
      </c>
      <c r="N2631" s="17">
        <v>6.387514519991349</v>
      </c>
      <c r="O2631" s="18">
        <v>0.14308344264776085</v>
      </c>
      <c r="P2631" s="17">
        <v>0.12839889419729428</v>
      </c>
      <c r="Q2631" t="s">
        <v>26</v>
      </c>
    </row>
    <row r="2632" spans="1:17" hidden="1" x14ac:dyDescent="0.25">
      <c r="A2632" s="7" t="s">
        <v>17</v>
      </c>
      <c r="B2632" s="15" t="s">
        <v>18</v>
      </c>
      <c r="C2632" s="7" t="s">
        <v>19</v>
      </c>
      <c r="D2632" s="15" t="s">
        <v>20</v>
      </c>
      <c r="E2632" s="15" t="s">
        <v>21</v>
      </c>
      <c r="F2632" s="7" t="s">
        <v>61</v>
      </c>
      <c r="G2632" s="15" t="s">
        <v>62</v>
      </c>
      <c r="H2632" s="15" t="s">
        <v>24</v>
      </c>
      <c r="I2632" s="15" t="s">
        <v>239</v>
      </c>
      <c r="J2632" s="16">
        <v>0.24486082064501399</v>
      </c>
      <c r="K2632" s="17">
        <v>0.16656055449564949</v>
      </c>
      <c r="L2632" s="17">
        <v>2.2994294644802314E-2</v>
      </c>
      <c r="M2632" s="17">
        <v>1.6768845342024385</v>
      </c>
      <c r="N2632" s="17">
        <v>4.1002491745495382</v>
      </c>
      <c r="O2632" s="18">
        <v>9.1847582619504126E-2</v>
      </c>
      <c r="P2632" s="17">
        <v>8.242133278880473E-2</v>
      </c>
      <c r="Q2632" t="s">
        <v>26</v>
      </c>
    </row>
    <row r="2633" spans="1:17" hidden="1" x14ac:dyDescent="0.25">
      <c r="A2633" s="7" t="s">
        <v>17</v>
      </c>
      <c r="B2633" s="15" t="s">
        <v>18</v>
      </c>
      <c r="C2633" s="7" t="s">
        <v>19</v>
      </c>
      <c r="D2633" s="15"/>
      <c r="E2633" s="15"/>
      <c r="F2633" s="15" t="s">
        <v>63</v>
      </c>
      <c r="G2633" s="15" t="s">
        <v>64</v>
      </c>
      <c r="H2633" s="15" t="s">
        <v>24</v>
      </c>
      <c r="I2633" s="15" t="s">
        <v>239</v>
      </c>
      <c r="J2633" s="16">
        <v>1.1279896779699696E-2</v>
      </c>
      <c r="K2633" s="17">
        <v>7.6728725213423788E-3</v>
      </c>
      <c r="L2633" s="17">
        <v>1.0592681566292592E-3</v>
      </c>
      <c r="M2633" s="17">
        <v>7.7248309498645279E-2</v>
      </c>
      <c r="N2633" s="17">
        <v>0.18888439293037818</v>
      </c>
      <c r="O2633" s="18">
        <v>4.2311025858846095E-3</v>
      </c>
      <c r="P2633" s="17">
        <v>3.7968676403761239E-3</v>
      </c>
      <c r="Q2633" t="s">
        <v>26</v>
      </c>
    </row>
    <row r="2634" spans="1:17" hidden="1" x14ac:dyDescent="0.25">
      <c r="A2634" s="7" t="s">
        <v>17</v>
      </c>
      <c r="B2634" s="15" t="s">
        <v>18</v>
      </c>
      <c r="C2634" s="7" t="s">
        <v>19</v>
      </c>
      <c r="D2634" s="15" t="s">
        <v>20</v>
      </c>
      <c r="E2634" s="15" t="s">
        <v>21</v>
      </c>
      <c r="F2634" s="15" t="s">
        <v>65</v>
      </c>
      <c r="G2634" s="15" t="s">
        <v>66</v>
      </c>
      <c r="H2634" s="15" t="s">
        <v>24</v>
      </c>
      <c r="I2634" s="15" t="s">
        <v>239</v>
      </c>
      <c r="J2634" s="16">
        <v>0.74715214646356376</v>
      </c>
      <c r="K2634" s="17">
        <v>0.50823188242107997</v>
      </c>
      <c r="L2634" s="17">
        <v>7.0163272976964564E-2</v>
      </c>
      <c r="M2634" s="17">
        <v>5.1167347875439599</v>
      </c>
      <c r="N2634" s="17">
        <v>12.511229700734585</v>
      </c>
      <c r="O2634" s="18">
        <v>0.28025765135019109</v>
      </c>
      <c r="P2634" s="17">
        <v>0.25149501478156189</v>
      </c>
      <c r="Q2634" t="s">
        <v>26</v>
      </c>
    </row>
    <row r="2635" spans="1:17" hidden="1" x14ac:dyDescent="0.25">
      <c r="A2635" s="7" t="s">
        <v>17</v>
      </c>
      <c r="B2635" s="15" t="s">
        <v>18</v>
      </c>
      <c r="C2635" s="7" t="s">
        <v>19</v>
      </c>
      <c r="D2635" s="15"/>
      <c r="E2635" s="15"/>
      <c r="F2635" s="15" t="s">
        <v>67</v>
      </c>
      <c r="G2635" s="15" t="s">
        <v>68</v>
      </c>
      <c r="H2635" s="15" t="s">
        <v>24</v>
      </c>
      <c r="I2635" s="15" t="s">
        <v>239</v>
      </c>
      <c r="J2635" s="16">
        <v>2.1759898160652755E-2</v>
      </c>
      <c r="K2635" s="17">
        <v>1.4801635859342152E-2</v>
      </c>
      <c r="L2635" s="17">
        <v>2.043420047473936E-3</v>
      </c>
      <c r="M2635" s="17">
        <v>0.14901868169558347</v>
      </c>
      <c r="N2635" s="17">
        <v>0.36437435861103429</v>
      </c>
      <c r="O2635" s="18">
        <v>8.16216346428081E-3</v>
      </c>
      <c r="P2635" s="17">
        <v>7.3244866329585283E-3</v>
      </c>
      <c r="Q2635" t="s">
        <v>26</v>
      </c>
    </row>
    <row r="2636" spans="1:17" hidden="1" x14ac:dyDescent="0.25">
      <c r="A2636" s="7" t="s">
        <v>17</v>
      </c>
      <c r="B2636" s="15" t="s">
        <v>18</v>
      </c>
      <c r="C2636" s="7" t="s">
        <v>19</v>
      </c>
      <c r="D2636" s="15"/>
      <c r="E2636" s="15"/>
      <c r="F2636" s="15" t="s">
        <v>69</v>
      </c>
      <c r="G2636" s="15" t="s">
        <v>70</v>
      </c>
      <c r="H2636" s="15" t="s">
        <v>24</v>
      </c>
      <c r="I2636" s="15" t="s">
        <v>239</v>
      </c>
      <c r="J2636" s="16">
        <v>5.8210328545643501E-4</v>
      </c>
      <c r="K2636" s="17">
        <v>3.9596145166859479E-4</v>
      </c>
      <c r="L2636" s="17">
        <v>5.4663928774859696E-5</v>
      </c>
      <c r="M2636" s="17">
        <v>3.9864278577480114E-3</v>
      </c>
      <c r="N2636" s="17">
        <v>9.7474496303985286E-3</v>
      </c>
      <c r="O2636" s="18">
        <v>2.1834762892326926E-4</v>
      </c>
      <c r="P2636" s="17">
        <v>1.9593877240825291E-4</v>
      </c>
      <c r="Q2636" t="s">
        <v>26</v>
      </c>
    </row>
    <row r="2637" spans="1:17" hidden="1" x14ac:dyDescent="0.25">
      <c r="A2637" s="7" t="s">
        <v>17</v>
      </c>
      <c r="B2637" s="15" t="s">
        <v>18</v>
      </c>
      <c r="C2637" s="7" t="s">
        <v>19</v>
      </c>
      <c r="D2637" s="15"/>
      <c r="E2637" s="15"/>
      <c r="F2637" s="15" t="s">
        <v>71</v>
      </c>
      <c r="G2637" s="15" t="s">
        <v>72</v>
      </c>
      <c r="H2637" s="15" t="s">
        <v>24</v>
      </c>
      <c r="I2637" s="15" t="s">
        <v>239</v>
      </c>
      <c r="J2637" s="16">
        <v>6.8751520180738634E-3</v>
      </c>
      <c r="K2637" s="17">
        <v>4.6766531671165665E-3</v>
      </c>
      <c r="L2637" s="17">
        <v>6.4562909989012481E-4</v>
      </c>
      <c r="M2637" s="17">
        <v>4.7083220823279974E-2</v>
      </c>
      <c r="N2637" s="17">
        <v>0.1151259573203753</v>
      </c>
      <c r="O2637" s="18">
        <v>2.5788776307221276E-3</v>
      </c>
      <c r="P2637" s="17">
        <v>2.3142093167971543E-3</v>
      </c>
      <c r="Q2637" t="s">
        <v>26</v>
      </c>
    </row>
    <row r="2638" spans="1:17" hidden="1" x14ac:dyDescent="0.25">
      <c r="A2638" s="7" t="s">
        <v>17</v>
      </c>
      <c r="B2638" s="15" t="s">
        <v>18</v>
      </c>
      <c r="C2638" s="7" t="s">
        <v>19</v>
      </c>
      <c r="D2638" s="15" t="s">
        <v>20</v>
      </c>
      <c r="E2638" s="15" t="s">
        <v>21</v>
      </c>
      <c r="F2638" s="15" t="s">
        <v>73</v>
      </c>
      <c r="G2638" s="15" t="s">
        <v>74</v>
      </c>
      <c r="H2638" s="15" t="s">
        <v>24</v>
      </c>
      <c r="I2638" s="15" t="s">
        <v>239</v>
      </c>
      <c r="J2638" s="16">
        <v>0.29519979715353295</v>
      </c>
      <c r="K2638" s="17">
        <v>0.20080240591931098</v>
      </c>
      <c r="L2638" s="17">
        <v>2.7721507658732221E-2</v>
      </c>
      <c r="M2638" s="17">
        <v>2.0216218055729867</v>
      </c>
      <c r="N2638" s="17">
        <v>4.9431865882730452</v>
      </c>
      <c r="O2638" s="18">
        <v>0.11072979207901741</v>
      </c>
      <c r="P2638" s="17">
        <v>9.9365674983391564E-2</v>
      </c>
      <c r="Q2638" t="s">
        <v>26</v>
      </c>
    </row>
    <row r="2639" spans="1:17" hidden="1" x14ac:dyDescent="0.25">
      <c r="A2639" s="7" t="s">
        <v>17</v>
      </c>
      <c r="B2639" s="15" t="s">
        <v>18</v>
      </c>
      <c r="C2639" s="7" t="s">
        <v>19</v>
      </c>
      <c r="D2639" s="15" t="s">
        <v>20</v>
      </c>
      <c r="E2639" s="15" t="s">
        <v>21</v>
      </c>
      <c r="F2639" s="15" t="s">
        <v>75</v>
      </c>
      <c r="G2639" s="15" t="s">
        <v>76</v>
      </c>
      <c r="H2639" s="15" t="s">
        <v>24</v>
      </c>
      <c r="I2639" s="15" t="s">
        <v>239</v>
      </c>
      <c r="J2639" s="16">
        <v>1.7860534493387532</v>
      </c>
      <c r="K2639" s="17">
        <v>1.2149189572145125</v>
      </c>
      <c r="L2639" s="17">
        <v>0.16772401218486677</v>
      </c>
      <c r="M2639" s="17">
        <v>12.231460298816327</v>
      </c>
      <c r="N2639" s="17">
        <v>29.907864239209804</v>
      </c>
      <c r="O2639" s="18">
        <v>0.66995075536733006</v>
      </c>
      <c r="P2639" s="17">
        <v>0.60119420223604314</v>
      </c>
      <c r="Q2639" t="s">
        <v>26</v>
      </c>
    </row>
    <row r="2640" spans="1:17" hidden="1" x14ac:dyDescent="0.25">
      <c r="A2640" s="7" t="s">
        <v>17</v>
      </c>
      <c r="B2640" s="15" t="s">
        <v>18</v>
      </c>
      <c r="C2640" s="7" t="s">
        <v>19</v>
      </c>
      <c r="D2640" s="15"/>
      <c r="E2640" s="15"/>
      <c r="F2640" s="15" t="s">
        <v>77</v>
      </c>
      <c r="G2640" s="15" t="s">
        <v>78</v>
      </c>
      <c r="H2640" s="15" t="s">
        <v>24</v>
      </c>
      <c r="I2640" s="15" t="s">
        <v>239</v>
      </c>
      <c r="J2640" s="16">
        <v>1.746309856369305E-3</v>
      </c>
      <c r="K2640" s="17">
        <v>1.1878843550057845E-3</v>
      </c>
      <c r="L2640" s="17">
        <v>1.6399178632457907E-4</v>
      </c>
      <c r="M2640" s="17">
        <v>1.1959283573244033E-2</v>
      </c>
      <c r="N2640" s="17">
        <v>2.9242348891195584E-2</v>
      </c>
      <c r="O2640" s="18">
        <v>6.5504288676980775E-4</v>
      </c>
      <c r="P2640" s="17">
        <v>5.8781631722475884E-4</v>
      </c>
      <c r="Q2640" t="s">
        <v>26</v>
      </c>
    </row>
    <row r="2641" spans="1:17" hidden="1" x14ac:dyDescent="0.25">
      <c r="A2641" s="7" t="s">
        <v>17</v>
      </c>
      <c r="B2641" s="15" t="s">
        <v>18</v>
      </c>
      <c r="C2641" s="7" t="s">
        <v>19</v>
      </c>
      <c r="D2641" s="15"/>
      <c r="E2641" s="15"/>
      <c r="F2641" s="15" t="s">
        <v>79</v>
      </c>
      <c r="G2641" s="15" t="s">
        <v>80</v>
      </c>
      <c r="H2641" s="15" t="s">
        <v>24</v>
      </c>
      <c r="I2641" s="15" t="s">
        <v>239</v>
      </c>
      <c r="J2641" s="16">
        <v>2.5483474978531704E-3</v>
      </c>
      <c r="K2641" s="17">
        <v>1.7334507463134569E-3</v>
      </c>
      <c r="L2641" s="17">
        <v>2.3930922500636374E-4</v>
      </c>
      <c r="M2641" s="17">
        <v>1.7451891632425102E-2</v>
      </c>
      <c r="N2641" s="17">
        <v>4.2672648474400221E-2</v>
      </c>
      <c r="O2641" s="18">
        <v>9.5588815203557034E-4</v>
      </c>
      <c r="P2641" s="17">
        <v>8.5778605425232998E-4</v>
      </c>
      <c r="Q2641" t="s">
        <v>26</v>
      </c>
    </row>
    <row r="2642" spans="1:17" hidden="1" x14ac:dyDescent="0.25">
      <c r="A2642" s="7" t="s">
        <v>17</v>
      </c>
      <c r="B2642" s="15" t="s">
        <v>18</v>
      </c>
      <c r="C2642" s="7" t="s">
        <v>19</v>
      </c>
      <c r="D2642" s="15"/>
      <c r="E2642" s="15"/>
      <c r="F2642" s="15" t="s">
        <v>81</v>
      </c>
      <c r="G2642" s="15" t="s">
        <v>82</v>
      </c>
      <c r="H2642" s="15" t="s">
        <v>24</v>
      </c>
      <c r="I2642" s="15" t="s">
        <v>239</v>
      </c>
      <c r="J2642" s="16">
        <v>1.8627064675826636E-2</v>
      </c>
      <c r="K2642" s="17">
        <v>1.267060288722097E-2</v>
      </c>
      <c r="L2642" s="17">
        <v>1.749223139886052E-3</v>
      </c>
      <c r="M2642" s="17">
        <v>0.12756404470997709</v>
      </c>
      <c r="N2642" s="17">
        <v>0.31191436163674496</v>
      </c>
      <c r="O2642" s="18">
        <v>6.9870339291729037E-3</v>
      </c>
      <c r="P2642" s="17">
        <v>6.2699597774796504E-3</v>
      </c>
      <c r="Q2642" t="s">
        <v>26</v>
      </c>
    </row>
    <row r="2643" spans="1:17" hidden="1" x14ac:dyDescent="0.25">
      <c r="A2643" s="7" t="s">
        <v>17</v>
      </c>
      <c r="B2643" s="15" t="s">
        <v>18</v>
      </c>
      <c r="C2643" s="7" t="s">
        <v>19</v>
      </c>
      <c r="D2643" s="15"/>
      <c r="E2643" s="15"/>
      <c r="F2643" s="15" t="s">
        <v>83</v>
      </c>
      <c r="G2643" s="15" t="s">
        <v>84</v>
      </c>
      <c r="H2643" s="15" t="s">
        <v>24</v>
      </c>
      <c r="I2643" s="15" t="s">
        <v>239</v>
      </c>
      <c r="J2643" s="16">
        <v>2.9105164272821751E-3</v>
      </c>
      <c r="K2643" s="17">
        <v>1.9798072583429738E-3</v>
      </c>
      <c r="L2643" s="17">
        <v>2.7331964387429845E-4</v>
      </c>
      <c r="M2643" s="17">
        <v>1.9932139288740058E-2</v>
      </c>
      <c r="N2643" s="17">
        <v>4.8737248151992651E-2</v>
      </c>
      <c r="O2643" s="18">
        <v>1.0917381446163463E-3</v>
      </c>
      <c r="P2643" s="17">
        <v>9.7969386204126456E-4</v>
      </c>
      <c r="Q2643" t="s">
        <v>26</v>
      </c>
    </row>
    <row r="2644" spans="1:17" hidden="1" x14ac:dyDescent="0.25">
      <c r="A2644" s="7" t="s">
        <v>17</v>
      </c>
      <c r="B2644" s="15" t="s">
        <v>18</v>
      </c>
      <c r="C2644" s="7" t="s">
        <v>19</v>
      </c>
      <c r="D2644" s="15" t="s">
        <v>20</v>
      </c>
      <c r="E2644" s="15" t="s">
        <v>21</v>
      </c>
      <c r="F2644" s="15" t="s">
        <v>85</v>
      </c>
      <c r="G2644" s="15" t="s">
        <v>86</v>
      </c>
      <c r="H2644" s="15" t="s">
        <v>24</v>
      </c>
      <c r="I2644" s="15" t="s">
        <v>239</v>
      </c>
      <c r="J2644" s="16">
        <v>0.22604814514688298</v>
      </c>
      <c r="K2644" s="17">
        <v>0.1537636944089224</v>
      </c>
      <c r="L2644" s="17">
        <v>2.1227641236055417E-2</v>
      </c>
      <c r="M2644" s="17">
        <v>1.5480493677324227</v>
      </c>
      <c r="N2644" s="17">
        <v>3.7852267182043948</v>
      </c>
      <c r="O2644" s="18">
        <v>8.4790925851970358E-2</v>
      </c>
      <c r="P2644" s="17">
        <v>7.6088895513642729E-2</v>
      </c>
      <c r="Q2644" t="s">
        <v>26</v>
      </c>
    </row>
    <row r="2645" spans="1:17" hidden="1" x14ac:dyDescent="0.25">
      <c r="A2645" s="7" t="s">
        <v>17</v>
      </c>
      <c r="B2645" s="15" t="s">
        <v>18</v>
      </c>
      <c r="C2645" s="7" t="s">
        <v>19</v>
      </c>
      <c r="D2645" s="15"/>
      <c r="E2645" s="15"/>
      <c r="F2645" s="15" t="s">
        <v>87</v>
      </c>
      <c r="G2645" s="15" t="s">
        <v>88</v>
      </c>
      <c r="H2645" s="15" t="s">
        <v>24</v>
      </c>
      <c r="I2645" s="15" t="s">
        <v>239</v>
      </c>
      <c r="J2645" s="16">
        <v>8.712234269417132E-3</v>
      </c>
      <c r="K2645" s="17">
        <v>5.9262832125922876E-3</v>
      </c>
      <c r="L2645" s="17">
        <v>8.1814510495311797E-4</v>
      </c>
      <c r="M2645" s="17">
        <v>5.9664142537176279E-2</v>
      </c>
      <c r="N2645" s="17">
        <v>0.14588831025543325</v>
      </c>
      <c r="O2645" s="18">
        <v>3.2679693499061187E-3</v>
      </c>
      <c r="P2645" s="17">
        <v>2.9325800598156266E-3</v>
      </c>
      <c r="Q2645" t="s">
        <v>26</v>
      </c>
    </row>
    <row r="2646" spans="1:17" hidden="1" x14ac:dyDescent="0.25">
      <c r="A2646" s="7" t="s">
        <v>17</v>
      </c>
      <c r="B2646" s="15" t="s">
        <v>18</v>
      </c>
      <c r="C2646" s="7" t="s">
        <v>19</v>
      </c>
      <c r="D2646" s="15"/>
      <c r="E2646" s="15"/>
      <c r="F2646" s="15" t="s">
        <v>89</v>
      </c>
      <c r="G2646" s="15" t="s">
        <v>90</v>
      </c>
      <c r="H2646" s="15" t="s">
        <v>24</v>
      </c>
      <c r="I2646" s="15" t="s">
        <v>239</v>
      </c>
      <c r="J2646" s="16">
        <v>0.18657127064619269</v>
      </c>
      <c r="K2646" s="17">
        <v>0.1269105208825515</v>
      </c>
      <c r="L2646" s="17">
        <v>1.7520462269924476E-2</v>
      </c>
      <c r="M2646" s="17">
        <v>1.2776992147986928</v>
      </c>
      <c r="N2646" s="17">
        <v>3.1241776305681399</v>
      </c>
      <c r="O2646" s="18">
        <v>6.9983103666654251E-2</v>
      </c>
      <c r="P2646" s="17">
        <v>6.2800789224885467E-2</v>
      </c>
      <c r="Q2646" t="s">
        <v>26</v>
      </c>
    </row>
    <row r="2647" spans="1:17" hidden="1" x14ac:dyDescent="0.25">
      <c r="A2647" s="7" t="s">
        <v>17</v>
      </c>
      <c r="B2647" s="15" t="s">
        <v>18</v>
      </c>
      <c r="C2647" s="7" t="s">
        <v>19</v>
      </c>
      <c r="D2647" s="15"/>
      <c r="E2647" s="15"/>
      <c r="F2647" s="15" t="s">
        <v>91</v>
      </c>
      <c r="G2647" s="15" t="s">
        <v>92</v>
      </c>
      <c r="H2647" s="15" t="s">
        <v>24</v>
      </c>
      <c r="I2647" s="15" t="s">
        <v>239</v>
      </c>
      <c r="J2647" s="16">
        <v>2.0866867696290557E-2</v>
      </c>
      <c r="K2647" s="17">
        <v>1.4194173836900779E-2</v>
      </c>
      <c r="L2647" s="17">
        <v>1.959557690195885E-3</v>
      </c>
      <c r="M2647" s="17">
        <v>0.14290292593557319</v>
      </c>
      <c r="N2647" s="17">
        <v>0.3494203638694372</v>
      </c>
      <c r="O2647" s="18">
        <v>7.8271866838339581E-3</v>
      </c>
      <c r="P2647" s="17">
        <v>7.0238882730418728E-3</v>
      </c>
      <c r="Q2647" t="s">
        <v>26</v>
      </c>
    </row>
    <row r="2648" spans="1:17" hidden="1" x14ac:dyDescent="0.25">
      <c r="A2648" s="7" t="s">
        <v>17</v>
      </c>
      <c r="B2648" s="15" t="s">
        <v>18</v>
      </c>
      <c r="C2648" s="7" t="s">
        <v>19</v>
      </c>
      <c r="D2648" s="15"/>
      <c r="E2648" s="15"/>
      <c r="F2648" s="15" t="s">
        <v>93</v>
      </c>
      <c r="G2648" s="15" t="s">
        <v>94</v>
      </c>
      <c r="H2648" s="15" t="s">
        <v>24</v>
      </c>
      <c r="I2648" s="15" t="s">
        <v>239</v>
      </c>
      <c r="J2648" s="16">
        <v>5.8210328545643501E-4</v>
      </c>
      <c r="K2648" s="17">
        <v>3.9596145166859479E-4</v>
      </c>
      <c r="L2648" s="17">
        <v>5.4663928774859696E-5</v>
      </c>
      <c r="M2648" s="17">
        <v>3.9864278577480114E-3</v>
      </c>
      <c r="N2648" s="17">
        <v>9.7474496303985286E-3</v>
      </c>
      <c r="O2648" s="18">
        <v>2.1834762892326926E-4</v>
      </c>
      <c r="P2648" s="17">
        <v>1.9593877240825291E-4</v>
      </c>
      <c r="Q2648" t="s">
        <v>26</v>
      </c>
    </row>
    <row r="2649" spans="1:17" hidden="1" x14ac:dyDescent="0.25">
      <c r="A2649" s="7" t="s">
        <v>17</v>
      </c>
      <c r="B2649" s="15" t="s">
        <v>18</v>
      </c>
      <c r="C2649" s="7" t="s">
        <v>19</v>
      </c>
      <c r="D2649" s="15"/>
      <c r="E2649" s="15"/>
      <c r="F2649" s="15" t="s">
        <v>95</v>
      </c>
      <c r="G2649" s="15" t="s">
        <v>96</v>
      </c>
      <c r="H2649" s="15" t="s">
        <v>24</v>
      </c>
      <c r="I2649" s="15" t="s">
        <v>239</v>
      </c>
      <c r="J2649" s="16">
        <v>2.9105164272821751E-3</v>
      </c>
      <c r="K2649" s="17">
        <v>1.9798072583429738E-3</v>
      </c>
      <c r="L2649" s="17">
        <v>2.7331964387429845E-4</v>
      </c>
      <c r="M2649" s="17">
        <v>1.9932139288740058E-2</v>
      </c>
      <c r="N2649" s="17">
        <v>4.8737248151992651E-2</v>
      </c>
      <c r="O2649" s="18">
        <v>1.0917381446163463E-3</v>
      </c>
      <c r="P2649" s="17">
        <v>9.7969386204126456E-4</v>
      </c>
      <c r="Q2649" t="s">
        <v>26</v>
      </c>
    </row>
    <row r="2650" spans="1:17" hidden="1" x14ac:dyDescent="0.25">
      <c r="A2650" s="7" t="s">
        <v>17</v>
      </c>
      <c r="B2650" s="15" t="s">
        <v>18</v>
      </c>
      <c r="C2650" s="7" t="s">
        <v>19</v>
      </c>
      <c r="D2650" s="15"/>
      <c r="E2650" s="15"/>
      <c r="F2650" s="15" t="s">
        <v>97</v>
      </c>
      <c r="G2650" s="15" t="s">
        <v>98</v>
      </c>
      <c r="H2650" s="15" t="s">
        <v>24</v>
      </c>
      <c r="I2650" s="15" t="s">
        <v>239</v>
      </c>
      <c r="J2650" s="16">
        <v>1.746309856369305E-3</v>
      </c>
      <c r="K2650" s="17">
        <v>1.1878843550057845E-3</v>
      </c>
      <c r="L2650" s="17">
        <v>1.6399178632457907E-4</v>
      </c>
      <c r="M2650" s="17">
        <v>1.1959283573244033E-2</v>
      </c>
      <c r="N2650" s="17">
        <v>2.9242348891195584E-2</v>
      </c>
      <c r="O2650" s="18">
        <v>6.5504288676980775E-4</v>
      </c>
      <c r="P2650" s="17">
        <v>5.8781631722475884E-4</v>
      </c>
      <c r="Q2650" t="s">
        <v>26</v>
      </c>
    </row>
    <row r="2651" spans="1:17" hidden="1" x14ac:dyDescent="0.25">
      <c r="A2651" s="7" t="s">
        <v>17</v>
      </c>
      <c r="B2651" s="15" t="s">
        <v>18</v>
      </c>
      <c r="C2651" s="7" t="s">
        <v>19</v>
      </c>
      <c r="D2651" s="15"/>
      <c r="E2651" s="15"/>
      <c r="F2651" s="15" t="s">
        <v>99</v>
      </c>
      <c r="G2651" s="15" t="s">
        <v>100</v>
      </c>
      <c r="H2651" s="15" t="s">
        <v>24</v>
      </c>
      <c r="I2651" s="15" t="s">
        <v>239</v>
      </c>
      <c r="J2651" s="16">
        <v>0.10821414697602122</v>
      </c>
      <c r="K2651" s="17">
        <v>7.3610013546145589E-2</v>
      </c>
      <c r="L2651" s="17">
        <v>1.0162131997057993E-2</v>
      </c>
      <c r="M2651" s="17">
        <v>0.74108478836258695</v>
      </c>
      <c r="N2651" s="17">
        <v>1.8120700798282177</v>
      </c>
      <c r="O2651" s="18">
        <v>4.0591254161434824E-2</v>
      </c>
      <c r="P2651" s="17">
        <v>3.6425403610395396E-2</v>
      </c>
      <c r="Q2651" t="s">
        <v>26</v>
      </c>
    </row>
    <row r="2652" spans="1:17" hidden="1" x14ac:dyDescent="0.25">
      <c r="A2652" s="7" t="s">
        <v>17</v>
      </c>
      <c r="B2652" s="15" t="s">
        <v>18</v>
      </c>
      <c r="C2652" s="7" t="s">
        <v>19</v>
      </c>
      <c r="D2652" s="15" t="s">
        <v>20</v>
      </c>
      <c r="E2652" s="15" t="s">
        <v>21</v>
      </c>
      <c r="F2652" s="15" t="s">
        <v>101</v>
      </c>
      <c r="G2652" s="15" t="s">
        <v>21</v>
      </c>
      <c r="H2652" s="15" t="s">
        <v>24</v>
      </c>
      <c r="I2652" s="15" t="s">
        <v>239</v>
      </c>
      <c r="J2652" s="16">
        <v>3.4911414425132739</v>
      </c>
      <c r="K2652" s="17">
        <v>2.3747631530270832</v>
      </c>
      <c r="L2652" s="17">
        <v>0.32784475182418304</v>
      </c>
      <c r="M2652" s="17">
        <v>23.908443483291531</v>
      </c>
      <c r="N2652" s="17">
        <v>58.459943817035551</v>
      </c>
      <c r="O2652" s="18">
        <v>1.3095312726345798</v>
      </c>
      <c r="P2652" s="17">
        <v>1.1751350415644113</v>
      </c>
      <c r="Q2652" t="s">
        <v>26</v>
      </c>
    </row>
    <row r="2653" spans="1:17" hidden="1" x14ac:dyDescent="0.25">
      <c r="A2653" s="7" t="s">
        <v>17</v>
      </c>
      <c r="B2653" s="15" t="s">
        <v>18</v>
      </c>
      <c r="C2653" s="7" t="s">
        <v>19</v>
      </c>
      <c r="D2653" s="15"/>
      <c r="E2653" s="15"/>
      <c r="F2653" s="15" t="s">
        <v>102</v>
      </c>
      <c r="G2653" s="15" t="s">
        <v>103</v>
      </c>
      <c r="H2653" s="15" t="s">
        <v>24</v>
      </c>
      <c r="I2653" s="15" t="s">
        <v>239</v>
      </c>
      <c r="J2653" s="16">
        <v>0</v>
      </c>
      <c r="K2653" s="17">
        <v>0</v>
      </c>
      <c r="L2653" s="17">
        <v>0</v>
      </c>
      <c r="M2653" s="17">
        <v>0</v>
      </c>
      <c r="N2653" s="17">
        <v>0</v>
      </c>
      <c r="O2653" s="18">
        <v>0</v>
      </c>
      <c r="P2653" s="17">
        <v>0</v>
      </c>
      <c r="Q2653" t="s">
        <v>26</v>
      </c>
    </row>
    <row r="2654" spans="1:17" hidden="1" x14ac:dyDescent="0.25">
      <c r="A2654" s="7" t="s">
        <v>17</v>
      </c>
      <c r="B2654" s="15" t="s">
        <v>18</v>
      </c>
      <c r="C2654" s="7" t="s">
        <v>19</v>
      </c>
      <c r="D2654" s="15" t="s">
        <v>20</v>
      </c>
      <c r="E2654" s="15" t="s">
        <v>21</v>
      </c>
      <c r="F2654" s="15" t="s">
        <v>104</v>
      </c>
      <c r="G2654" s="15" t="s">
        <v>105</v>
      </c>
      <c r="H2654" s="15" t="s">
        <v>24</v>
      </c>
      <c r="I2654" s="15" t="s">
        <v>239</v>
      </c>
      <c r="J2654" s="16">
        <v>0.11488913185882299</v>
      </c>
      <c r="K2654" s="17">
        <v>7.8150507939658026E-2</v>
      </c>
      <c r="L2654" s="17">
        <v>1.0788963879514444E-2</v>
      </c>
      <c r="M2654" s="17">
        <v>0.78679720117946883</v>
      </c>
      <c r="N2654" s="17">
        <v>1.9238441937258302</v>
      </c>
      <c r="O2654" s="18">
        <v>4.3095048863633786E-2</v>
      </c>
      <c r="P2654" s="17">
        <v>3.8672235704384161E-2</v>
      </c>
      <c r="Q2654" t="s">
        <v>26</v>
      </c>
    </row>
    <row r="2655" spans="1:17" hidden="1" x14ac:dyDescent="0.25">
      <c r="A2655" s="7" t="s">
        <v>17</v>
      </c>
      <c r="B2655" s="15" t="s">
        <v>18</v>
      </c>
      <c r="C2655" s="7" t="s">
        <v>19</v>
      </c>
      <c r="D2655" s="15"/>
      <c r="E2655" s="15"/>
      <c r="F2655" s="15" t="s">
        <v>106</v>
      </c>
      <c r="G2655" s="15" t="s">
        <v>107</v>
      </c>
      <c r="H2655" s="15" t="s">
        <v>24</v>
      </c>
      <c r="I2655" s="15" t="s">
        <v>239</v>
      </c>
      <c r="J2655" s="16">
        <v>3.1304507833096054E-3</v>
      </c>
      <c r="K2655" s="17">
        <v>2.1294121979820516E-3</v>
      </c>
      <c r="L2655" s="17">
        <v>2.9397315378122349E-4</v>
      </c>
      <c r="M2655" s="17">
        <v>2.1438319490173115E-2</v>
      </c>
      <c r="N2655" s="17">
        <v>5.2420098104798751E-2</v>
      </c>
      <c r="O2655" s="18">
        <v>1.1742357809588395E-3</v>
      </c>
      <c r="P2655" s="17">
        <v>1.0537248266605827E-3</v>
      </c>
      <c r="Q2655" t="s">
        <v>26</v>
      </c>
    </row>
    <row r="2656" spans="1:17" hidden="1" x14ac:dyDescent="0.25">
      <c r="A2656" s="7" t="s">
        <v>17</v>
      </c>
      <c r="B2656" s="15" t="s">
        <v>18</v>
      </c>
      <c r="C2656" s="7" t="s">
        <v>19</v>
      </c>
      <c r="D2656" s="15"/>
      <c r="E2656" s="15"/>
      <c r="F2656" s="15" t="s">
        <v>108</v>
      </c>
      <c r="G2656" s="15" t="s">
        <v>109</v>
      </c>
      <c r="H2656" s="15" t="s">
        <v>24</v>
      </c>
      <c r="I2656" s="15" t="s">
        <v>239</v>
      </c>
      <c r="J2656" s="16">
        <v>1.746309856369305E-3</v>
      </c>
      <c r="K2656" s="17">
        <v>1.1878843550057845E-3</v>
      </c>
      <c r="L2656" s="17">
        <v>1.6399178632457907E-4</v>
      </c>
      <c r="M2656" s="17">
        <v>1.1959283573244033E-2</v>
      </c>
      <c r="N2656" s="17">
        <v>2.9242348891195584E-2</v>
      </c>
      <c r="O2656" s="18">
        <v>6.5504288676980775E-4</v>
      </c>
      <c r="P2656" s="17">
        <v>5.8781631722475884E-4</v>
      </c>
      <c r="Q2656" t="s">
        <v>26</v>
      </c>
    </row>
    <row r="2657" spans="1:17" hidden="1" x14ac:dyDescent="0.25">
      <c r="A2657" s="7" t="s">
        <v>17</v>
      </c>
      <c r="B2657" s="15" t="s">
        <v>18</v>
      </c>
      <c r="C2657" s="7" t="s">
        <v>19</v>
      </c>
      <c r="D2657" s="15"/>
      <c r="E2657" s="15"/>
      <c r="F2657" s="15" t="s">
        <v>110</v>
      </c>
      <c r="G2657" s="15" t="s">
        <v>111</v>
      </c>
      <c r="H2657" s="15" t="s">
        <v>24</v>
      </c>
      <c r="I2657" s="15" t="s">
        <v>239</v>
      </c>
      <c r="J2657" s="16">
        <v>9.260263811594717E-2</v>
      </c>
      <c r="K2657" s="17">
        <v>6.2990668379376766E-2</v>
      </c>
      <c r="L2657" s="17">
        <v>8.6960924990571765E-3</v>
      </c>
      <c r="M2657" s="17">
        <v>0.63417222597689205</v>
      </c>
      <c r="N2657" s="17">
        <v>1.5506518743824751</v>
      </c>
      <c r="O2657" s="18">
        <v>3.4735358775379852E-2</v>
      </c>
      <c r="P2657" s="17">
        <v>3.1170494459547796E-2</v>
      </c>
      <c r="Q2657" t="s">
        <v>26</v>
      </c>
    </row>
    <row r="2658" spans="1:17" hidden="1" x14ac:dyDescent="0.25">
      <c r="A2658" s="7" t="s">
        <v>17</v>
      </c>
      <c r="B2658" s="15" t="s">
        <v>18</v>
      </c>
      <c r="C2658" s="7" t="s">
        <v>19</v>
      </c>
      <c r="D2658" s="15" t="s">
        <v>20</v>
      </c>
      <c r="E2658" s="15" t="s">
        <v>21</v>
      </c>
      <c r="F2658" s="15" t="s">
        <v>112</v>
      </c>
      <c r="G2658" s="15" t="s">
        <v>113</v>
      </c>
      <c r="H2658" s="15" t="s">
        <v>24</v>
      </c>
      <c r="I2658" s="15" t="s">
        <v>239</v>
      </c>
      <c r="J2658" s="16">
        <v>0.10868334462161386</v>
      </c>
      <c r="K2658" s="17">
        <v>7.3929173711549362E-2</v>
      </c>
      <c r="L2658" s="17">
        <v>1.020619322694763E-2</v>
      </c>
      <c r="M2658" s="17">
        <v>0.74429800260121426</v>
      </c>
      <c r="N2658" s="17">
        <v>1.8199268992817101</v>
      </c>
      <c r="O2658" s="18">
        <v>4.0767250751681181E-2</v>
      </c>
      <c r="P2658" s="17">
        <v>3.6583337800067901E-2</v>
      </c>
      <c r="Q2658" t="s">
        <v>26</v>
      </c>
    </row>
    <row r="2659" spans="1:17" hidden="1" x14ac:dyDescent="0.25">
      <c r="A2659" s="7" t="s">
        <v>17</v>
      </c>
      <c r="B2659" s="15" t="s">
        <v>18</v>
      </c>
      <c r="C2659" s="7" t="s">
        <v>19</v>
      </c>
      <c r="D2659" s="15" t="s">
        <v>20</v>
      </c>
      <c r="E2659" s="15" t="s">
        <v>21</v>
      </c>
      <c r="F2659" s="15" t="s">
        <v>114</v>
      </c>
      <c r="G2659" s="15" t="s">
        <v>115</v>
      </c>
      <c r="H2659" s="15" t="s">
        <v>24</v>
      </c>
      <c r="I2659" s="15" t="s">
        <v>239</v>
      </c>
      <c r="J2659" s="16">
        <v>1.2834156332641311</v>
      </c>
      <c r="K2659" s="17">
        <v>0.87301193780921715</v>
      </c>
      <c r="L2659" s="17">
        <v>0.12052249578059197</v>
      </c>
      <c r="M2659" s="17">
        <v>8.789237170344645</v>
      </c>
      <c r="N2659" s="17">
        <v>21.491081656237121</v>
      </c>
      <c r="O2659" s="18">
        <v>0.48141071773293026</v>
      </c>
      <c r="P2659" s="17">
        <v>0.43200388995254113</v>
      </c>
      <c r="Q2659" t="s">
        <v>26</v>
      </c>
    </row>
    <row r="2660" spans="1:17" hidden="1" x14ac:dyDescent="0.25">
      <c r="A2660" s="7" t="s">
        <v>17</v>
      </c>
      <c r="B2660" s="15" t="s">
        <v>18</v>
      </c>
      <c r="C2660" s="7" t="s">
        <v>19</v>
      </c>
      <c r="D2660" s="15" t="s">
        <v>20</v>
      </c>
      <c r="E2660" s="15" t="s">
        <v>21</v>
      </c>
      <c r="F2660" s="15" t="s">
        <v>116</v>
      </c>
      <c r="G2660" s="15" t="s">
        <v>117</v>
      </c>
      <c r="H2660" s="15" t="s">
        <v>24</v>
      </c>
      <c r="I2660" s="15" t="s">
        <v>239</v>
      </c>
      <c r="J2660" s="16">
        <v>1.7378767842929368E-2</v>
      </c>
      <c r="K2660" s="17">
        <v>1.182147965013128E-2</v>
      </c>
      <c r="L2660" s="17">
        <v>1.6319985667420029E-3</v>
      </c>
      <c r="M2660" s="17">
        <v>0.11901531221914716</v>
      </c>
      <c r="N2660" s="17">
        <v>0.29101135214262863</v>
      </c>
      <c r="O2660" s="18">
        <v>6.518796314877659E-3</v>
      </c>
      <c r="P2660" s="17">
        <v>5.8497770450506199E-3</v>
      </c>
      <c r="Q2660" t="s">
        <v>26</v>
      </c>
    </row>
    <row r="2661" spans="1:17" hidden="1" x14ac:dyDescent="0.25">
      <c r="A2661" s="7" t="s">
        <v>17</v>
      </c>
      <c r="B2661" s="15" t="s">
        <v>18</v>
      </c>
      <c r="C2661" s="7" t="s">
        <v>19</v>
      </c>
      <c r="D2661" s="15" t="s">
        <v>20</v>
      </c>
      <c r="E2661" s="15" t="s">
        <v>21</v>
      </c>
      <c r="F2661" s="15" t="s">
        <v>118</v>
      </c>
      <c r="G2661" s="15" t="s">
        <v>119</v>
      </c>
      <c r="H2661" s="15" t="s">
        <v>24</v>
      </c>
      <c r="I2661" s="15" t="s">
        <v>239</v>
      </c>
      <c r="J2661" s="16">
        <v>1.1308754411666695</v>
      </c>
      <c r="K2661" s="17">
        <v>0.76925022161591872</v>
      </c>
      <c r="L2661" s="17">
        <v>0.1061978107900567</v>
      </c>
      <c r="M2661" s="17">
        <v>7.7445935711820963</v>
      </c>
      <c r="N2661" s="17">
        <v>18.936762042810706</v>
      </c>
      <c r="O2661" s="18">
        <v>0.42419271176709122</v>
      </c>
      <c r="P2661" s="17">
        <v>0.38065812584289566</v>
      </c>
      <c r="Q2661" t="s">
        <v>26</v>
      </c>
    </row>
    <row r="2662" spans="1:17" hidden="1" x14ac:dyDescent="0.25">
      <c r="A2662" s="7" t="s">
        <v>17</v>
      </c>
      <c r="B2662" s="15" t="s">
        <v>18</v>
      </c>
      <c r="C2662" s="7" t="s">
        <v>19</v>
      </c>
      <c r="D2662" s="15" t="s">
        <v>20</v>
      </c>
      <c r="E2662" s="15" t="s">
        <v>21</v>
      </c>
      <c r="F2662" s="15" t="s">
        <v>120</v>
      </c>
      <c r="G2662" s="15" t="s">
        <v>121</v>
      </c>
      <c r="H2662" s="15" t="s">
        <v>24</v>
      </c>
      <c r="I2662" s="15" t="s">
        <v>239</v>
      </c>
      <c r="J2662" s="16">
        <v>7.4510400946043776E-2</v>
      </c>
      <c r="K2662" s="17">
        <v>5.0683868756848945E-2</v>
      </c>
      <c r="L2662" s="17">
        <v>6.9970937324414098E-3</v>
      </c>
      <c r="M2662" s="17">
        <v>0.51027084959738234</v>
      </c>
      <c r="N2662" s="17">
        <v>1.2476933188804624</v>
      </c>
      <c r="O2662" s="18">
        <v>2.7948939274468967E-2</v>
      </c>
      <c r="P2662" s="17">
        <v>2.5080560199152453E-2</v>
      </c>
      <c r="Q2662" t="s">
        <v>26</v>
      </c>
    </row>
    <row r="2663" spans="1:17" hidden="1" x14ac:dyDescent="0.25">
      <c r="A2663" s="7" t="s">
        <v>17</v>
      </c>
      <c r="B2663" s="15" t="s">
        <v>18</v>
      </c>
      <c r="C2663" s="7" t="s">
        <v>19</v>
      </c>
      <c r="D2663" s="15"/>
      <c r="E2663" s="15"/>
      <c r="F2663" s="15" t="s">
        <v>122</v>
      </c>
      <c r="G2663" s="15" t="s">
        <v>123</v>
      </c>
      <c r="H2663" s="15" t="s">
        <v>24</v>
      </c>
      <c r="I2663" s="15" t="s">
        <v>239</v>
      </c>
      <c r="J2663" s="16">
        <v>1.3650663732901909E-3</v>
      </c>
      <c r="K2663" s="17">
        <v>9.2855284671369592E-4</v>
      </c>
      <c r="L2663" s="17">
        <v>1.2819012169632503E-4</v>
      </c>
      <c r="M2663" s="17">
        <v>9.3484073258444551E-3</v>
      </c>
      <c r="N2663" s="17">
        <v>2.2858341549066477E-2</v>
      </c>
      <c r="O2663" s="18">
        <v>5.120380066178247E-4</v>
      </c>
      <c r="P2663" s="17">
        <v>4.5948792271210005E-4</v>
      </c>
      <c r="Q2663" t="s">
        <v>26</v>
      </c>
    </row>
    <row r="2664" spans="1:17" hidden="1" x14ac:dyDescent="0.25">
      <c r="A2664" s="7" t="s">
        <v>17</v>
      </c>
      <c r="B2664" s="15" t="s">
        <v>18</v>
      </c>
      <c r="C2664" s="7" t="s">
        <v>19</v>
      </c>
      <c r="D2664" s="15"/>
      <c r="E2664" s="15"/>
      <c r="F2664" s="15" t="s">
        <v>124</v>
      </c>
      <c r="G2664" s="15" t="s">
        <v>125</v>
      </c>
      <c r="H2664" s="15" t="s">
        <v>24</v>
      </c>
      <c r="I2664" s="15" t="s">
        <v>239</v>
      </c>
      <c r="J2664" s="16">
        <v>9.5733612366453499E-3</v>
      </c>
      <c r="K2664" s="17">
        <v>6.5120436653052418E-3</v>
      </c>
      <c r="L2664" s="17">
        <v>8.9901148103921748E-4</v>
      </c>
      <c r="M2664" s="17">
        <v>6.5561413033639646E-2</v>
      </c>
      <c r="N2664" s="17">
        <v>0.16030807380624917</v>
      </c>
      <c r="O2664" s="18">
        <v>3.5909790909501573E-3</v>
      </c>
      <c r="P2664" s="17">
        <v>3.2224395487790622E-3</v>
      </c>
      <c r="Q2664" t="s">
        <v>26</v>
      </c>
    </row>
    <row r="2665" spans="1:17" hidden="1" x14ac:dyDescent="0.25">
      <c r="A2665" s="7" t="s">
        <v>17</v>
      </c>
      <c r="B2665" s="15" t="s">
        <v>18</v>
      </c>
      <c r="C2665" s="7" t="s">
        <v>19</v>
      </c>
      <c r="D2665" s="15" t="s">
        <v>20</v>
      </c>
      <c r="E2665" s="15" t="s">
        <v>21</v>
      </c>
      <c r="F2665" s="15" t="s">
        <v>22</v>
      </c>
      <c r="G2665" s="15" t="s">
        <v>23</v>
      </c>
      <c r="H2665" s="15" t="s">
        <v>240</v>
      </c>
      <c r="I2665" s="15" t="s">
        <v>241</v>
      </c>
      <c r="J2665" s="16"/>
      <c r="K2665" s="17"/>
      <c r="L2665" s="17"/>
      <c r="M2665" s="17"/>
      <c r="N2665" s="17"/>
      <c r="O2665" s="18">
        <v>0</v>
      </c>
      <c r="P2665" s="17"/>
      <c r="Q2665" t="s">
        <v>26</v>
      </c>
    </row>
    <row r="2666" spans="1:17" hidden="1" x14ac:dyDescent="0.25">
      <c r="A2666" s="7" t="s">
        <v>17</v>
      </c>
      <c r="B2666" s="15" t="s">
        <v>18</v>
      </c>
      <c r="C2666" s="7" t="s">
        <v>19</v>
      </c>
      <c r="D2666" s="15"/>
      <c r="E2666" s="15"/>
      <c r="F2666" s="15" t="s">
        <v>27</v>
      </c>
      <c r="G2666" s="15" t="s">
        <v>28</v>
      </c>
      <c r="H2666" s="15" t="s">
        <v>240</v>
      </c>
      <c r="I2666" s="15" t="s">
        <v>241</v>
      </c>
      <c r="J2666" s="16"/>
      <c r="K2666" s="17"/>
      <c r="L2666" s="17"/>
      <c r="M2666" s="17"/>
      <c r="N2666" s="17"/>
      <c r="O2666" s="18">
        <v>0</v>
      </c>
      <c r="P2666" s="17"/>
      <c r="Q2666" t="s">
        <v>26</v>
      </c>
    </row>
    <row r="2667" spans="1:17" hidden="1" x14ac:dyDescent="0.25">
      <c r="A2667" s="7" t="s">
        <v>17</v>
      </c>
      <c r="B2667" s="15" t="s">
        <v>18</v>
      </c>
      <c r="C2667" s="7" t="s">
        <v>19</v>
      </c>
      <c r="D2667" s="15"/>
      <c r="E2667" s="15"/>
      <c r="F2667" s="15" t="s">
        <v>29</v>
      </c>
      <c r="G2667" s="15" t="s">
        <v>30</v>
      </c>
      <c r="H2667" s="15" t="s">
        <v>240</v>
      </c>
      <c r="I2667" s="15" t="s">
        <v>241</v>
      </c>
      <c r="J2667" s="16"/>
      <c r="K2667" s="17"/>
      <c r="L2667" s="17"/>
      <c r="M2667" s="17"/>
      <c r="N2667" s="17"/>
      <c r="O2667" s="18">
        <v>0</v>
      </c>
      <c r="P2667" s="17"/>
      <c r="Q2667" t="s">
        <v>26</v>
      </c>
    </row>
    <row r="2668" spans="1:17" hidden="1" x14ac:dyDescent="0.25">
      <c r="A2668" s="7" t="s">
        <v>17</v>
      </c>
      <c r="B2668" s="15" t="s">
        <v>18</v>
      </c>
      <c r="C2668" s="7" t="s">
        <v>19</v>
      </c>
      <c r="D2668" s="15"/>
      <c r="E2668" s="15"/>
      <c r="F2668" s="15" t="s">
        <v>31</v>
      </c>
      <c r="G2668" s="15" t="s">
        <v>32</v>
      </c>
      <c r="H2668" s="15" t="s">
        <v>240</v>
      </c>
      <c r="I2668" s="15" t="s">
        <v>241</v>
      </c>
      <c r="J2668" s="16"/>
      <c r="K2668" s="17"/>
      <c r="L2668" s="17"/>
      <c r="M2668" s="17"/>
      <c r="N2668" s="17"/>
      <c r="O2668" s="18">
        <v>12.022849715537189</v>
      </c>
      <c r="P2668" s="17"/>
      <c r="Q2668" t="s">
        <v>26</v>
      </c>
    </row>
    <row r="2669" spans="1:17" hidden="1" x14ac:dyDescent="0.25">
      <c r="A2669" s="7" t="s">
        <v>17</v>
      </c>
      <c r="B2669" s="15" t="s">
        <v>18</v>
      </c>
      <c r="C2669" s="7" t="s">
        <v>19</v>
      </c>
      <c r="D2669" s="15"/>
      <c r="E2669" s="15"/>
      <c r="F2669" s="15" t="s">
        <v>33</v>
      </c>
      <c r="G2669" s="15" t="s">
        <v>34</v>
      </c>
      <c r="H2669" s="15" t="s">
        <v>240</v>
      </c>
      <c r="I2669" s="15" t="s">
        <v>241</v>
      </c>
      <c r="J2669" s="16"/>
      <c r="K2669" s="17"/>
      <c r="L2669" s="17"/>
      <c r="M2669" s="17"/>
      <c r="N2669" s="17"/>
      <c r="O2669" s="18">
        <v>1.9629142392713781</v>
      </c>
      <c r="P2669" s="17"/>
      <c r="Q2669" t="s">
        <v>26</v>
      </c>
    </row>
    <row r="2670" spans="1:17" hidden="1" x14ac:dyDescent="0.25">
      <c r="A2670" s="7" t="s">
        <v>17</v>
      </c>
      <c r="B2670" s="15" t="s">
        <v>18</v>
      </c>
      <c r="C2670" s="7" t="s">
        <v>19</v>
      </c>
      <c r="D2670" s="15" t="s">
        <v>20</v>
      </c>
      <c r="E2670" s="15" t="s">
        <v>21</v>
      </c>
      <c r="F2670" s="15" t="s">
        <v>35</v>
      </c>
      <c r="G2670" s="15" t="s">
        <v>36</v>
      </c>
      <c r="H2670" s="15" t="s">
        <v>240</v>
      </c>
      <c r="I2670" s="15" t="s">
        <v>241</v>
      </c>
      <c r="J2670" s="16"/>
      <c r="K2670" s="17"/>
      <c r="L2670" s="17"/>
      <c r="M2670" s="17"/>
      <c r="N2670" s="17"/>
      <c r="O2670" s="18">
        <v>258.95253312481799</v>
      </c>
      <c r="P2670" s="17"/>
      <c r="Q2670" t="s">
        <v>26</v>
      </c>
    </row>
    <row r="2671" spans="1:17" hidden="1" x14ac:dyDescent="0.25">
      <c r="A2671" s="7" t="s">
        <v>17</v>
      </c>
      <c r="B2671" s="15" t="s">
        <v>18</v>
      </c>
      <c r="C2671" s="7" t="s">
        <v>19</v>
      </c>
      <c r="D2671" s="15"/>
      <c r="E2671" s="15"/>
      <c r="F2671" s="15" t="s">
        <v>37</v>
      </c>
      <c r="G2671" s="15" t="s">
        <v>38</v>
      </c>
      <c r="H2671" s="15" t="s">
        <v>240</v>
      </c>
      <c r="I2671" s="15" t="s">
        <v>241</v>
      </c>
      <c r="J2671" s="16"/>
      <c r="K2671" s="17"/>
      <c r="L2671" s="17"/>
      <c r="M2671" s="17"/>
      <c r="N2671" s="17"/>
      <c r="O2671" s="18">
        <v>0.98145711963568905</v>
      </c>
      <c r="P2671" s="17"/>
      <c r="Q2671" t="s">
        <v>26</v>
      </c>
    </row>
    <row r="2672" spans="1:17" hidden="1" x14ac:dyDescent="0.25">
      <c r="A2672" s="7" t="s">
        <v>17</v>
      </c>
      <c r="B2672" s="15" t="s">
        <v>18</v>
      </c>
      <c r="C2672" s="7" t="s">
        <v>19</v>
      </c>
      <c r="D2672" s="15"/>
      <c r="E2672" s="15"/>
      <c r="F2672" s="15" t="s">
        <v>39</v>
      </c>
      <c r="G2672" s="15" t="s">
        <v>40</v>
      </c>
      <c r="H2672" s="15" t="s">
        <v>240</v>
      </c>
      <c r="I2672" s="15" t="s">
        <v>241</v>
      </c>
      <c r="J2672" s="16"/>
      <c r="K2672" s="17"/>
      <c r="L2672" s="17"/>
      <c r="M2672" s="17"/>
      <c r="N2672" s="17"/>
      <c r="O2672" s="18">
        <v>0</v>
      </c>
      <c r="P2672" s="17"/>
      <c r="Q2672" t="s">
        <v>26</v>
      </c>
    </row>
    <row r="2673" spans="1:17" hidden="1" x14ac:dyDescent="0.25">
      <c r="A2673" s="7" t="s">
        <v>17</v>
      </c>
      <c r="B2673" s="15" t="s">
        <v>18</v>
      </c>
      <c r="C2673" s="7" t="s">
        <v>19</v>
      </c>
      <c r="D2673" s="15" t="s">
        <v>20</v>
      </c>
      <c r="E2673" s="15" t="s">
        <v>21</v>
      </c>
      <c r="F2673" s="15" t="s">
        <v>41</v>
      </c>
      <c r="G2673" s="15" t="s">
        <v>42</v>
      </c>
      <c r="H2673" s="15" t="s">
        <v>240</v>
      </c>
      <c r="I2673" s="15" t="s">
        <v>241</v>
      </c>
      <c r="J2673" s="16"/>
      <c r="K2673" s="17"/>
      <c r="L2673" s="17"/>
      <c r="M2673" s="17"/>
      <c r="N2673" s="17"/>
      <c r="O2673" s="18">
        <v>11.041392595901499</v>
      </c>
      <c r="P2673" s="17"/>
      <c r="Q2673" t="s">
        <v>26</v>
      </c>
    </row>
    <row r="2674" spans="1:17" hidden="1" x14ac:dyDescent="0.25">
      <c r="A2674" s="7" t="s">
        <v>17</v>
      </c>
      <c r="B2674" s="15" t="s">
        <v>18</v>
      </c>
      <c r="C2674" s="7" t="s">
        <v>19</v>
      </c>
      <c r="D2674" s="15" t="s">
        <v>20</v>
      </c>
      <c r="E2674" s="15" t="s">
        <v>21</v>
      </c>
      <c r="F2674" s="15" t="s">
        <v>43</v>
      </c>
      <c r="G2674" s="15" t="s">
        <v>44</v>
      </c>
      <c r="H2674" s="15" t="s">
        <v>240</v>
      </c>
      <c r="I2674" s="15" t="s">
        <v>241</v>
      </c>
      <c r="J2674" s="16"/>
      <c r="K2674" s="17"/>
      <c r="L2674" s="17"/>
      <c r="M2674" s="17"/>
      <c r="N2674" s="17"/>
      <c r="O2674" s="18">
        <v>1.9629142392713781</v>
      </c>
      <c r="P2674" s="17"/>
      <c r="Q2674" t="s">
        <v>26</v>
      </c>
    </row>
    <row r="2675" spans="1:17" hidden="1" x14ac:dyDescent="0.25">
      <c r="A2675" s="7" t="s">
        <v>17</v>
      </c>
      <c r="B2675" s="15" t="s">
        <v>18</v>
      </c>
      <c r="C2675" s="7" t="s">
        <v>19</v>
      </c>
      <c r="D2675" s="15"/>
      <c r="E2675" s="15"/>
      <c r="F2675" s="15" t="s">
        <v>45</v>
      </c>
      <c r="G2675" s="15" t="s">
        <v>46</v>
      </c>
      <c r="H2675" s="15" t="s">
        <v>240</v>
      </c>
      <c r="I2675" s="15" t="s">
        <v>241</v>
      </c>
      <c r="J2675" s="16"/>
      <c r="K2675" s="17"/>
      <c r="L2675" s="17"/>
      <c r="M2675" s="17"/>
      <c r="N2675" s="17"/>
      <c r="O2675" s="18">
        <v>0</v>
      </c>
      <c r="P2675" s="17"/>
      <c r="Q2675" t="s">
        <v>26</v>
      </c>
    </row>
    <row r="2676" spans="1:17" hidden="1" x14ac:dyDescent="0.25">
      <c r="A2676" s="7" t="s">
        <v>17</v>
      </c>
      <c r="B2676" s="15" t="s">
        <v>18</v>
      </c>
      <c r="C2676" s="7" t="s">
        <v>19</v>
      </c>
      <c r="D2676" s="15" t="s">
        <v>20</v>
      </c>
      <c r="E2676" s="15" t="s">
        <v>21</v>
      </c>
      <c r="F2676" s="15" t="s">
        <v>47</v>
      </c>
      <c r="G2676" s="15" t="s">
        <v>48</v>
      </c>
      <c r="H2676" s="15" t="s">
        <v>240</v>
      </c>
      <c r="I2676" s="15" t="s">
        <v>241</v>
      </c>
      <c r="J2676" s="16"/>
      <c r="K2676" s="17"/>
      <c r="L2676" s="17"/>
      <c r="M2676" s="17"/>
      <c r="N2676" s="17"/>
      <c r="O2676" s="18">
        <v>0</v>
      </c>
      <c r="P2676" s="17"/>
      <c r="Q2676" t="s">
        <v>26</v>
      </c>
    </row>
    <row r="2677" spans="1:17" hidden="1" x14ac:dyDescent="0.25">
      <c r="A2677" s="7" t="s">
        <v>17</v>
      </c>
      <c r="B2677" s="15" t="s">
        <v>18</v>
      </c>
      <c r="C2677" s="7" t="s">
        <v>19</v>
      </c>
      <c r="D2677" s="15"/>
      <c r="E2677" s="15"/>
      <c r="F2677" s="15" t="s">
        <v>49</v>
      </c>
      <c r="G2677" s="15" t="s">
        <v>50</v>
      </c>
      <c r="H2677" s="15" t="s">
        <v>240</v>
      </c>
      <c r="I2677" s="15" t="s">
        <v>241</v>
      </c>
      <c r="J2677" s="16"/>
      <c r="K2677" s="17"/>
      <c r="L2677" s="17"/>
      <c r="M2677" s="17"/>
      <c r="N2677" s="17"/>
      <c r="O2677" s="18">
        <v>0.98145711963568905</v>
      </c>
      <c r="P2677" s="17"/>
      <c r="Q2677" t="s">
        <v>26</v>
      </c>
    </row>
    <row r="2678" spans="1:17" hidden="1" x14ac:dyDescent="0.25">
      <c r="A2678" s="7" t="s">
        <v>17</v>
      </c>
      <c r="B2678" s="15" t="s">
        <v>18</v>
      </c>
      <c r="C2678" s="7" t="s">
        <v>19</v>
      </c>
      <c r="D2678" s="15"/>
      <c r="E2678" s="15"/>
      <c r="F2678" s="15" t="s">
        <v>51</v>
      </c>
      <c r="G2678" s="15" t="s">
        <v>52</v>
      </c>
      <c r="H2678" s="15" t="s">
        <v>240</v>
      </c>
      <c r="I2678" s="15" t="s">
        <v>241</v>
      </c>
      <c r="J2678" s="16"/>
      <c r="K2678" s="17"/>
      <c r="L2678" s="17"/>
      <c r="M2678" s="17"/>
      <c r="N2678" s="17"/>
      <c r="O2678" s="18">
        <v>2.944371358907067</v>
      </c>
      <c r="P2678" s="17"/>
      <c r="Q2678" t="s">
        <v>26</v>
      </c>
    </row>
    <row r="2679" spans="1:17" hidden="1" x14ac:dyDescent="0.25">
      <c r="A2679" s="7" t="s">
        <v>17</v>
      </c>
      <c r="B2679" s="15" t="s">
        <v>18</v>
      </c>
      <c r="C2679" s="7" t="s">
        <v>19</v>
      </c>
      <c r="D2679" s="15"/>
      <c r="E2679" s="15"/>
      <c r="F2679" s="15" t="s">
        <v>53</v>
      </c>
      <c r="G2679" s="15" t="s">
        <v>54</v>
      </c>
      <c r="H2679" s="15" t="s">
        <v>240</v>
      </c>
      <c r="I2679" s="15" t="s">
        <v>241</v>
      </c>
      <c r="J2679" s="16"/>
      <c r="K2679" s="17"/>
      <c r="L2679" s="17"/>
      <c r="M2679" s="17"/>
      <c r="N2679" s="17"/>
      <c r="O2679" s="18">
        <v>0</v>
      </c>
      <c r="P2679" s="17"/>
      <c r="Q2679" t="s">
        <v>26</v>
      </c>
    </row>
    <row r="2680" spans="1:17" hidden="1" x14ac:dyDescent="0.25">
      <c r="A2680" s="7" t="s">
        <v>17</v>
      </c>
      <c r="B2680" s="15" t="s">
        <v>18</v>
      </c>
      <c r="C2680" s="7" t="s">
        <v>19</v>
      </c>
      <c r="D2680" s="15"/>
      <c r="E2680" s="15"/>
      <c r="F2680" s="15" t="s">
        <v>55</v>
      </c>
      <c r="G2680" s="15" t="s">
        <v>56</v>
      </c>
      <c r="H2680" s="15" t="s">
        <v>240</v>
      </c>
      <c r="I2680" s="15" t="s">
        <v>241</v>
      </c>
      <c r="J2680" s="16"/>
      <c r="K2680" s="17"/>
      <c r="L2680" s="17"/>
      <c r="M2680" s="17"/>
      <c r="N2680" s="17"/>
      <c r="O2680" s="18">
        <v>0</v>
      </c>
      <c r="P2680" s="17"/>
      <c r="Q2680" t="s">
        <v>26</v>
      </c>
    </row>
    <row r="2681" spans="1:17" hidden="1" x14ac:dyDescent="0.25">
      <c r="A2681" s="7" t="s">
        <v>17</v>
      </c>
      <c r="B2681" s="15" t="s">
        <v>18</v>
      </c>
      <c r="C2681" s="7" t="s">
        <v>19</v>
      </c>
      <c r="D2681" s="15"/>
      <c r="E2681" s="15"/>
      <c r="F2681" s="15" t="s">
        <v>57</v>
      </c>
      <c r="G2681" s="15" t="s">
        <v>58</v>
      </c>
      <c r="H2681" s="15" t="s">
        <v>240</v>
      </c>
      <c r="I2681" s="15" t="s">
        <v>241</v>
      </c>
      <c r="J2681" s="16"/>
      <c r="K2681" s="17"/>
      <c r="L2681" s="17"/>
      <c r="M2681" s="17"/>
      <c r="N2681" s="17"/>
      <c r="O2681" s="18">
        <v>0.98145711963568905</v>
      </c>
      <c r="P2681" s="17"/>
      <c r="Q2681" t="s">
        <v>26</v>
      </c>
    </row>
    <row r="2682" spans="1:17" hidden="1" x14ac:dyDescent="0.25">
      <c r="A2682" s="7" t="s">
        <v>17</v>
      </c>
      <c r="B2682" s="15" t="s">
        <v>18</v>
      </c>
      <c r="C2682" s="7" t="s">
        <v>19</v>
      </c>
      <c r="D2682" s="15" t="s">
        <v>20</v>
      </c>
      <c r="E2682" s="15" t="s">
        <v>21</v>
      </c>
      <c r="F2682" s="15" t="s">
        <v>59</v>
      </c>
      <c r="G2682" s="15" t="s">
        <v>60</v>
      </c>
      <c r="H2682" s="15" t="s">
        <v>240</v>
      </c>
      <c r="I2682" s="15" t="s">
        <v>241</v>
      </c>
      <c r="J2682" s="16"/>
      <c r="K2682" s="17"/>
      <c r="L2682" s="17"/>
      <c r="M2682" s="17"/>
      <c r="N2682" s="17"/>
      <c r="O2682" s="18">
        <v>4.9072855981784453</v>
      </c>
      <c r="P2682" s="17"/>
      <c r="Q2682" t="s">
        <v>26</v>
      </c>
    </row>
    <row r="2683" spans="1:17" hidden="1" x14ac:dyDescent="0.25">
      <c r="A2683" s="7" t="s">
        <v>17</v>
      </c>
      <c r="B2683" s="15" t="s">
        <v>18</v>
      </c>
      <c r="C2683" s="7" t="s">
        <v>19</v>
      </c>
      <c r="D2683" s="15" t="s">
        <v>20</v>
      </c>
      <c r="E2683" s="15" t="s">
        <v>21</v>
      </c>
      <c r="F2683" s="7" t="s">
        <v>61</v>
      </c>
      <c r="G2683" s="15" t="s">
        <v>62</v>
      </c>
      <c r="H2683" s="15" t="s">
        <v>240</v>
      </c>
      <c r="I2683" s="15" t="s">
        <v>241</v>
      </c>
      <c r="J2683" s="16"/>
      <c r="K2683" s="17"/>
      <c r="L2683" s="17"/>
      <c r="M2683" s="17"/>
      <c r="N2683" s="17"/>
      <c r="O2683" s="18">
        <v>30.425170708706354</v>
      </c>
      <c r="P2683" s="17"/>
      <c r="Q2683" t="s">
        <v>26</v>
      </c>
    </row>
    <row r="2684" spans="1:17" hidden="1" x14ac:dyDescent="0.25">
      <c r="A2684" s="7" t="s">
        <v>17</v>
      </c>
      <c r="B2684" s="15" t="s">
        <v>18</v>
      </c>
      <c r="C2684" s="7" t="s">
        <v>19</v>
      </c>
      <c r="D2684" s="15"/>
      <c r="E2684" s="15"/>
      <c r="F2684" s="15" t="s">
        <v>63</v>
      </c>
      <c r="G2684" s="15" t="s">
        <v>64</v>
      </c>
      <c r="H2684" s="15" t="s">
        <v>240</v>
      </c>
      <c r="I2684" s="15" t="s">
        <v>241</v>
      </c>
      <c r="J2684" s="16"/>
      <c r="K2684" s="17"/>
      <c r="L2684" s="17"/>
      <c r="M2684" s="17"/>
      <c r="N2684" s="17"/>
      <c r="O2684" s="18">
        <v>1.9629142392713781</v>
      </c>
      <c r="P2684" s="17"/>
      <c r="Q2684" t="s">
        <v>26</v>
      </c>
    </row>
    <row r="2685" spans="1:17" hidden="1" x14ac:dyDescent="0.25">
      <c r="A2685" s="7" t="s">
        <v>17</v>
      </c>
      <c r="B2685" s="15" t="s">
        <v>18</v>
      </c>
      <c r="C2685" s="7" t="s">
        <v>19</v>
      </c>
      <c r="D2685" s="15" t="s">
        <v>20</v>
      </c>
      <c r="E2685" s="15" t="s">
        <v>21</v>
      </c>
      <c r="F2685" s="15" t="s">
        <v>65</v>
      </c>
      <c r="G2685" s="15" t="s">
        <v>66</v>
      </c>
      <c r="H2685" s="15" t="s">
        <v>240</v>
      </c>
      <c r="I2685" s="15" t="s">
        <v>241</v>
      </c>
      <c r="J2685" s="16"/>
      <c r="K2685" s="17"/>
      <c r="L2685" s="17"/>
      <c r="M2685" s="17"/>
      <c r="N2685" s="17"/>
      <c r="O2685" s="18">
        <v>73.118555412858839</v>
      </c>
      <c r="P2685" s="17"/>
      <c r="Q2685" t="s">
        <v>26</v>
      </c>
    </row>
    <row r="2686" spans="1:17" hidden="1" x14ac:dyDescent="0.25">
      <c r="A2686" s="7" t="s">
        <v>17</v>
      </c>
      <c r="B2686" s="15" t="s">
        <v>18</v>
      </c>
      <c r="C2686" s="7" t="s">
        <v>19</v>
      </c>
      <c r="D2686" s="15"/>
      <c r="E2686" s="15"/>
      <c r="F2686" s="15" t="s">
        <v>67</v>
      </c>
      <c r="G2686" s="15" t="s">
        <v>68</v>
      </c>
      <c r="H2686" s="15" t="s">
        <v>240</v>
      </c>
      <c r="I2686" s="15" t="s">
        <v>241</v>
      </c>
      <c r="J2686" s="16"/>
      <c r="K2686" s="17"/>
      <c r="L2686" s="17"/>
      <c r="M2686" s="17"/>
      <c r="N2686" s="17"/>
      <c r="O2686" s="18">
        <v>0.98145711963568905</v>
      </c>
      <c r="P2686" s="17"/>
      <c r="Q2686" t="s">
        <v>26</v>
      </c>
    </row>
    <row r="2687" spans="1:17" hidden="1" x14ac:dyDescent="0.25">
      <c r="A2687" s="7" t="s">
        <v>17</v>
      </c>
      <c r="B2687" s="15" t="s">
        <v>18</v>
      </c>
      <c r="C2687" s="7" t="s">
        <v>19</v>
      </c>
      <c r="D2687" s="15"/>
      <c r="E2687" s="15"/>
      <c r="F2687" s="15" t="s">
        <v>69</v>
      </c>
      <c r="G2687" s="15" t="s">
        <v>70</v>
      </c>
      <c r="H2687" s="15" t="s">
        <v>240</v>
      </c>
      <c r="I2687" s="15" t="s">
        <v>241</v>
      </c>
      <c r="J2687" s="16"/>
      <c r="K2687" s="17"/>
      <c r="L2687" s="17"/>
      <c r="M2687" s="17"/>
      <c r="N2687" s="17"/>
      <c r="O2687" s="18">
        <v>0</v>
      </c>
      <c r="P2687" s="17"/>
      <c r="Q2687" t="s">
        <v>26</v>
      </c>
    </row>
    <row r="2688" spans="1:17" hidden="1" x14ac:dyDescent="0.25">
      <c r="A2688" s="7" t="s">
        <v>17</v>
      </c>
      <c r="B2688" s="15" t="s">
        <v>18</v>
      </c>
      <c r="C2688" s="7" t="s">
        <v>19</v>
      </c>
      <c r="D2688" s="15"/>
      <c r="E2688" s="15"/>
      <c r="F2688" s="15" t="s">
        <v>71</v>
      </c>
      <c r="G2688" s="15" t="s">
        <v>72</v>
      </c>
      <c r="H2688" s="15" t="s">
        <v>240</v>
      </c>
      <c r="I2688" s="15" t="s">
        <v>241</v>
      </c>
      <c r="J2688" s="16"/>
      <c r="K2688" s="17"/>
      <c r="L2688" s="17"/>
      <c r="M2688" s="17"/>
      <c r="N2688" s="17"/>
      <c r="O2688" s="18">
        <v>0</v>
      </c>
      <c r="P2688" s="17"/>
      <c r="Q2688" t="s">
        <v>26</v>
      </c>
    </row>
    <row r="2689" spans="1:17" hidden="1" x14ac:dyDescent="0.25">
      <c r="A2689" s="7" t="s">
        <v>17</v>
      </c>
      <c r="B2689" s="15" t="s">
        <v>18</v>
      </c>
      <c r="C2689" s="7" t="s">
        <v>19</v>
      </c>
      <c r="D2689" s="15" t="s">
        <v>20</v>
      </c>
      <c r="E2689" s="15" t="s">
        <v>21</v>
      </c>
      <c r="F2689" s="15" t="s">
        <v>73</v>
      </c>
      <c r="G2689" s="15" t="s">
        <v>74</v>
      </c>
      <c r="H2689" s="15" t="s">
        <v>240</v>
      </c>
      <c r="I2689" s="15" t="s">
        <v>241</v>
      </c>
      <c r="J2689" s="16"/>
      <c r="K2689" s="17"/>
      <c r="L2689" s="17"/>
      <c r="M2689" s="17"/>
      <c r="N2689" s="17"/>
      <c r="O2689" s="18">
        <v>0.98145711963568905</v>
      </c>
      <c r="P2689" s="17"/>
      <c r="Q2689" t="s">
        <v>26</v>
      </c>
    </row>
    <row r="2690" spans="1:17" hidden="1" x14ac:dyDescent="0.25">
      <c r="A2690" s="7" t="s">
        <v>17</v>
      </c>
      <c r="B2690" s="15" t="s">
        <v>18</v>
      </c>
      <c r="C2690" s="7" t="s">
        <v>19</v>
      </c>
      <c r="D2690" s="15" t="s">
        <v>20</v>
      </c>
      <c r="E2690" s="15" t="s">
        <v>21</v>
      </c>
      <c r="F2690" s="15" t="s">
        <v>75</v>
      </c>
      <c r="G2690" s="15" t="s">
        <v>76</v>
      </c>
      <c r="H2690" s="15" t="s">
        <v>240</v>
      </c>
      <c r="I2690" s="15" t="s">
        <v>241</v>
      </c>
      <c r="J2690" s="16"/>
      <c r="K2690" s="17"/>
      <c r="L2690" s="17"/>
      <c r="M2690" s="17"/>
      <c r="N2690" s="17"/>
      <c r="O2690" s="18">
        <v>219.84639479839433</v>
      </c>
      <c r="P2690" s="17"/>
      <c r="Q2690" t="s">
        <v>26</v>
      </c>
    </row>
    <row r="2691" spans="1:17" hidden="1" x14ac:dyDescent="0.25">
      <c r="A2691" s="7" t="s">
        <v>17</v>
      </c>
      <c r="B2691" s="15" t="s">
        <v>18</v>
      </c>
      <c r="C2691" s="7" t="s">
        <v>19</v>
      </c>
      <c r="D2691" s="15"/>
      <c r="E2691" s="15"/>
      <c r="F2691" s="15" t="s">
        <v>77</v>
      </c>
      <c r="G2691" s="15" t="s">
        <v>78</v>
      </c>
      <c r="H2691" s="15" t="s">
        <v>240</v>
      </c>
      <c r="I2691" s="15" t="s">
        <v>241</v>
      </c>
      <c r="J2691" s="16"/>
      <c r="K2691" s="17"/>
      <c r="L2691" s="17"/>
      <c r="M2691" s="17"/>
      <c r="N2691" s="17"/>
      <c r="O2691" s="18">
        <v>0</v>
      </c>
      <c r="P2691" s="17"/>
      <c r="Q2691" t="s">
        <v>26</v>
      </c>
    </row>
    <row r="2692" spans="1:17" hidden="1" x14ac:dyDescent="0.25">
      <c r="A2692" s="7" t="s">
        <v>17</v>
      </c>
      <c r="B2692" s="15" t="s">
        <v>18</v>
      </c>
      <c r="C2692" s="7" t="s">
        <v>19</v>
      </c>
      <c r="D2692" s="15"/>
      <c r="E2692" s="15"/>
      <c r="F2692" s="15" t="s">
        <v>79</v>
      </c>
      <c r="G2692" s="15" t="s">
        <v>80</v>
      </c>
      <c r="H2692" s="15" t="s">
        <v>240</v>
      </c>
      <c r="I2692" s="15" t="s">
        <v>241</v>
      </c>
      <c r="J2692" s="16"/>
      <c r="K2692" s="17"/>
      <c r="L2692" s="17"/>
      <c r="M2692" s="17"/>
      <c r="N2692" s="17"/>
      <c r="O2692" s="18">
        <v>0</v>
      </c>
      <c r="P2692" s="17"/>
      <c r="Q2692" t="s">
        <v>26</v>
      </c>
    </row>
    <row r="2693" spans="1:17" hidden="1" x14ac:dyDescent="0.25">
      <c r="A2693" s="7" t="s">
        <v>17</v>
      </c>
      <c r="B2693" s="15" t="s">
        <v>18</v>
      </c>
      <c r="C2693" s="7" t="s">
        <v>19</v>
      </c>
      <c r="D2693" s="15"/>
      <c r="E2693" s="15"/>
      <c r="F2693" s="15" t="s">
        <v>81</v>
      </c>
      <c r="G2693" s="15" t="s">
        <v>82</v>
      </c>
      <c r="H2693" s="15" t="s">
        <v>240</v>
      </c>
      <c r="I2693" s="15" t="s">
        <v>241</v>
      </c>
      <c r="J2693" s="16"/>
      <c r="K2693" s="17"/>
      <c r="L2693" s="17"/>
      <c r="M2693" s="17"/>
      <c r="N2693" s="17"/>
      <c r="O2693" s="18">
        <v>0</v>
      </c>
      <c r="P2693" s="17"/>
      <c r="Q2693" t="s">
        <v>26</v>
      </c>
    </row>
    <row r="2694" spans="1:17" hidden="1" x14ac:dyDescent="0.25">
      <c r="A2694" s="7" t="s">
        <v>17</v>
      </c>
      <c r="B2694" s="15" t="s">
        <v>18</v>
      </c>
      <c r="C2694" s="7" t="s">
        <v>19</v>
      </c>
      <c r="D2694" s="15"/>
      <c r="E2694" s="15"/>
      <c r="F2694" s="15" t="s">
        <v>83</v>
      </c>
      <c r="G2694" s="15" t="s">
        <v>84</v>
      </c>
      <c r="H2694" s="15" t="s">
        <v>240</v>
      </c>
      <c r="I2694" s="15" t="s">
        <v>241</v>
      </c>
      <c r="J2694" s="16"/>
      <c r="K2694" s="17"/>
      <c r="L2694" s="17"/>
      <c r="M2694" s="17"/>
      <c r="N2694" s="17"/>
      <c r="O2694" s="18">
        <v>0</v>
      </c>
      <c r="P2694" s="17"/>
      <c r="Q2694" t="s">
        <v>26</v>
      </c>
    </row>
    <row r="2695" spans="1:17" hidden="1" x14ac:dyDescent="0.25">
      <c r="A2695" s="7" t="s">
        <v>17</v>
      </c>
      <c r="B2695" s="15" t="s">
        <v>18</v>
      </c>
      <c r="C2695" s="7" t="s">
        <v>19</v>
      </c>
      <c r="D2695" s="15" t="s">
        <v>20</v>
      </c>
      <c r="E2695" s="15" t="s">
        <v>21</v>
      </c>
      <c r="F2695" s="15" t="s">
        <v>85</v>
      </c>
      <c r="G2695" s="15" t="s">
        <v>86</v>
      </c>
      <c r="H2695" s="15" t="s">
        <v>240</v>
      </c>
      <c r="I2695" s="15" t="s">
        <v>241</v>
      </c>
      <c r="J2695" s="16"/>
      <c r="K2695" s="17"/>
      <c r="L2695" s="17"/>
      <c r="M2695" s="17"/>
      <c r="N2695" s="17"/>
      <c r="O2695" s="18">
        <v>2.944371358907067</v>
      </c>
      <c r="P2695" s="17"/>
      <c r="Q2695" t="s">
        <v>26</v>
      </c>
    </row>
    <row r="2696" spans="1:17" hidden="1" x14ac:dyDescent="0.25">
      <c r="A2696" s="7" t="s">
        <v>17</v>
      </c>
      <c r="B2696" s="15" t="s">
        <v>18</v>
      </c>
      <c r="C2696" s="7" t="s">
        <v>19</v>
      </c>
      <c r="D2696" s="15"/>
      <c r="E2696" s="15"/>
      <c r="F2696" s="15" t="s">
        <v>87</v>
      </c>
      <c r="G2696" s="15" t="s">
        <v>88</v>
      </c>
      <c r="H2696" s="15" t="s">
        <v>240</v>
      </c>
      <c r="I2696" s="15" t="s">
        <v>241</v>
      </c>
      <c r="J2696" s="16"/>
      <c r="K2696" s="17"/>
      <c r="L2696" s="17"/>
      <c r="M2696" s="17"/>
      <c r="N2696" s="17"/>
      <c r="O2696" s="18">
        <v>0</v>
      </c>
      <c r="P2696" s="17"/>
      <c r="Q2696" t="s">
        <v>26</v>
      </c>
    </row>
    <row r="2697" spans="1:17" hidden="1" x14ac:dyDescent="0.25">
      <c r="A2697" s="7" t="s">
        <v>17</v>
      </c>
      <c r="B2697" s="15" t="s">
        <v>18</v>
      </c>
      <c r="C2697" s="7" t="s">
        <v>19</v>
      </c>
      <c r="D2697" s="15"/>
      <c r="E2697" s="15"/>
      <c r="F2697" s="15" t="s">
        <v>89</v>
      </c>
      <c r="G2697" s="15" t="s">
        <v>90</v>
      </c>
      <c r="H2697" s="15" t="s">
        <v>240</v>
      </c>
      <c r="I2697" s="15" t="s">
        <v>241</v>
      </c>
      <c r="J2697" s="16"/>
      <c r="K2697" s="17"/>
      <c r="L2697" s="17"/>
      <c r="M2697" s="17"/>
      <c r="N2697" s="17"/>
      <c r="O2697" s="18">
        <v>18.893049552987012</v>
      </c>
      <c r="P2697" s="17"/>
      <c r="Q2697" t="s">
        <v>26</v>
      </c>
    </row>
    <row r="2698" spans="1:17" hidden="1" x14ac:dyDescent="0.25">
      <c r="A2698" s="7" t="s">
        <v>17</v>
      </c>
      <c r="B2698" s="15" t="s">
        <v>18</v>
      </c>
      <c r="C2698" s="7" t="s">
        <v>19</v>
      </c>
      <c r="D2698" s="15"/>
      <c r="E2698" s="15"/>
      <c r="F2698" s="15" t="s">
        <v>91</v>
      </c>
      <c r="G2698" s="15" t="s">
        <v>92</v>
      </c>
      <c r="H2698" s="15" t="s">
        <v>240</v>
      </c>
      <c r="I2698" s="15" t="s">
        <v>241</v>
      </c>
      <c r="J2698" s="16"/>
      <c r="K2698" s="17"/>
      <c r="L2698" s="17"/>
      <c r="M2698" s="17"/>
      <c r="N2698" s="17"/>
      <c r="O2698" s="18">
        <v>0</v>
      </c>
      <c r="P2698" s="17"/>
      <c r="Q2698" t="s">
        <v>26</v>
      </c>
    </row>
    <row r="2699" spans="1:17" hidden="1" x14ac:dyDescent="0.25">
      <c r="A2699" s="7" t="s">
        <v>17</v>
      </c>
      <c r="B2699" s="15" t="s">
        <v>18</v>
      </c>
      <c r="C2699" s="7" t="s">
        <v>19</v>
      </c>
      <c r="D2699" s="15"/>
      <c r="E2699" s="15"/>
      <c r="F2699" s="15" t="s">
        <v>93</v>
      </c>
      <c r="G2699" s="15" t="s">
        <v>94</v>
      </c>
      <c r="H2699" s="15" t="s">
        <v>240</v>
      </c>
      <c r="I2699" s="15" t="s">
        <v>241</v>
      </c>
      <c r="J2699" s="16"/>
      <c r="K2699" s="17"/>
      <c r="L2699" s="17"/>
      <c r="M2699" s="17"/>
      <c r="N2699" s="17"/>
      <c r="O2699" s="18">
        <v>0</v>
      </c>
      <c r="P2699" s="17"/>
      <c r="Q2699" t="s">
        <v>26</v>
      </c>
    </row>
    <row r="2700" spans="1:17" hidden="1" x14ac:dyDescent="0.25">
      <c r="A2700" s="7" t="s">
        <v>17</v>
      </c>
      <c r="B2700" s="15" t="s">
        <v>18</v>
      </c>
      <c r="C2700" s="7" t="s">
        <v>19</v>
      </c>
      <c r="D2700" s="15"/>
      <c r="E2700" s="15"/>
      <c r="F2700" s="15" t="s">
        <v>95</v>
      </c>
      <c r="G2700" s="15" t="s">
        <v>96</v>
      </c>
      <c r="H2700" s="15" t="s">
        <v>240</v>
      </c>
      <c r="I2700" s="15" t="s">
        <v>241</v>
      </c>
      <c r="J2700" s="16"/>
      <c r="K2700" s="17"/>
      <c r="L2700" s="17"/>
      <c r="M2700" s="17"/>
      <c r="N2700" s="17"/>
      <c r="O2700" s="18">
        <v>0</v>
      </c>
      <c r="P2700" s="17"/>
      <c r="Q2700" t="s">
        <v>26</v>
      </c>
    </row>
    <row r="2701" spans="1:17" hidden="1" x14ac:dyDescent="0.25">
      <c r="A2701" s="7" t="s">
        <v>17</v>
      </c>
      <c r="B2701" s="15" t="s">
        <v>18</v>
      </c>
      <c r="C2701" s="7" t="s">
        <v>19</v>
      </c>
      <c r="D2701" s="15"/>
      <c r="E2701" s="15"/>
      <c r="F2701" s="15" t="s">
        <v>97</v>
      </c>
      <c r="G2701" s="15" t="s">
        <v>98</v>
      </c>
      <c r="H2701" s="15" t="s">
        <v>240</v>
      </c>
      <c r="I2701" s="15" t="s">
        <v>241</v>
      </c>
      <c r="J2701" s="16"/>
      <c r="K2701" s="17"/>
      <c r="L2701" s="17"/>
      <c r="M2701" s="17"/>
      <c r="N2701" s="17"/>
      <c r="O2701" s="18">
        <v>0</v>
      </c>
      <c r="P2701" s="17"/>
      <c r="Q2701" t="s">
        <v>26</v>
      </c>
    </row>
    <row r="2702" spans="1:17" hidden="1" x14ac:dyDescent="0.25">
      <c r="A2702" s="7" t="s">
        <v>17</v>
      </c>
      <c r="B2702" s="15" t="s">
        <v>18</v>
      </c>
      <c r="C2702" s="7" t="s">
        <v>19</v>
      </c>
      <c r="D2702" s="15"/>
      <c r="E2702" s="15"/>
      <c r="F2702" s="15" t="s">
        <v>99</v>
      </c>
      <c r="G2702" s="15" t="s">
        <v>100</v>
      </c>
      <c r="H2702" s="15" t="s">
        <v>240</v>
      </c>
      <c r="I2702" s="15" t="s">
        <v>241</v>
      </c>
      <c r="J2702" s="16"/>
      <c r="K2702" s="17"/>
      <c r="L2702" s="17"/>
      <c r="M2702" s="17"/>
      <c r="N2702" s="17"/>
      <c r="O2702" s="18">
        <v>17.420863873533477</v>
      </c>
      <c r="P2702" s="17"/>
      <c r="Q2702" t="s">
        <v>26</v>
      </c>
    </row>
    <row r="2703" spans="1:17" hidden="1" x14ac:dyDescent="0.25">
      <c r="A2703" s="7" t="s">
        <v>17</v>
      </c>
      <c r="B2703" s="15" t="s">
        <v>18</v>
      </c>
      <c r="C2703" s="7" t="s">
        <v>19</v>
      </c>
      <c r="D2703" s="15" t="s">
        <v>20</v>
      </c>
      <c r="E2703" s="15" t="s">
        <v>21</v>
      </c>
      <c r="F2703" s="15" t="s">
        <v>101</v>
      </c>
      <c r="G2703" s="15" t="s">
        <v>21</v>
      </c>
      <c r="H2703" s="15" t="s">
        <v>240</v>
      </c>
      <c r="I2703" s="15" t="s">
        <v>241</v>
      </c>
      <c r="J2703" s="16"/>
      <c r="K2703" s="17"/>
      <c r="L2703" s="17"/>
      <c r="M2703" s="17"/>
      <c r="N2703" s="17"/>
      <c r="O2703" s="18">
        <v>1548.5013347851188</v>
      </c>
      <c r="P2703" s="17"/>
      <c r="Q2703" t="s">
        <v>26</v>
      </c>
    </row>
    <row r="2704" spans="1:17" hidden="1" x14ac:dyDescent="0.25">
      <c r="A2704" s="7" t="s">
        <v>17</v>
      </c>
      <c r="B2704" s="15" t="s">
        <v>18</v>
      </c>
      <c r="C2704" s="7" t="s">
        <v>19</v>
      </c>
      <c r="D2704" s="15"/>
      <c r="E2704" s="15"/>
      <c r="F2704" s="15" t="s">
        <v>102</v>
      </c>
      <c r="G2704" s="15" t="s">
        <v>103</v>
      </c>
      <c r="H2704" s="15" t="s">
        <v>240</v>
      </c>
      <c r="I2704" s="15" t="s">
        <v>241</v>
      </c>
      <c r="J2704" s="16"/>
      <c r="K2704" s="17"/>
      <c r="L2704" s="17"/>
      <c r="M2704" s="17"/>
      <c r="N2704" s="17"/>
      <c r="O2704" s="18">
        <v>0</v>
      </c>
      <c r="P2704" s="17"/>
      <c r="Q2704" t="s">
        <v>26</v>
      </c>
    </row>
    <row r="2705" spans="1:17" hidden="1" x14ac:dyDescent="0.25">
      <c r="A2705" s="7" t="s">
        <v>17</v>
      </c>
      <c r="B2705" s="15" t="s">
        <v>18</v>
      </c>
      <c r="C2705" s="7" t="s">
        <v>19</v>
      </c>
      <c r="D2705" s="15" t="s">
        <v>20</v>
      </c>
      <c r="E2705" s="15" t="s">
        <v>21</v>
      </c>
      <c r="F2705" s="15" t="s">
        <v>104</v>
      </c>
      <c r="G2705" s="15" t="s">
        <v>105</v>
      </c>
      <c r="H2705" s="15" t="s">
        <v>240</v>
      </c>
      <c r="I2705" s="15" t="s">
        <v>241</v>
      </c>
      <c r="J2705" s="16"/>
      <c r="K2705" s="17"/>
      <c r="L2705" s="17"/>
      <c r="M2705" s="17"/>
      <c r="N2705" s="17"/>
      <c r="O2705" s="18">
        <v>9.8145711963568889</v>
      </c>
      <c r="P2705" s="17"/>
      <c r="Q2705" t="s">
        <v>26</v>
      </c>
    </row>
    <row r="2706" spans="1:17" hidden="1" x14ac:dyDescent="0.25">
      <c r="A2706" s="7" t="s">
        <v>17</v>
      </c>
      <c r="B2706" s="15" t="s">
        <v>18</v>
      </c>
      <c r="C2706" s="7" t="s">
        <v>19</v>
      </c>
      <c r="D2706" s="15"/>
      <c r="E2706" s="15"/>
      <c r="F2706" s="15" t="s">
        <v>106</v>
      </c>
      <c r="G2706" s="15" t="s">
        <v>107</v>
      </c>
      <c r="H2706" s="15" t="s">
        <v>240</v>
      </c>
      <c r="I2706" s="15" t="s">
        <v>241</v>
      </c>
      <c r="J2706" s="16"/>
      <c r="K2706" s="17"/>
      <c r="L2706" s="17"/>
      <c r="M2706" s="17"/>
      <c r="N2706" s="17"/>
      <c r="O2706" s="18">
        <v>0</v>
      </c>
      <c r="P2706" s="17"/>
      <c r="Q2706" t="s">
        <v>26</v>
      </c>
    </row>
    <row r="2707" spans="1:17" hidden="1" x14ac:dyDescent="0.25">
      <c r="A2707" s="7" t="s">
        <v>17</v>
      </c>
      <c r="B2707" s="15" t="s">
        <v>18</v>
      </c>
      <c r="C2707" s="7" t="s">
        <v>19</v>
      </c>
      <c r="D2707" s="15"/>
      <c r="E2707" s="15"/>
      <c r="F2707" s="15" t="s">
        <v>108</v>
      </c>
      <c r="G2707" s="15" t="s">
        <v>109</v>
      </c>
      <c r="H2707" s="15" t="s">
        <v>240</v>
      </c>
      <c r="I2707" s="15" t="s">
        <v>241</v>
      </c>
      <c r="J2707" s="16"/>
      <c r="K2707" s="17"/>
      <c r="L2707" s="17"/>
      <c r="M2707" s="17"/>
      <c r="N2707" s="17"/>
      <c r="O2707" s="18">
        <v>0</v>
      </c>
      <c r="P2707" s="17"/>
      <c r="Q2707" t="s">
        <v>26</v>
      </c>
    </row>
    <row r="2708" spans="1:17" hidden="1" x14ac:dyDescent="0.25">
      <c r="A2708" s="7" t="s">
        <v>17</v>
      </c>
      <c r="B2708" s="15" t="s">
        <v>18</v>
      </c>
      <c r="C2708" s="7" t="s">
        <v>19</v>
      </c>
      <c r="D2708" s="15"/>
      <c r="E2708" s="15"/>
      <c r="F2708" s="15" t="s">
        <v>110</v>
      </c>
      <c r="G2708" s="15" t="s">
        <v>111</v>
      </c>
      <c r="H2708" s="15" t="s">
        <v>240</v>
      </c>
      <c r="I2708" s="15" t="s">
        <v>241</v>
      </c>
      <c r="J2708" s="16"/>
      <c r="K2708" s="17"/>
      <c r="L2708" s="17"/>
      <c r="M2708" s="17"/>
      <c r="N2708" s="17"/>
      <c r="O2708" s="18">
        <v>7.8516569570855115</v>
      </c>
      <c r="P2708" s="17"/>
      <c r="Q2708" t="s">
        <v>26</v>
      </c>
    </row>
    <row r="2709" spans="1:17" hidden="1" x14ac:dyDescent="0.25">
      <c r="A2709" s="7" t="s">
        <v>17</v>
      </c>
      <c r="B2709" s="15" t="s">
        <v>18</v>
      </c>
      <c r="C2709" s="7" t="s">
        <v>19</v>
      </c>
      <c r="D2709" s="15" t="s">
        <v>20</v>
      </c>
      <c r="E2709" s="15" t="s">
        <v>21</v>
      </c>
      <c r="F2709" s="15" t="s">
        <v>112</v>
      </c>
      <c r="G2709" s="15" t="s">
        <v>113</v>
      </c>
      <c r="H2709" s="15" t="s">
        <v>240</v>
      </c>
      <c r="I2709" s="15" t="s">
        <v>241</v>
      </c>
      <c r="J2709" s="16"/>
      <c r="K2709" s="17"/>
      <c r="L2709" s="17"/>
      <c r="M2709" s="17"/>
      <c r="N2709" s="17"/>
      <c r="O2709" s="18">
        <v>4.9072855981784445</v>
      </c>
      <c r="P2709" s="17"/>
      <c r="Q2709" t="s">
        <v>26</v>
      </c>
    </row>
    <row r="2710" spans="1:17" hidden="1" x14ac:dyDescent="0.25">
      <c r="A2710" s="7" t="s">
        <v>17</v>
      </c>
      <c r="B2710" s="15" t="s">
        <v>18</v>
      </c>
      <c r="C2710" s="7" t="s">
        <v>19</v>
      </c>
      <c r="D2710" s="15" t="s">
        <v>20</v>
      </c>
      <c r="E2710" s="15" t="s">
        <v>21</v>
      </c>
      <c r="F2710" s="15" t="s">
        <v>114</v>
      </c>
      <c r="G2710" s="15" t="s">
        <v>115</v>
      </c>
      <c r="H2710" s="15" t="s">
        <v>240</v>
      </c>
      <c r="I2710" s="15" t="s">
        <v>241</v>
      </c>
      <c r="J2710" s="16"/>
      <c r="K2710" s="17"/>
      <c r="L2710" s="17"/>
      <c r="M2710" s="17"/>
      <c r="N2710" s="17"/>
      <c r="O2710" s="18">
        <v>18.040335151165458</v>
      </c>
      <c r="P2710" s="17"/>
      <c r="Q2710" t="s">
        <v>26</v>
      </c>
    </row>
    <row r="2711" spans="1:17" hidden="1" x14ac:dyDescent="0.25">
      <c r="A2711" s="7" t="s">
        <v>17</v>
      </c>
      <c r="B2711" s="15" t="s">
        <v>18</v>
      </c>
      <c r="C2711" s="7" t="s">
        <v>19</v>
      </c>
      <c r="D2711" s="15" t="s">
        <v>20</v>
      </c>
      <c r="E2711" s="15" t="s">
        <v>21</v>
      </c>
      <c r="F2711" s="15" t="s">
        <v>116</v>
      </c>
      <c r="G2711" s="15" t="s">
        <v>117</v>
      </c>
      <c r="H2711" s="15" t="s">
        <v>240</v>
      </c>
      <c r="I2711" s="15" t="s">
        <v>241</v>
      </c>
      <c r="J2711" s="16"/>
      <c r="K2711" s="17"/>
      <c r="L2711" s="17"/>
      <c r="M2711" s="17"/>
      <c r="N2711" s="17"/>
      <c r="O2711" s="18">
        <v>1.9629142392713781</v>
      </c>
      <c r="P2711" s="17"/>
      <c r="Q2711" t="s">
        <v>26</v>
      </c>
    </row>
    <row r="2712" spans="1:17" hidden="1" x14ac:dyDescent="0.25">
      <c r="A2712" s="7" t="s">
        <v>17</v>
      </c>
      <c r="B2712" s="15" t="s">
        <v>18</v>
      </c>
      <c r="C2712" s="7" t="s">
        <v>19</v>
      </c>
      <c r="D2712" s="15" t="s">
        <v>20</v>
      </c>
      <c r="E2712" s="15" t="s">
        <v>21</v>
      </c>
      <c r="F2712" s="15" t="s">
        <v>118</v>
      </c>
      <c r="G2712" s="15" t="s">
        <v>119</v>
      </c>
      <c r="H2712" s="15" t="s">
        <v>240</v>
      </c>
      <c r="I2712" s="15" t="s">
        <v>241</v>
      </c>
      <c r="J2712" s="16"/>
      <c r="K2712" s="17"/>
      <c r="L2712" s="17"/>
      <c r="M2712" s="17"/>
      <c r="N2712" s="17"/>
      <c r="O2712" s="18">
        <v>213.35955612030699</v>
      </c>
      <c r="P2712" s="17"/>
      <c r="Q2712" t="s">
        <v>26</v>
      </c>
    </row>
    <row r="2713" spans="1:17" hidden="1" x14ac:dyDescent="0.25">
      <c r="A2713" s="7" t="s">
        <v>17</v>
      </c>
      <c r="B2713" s="15" t="s">
        <v>18</v>
      </c>
      <c r="C2713" s="7" t="s">
        <v>19</v>
      </c>
      <c r="D2713" s="15" t="s">
        <v>20</v>
      </c>
      <c r="E2713" s="15" t="s">
        <v>21</v>
      </c>
      <c r="F2713" s="15" t="s">
        <v>120</v>
      </c>
      <c r="G2713" s="15" t="s">
        <v>121</v>
      </c>
      <c r="H2713" s="15" t="s">
        <v>240</v>
      </c>
      <c r="I2713" s="15" t="s">
        <v>241</v>
      </c>
      <c r="J2713" s="16"/>
      <c r="K2713" s="17"/>
      <c r="L2713" s="17"/>
      <c r="M2713" s="17"/>
      <c r="N2713" s="17"/>
      <c r="O2713" s="18">
        <v>7.8516569570855115</v>
      </c>
      <c r="P2713" s="17"/>
      <c r="Q2713" t="s">
        <v>26</v>
      </c>
    </row>
    <row r="2714" spans="1:17" hidden="1" x14ac:dyDescent="0.25">
      <c r="A2714" s="7" t="s">
        <v>17</v>
      </c>
      <c r="B2714" s="15" t="s">
        <v>18</v>
      </c>
      <c r="C2714" s="7" t="s">
        <v>19</v>
      </c>
      <c r="D2714" s="15"/>
      <c r="E2714" s="15"/>
      <c r="F2714" s="15" t="s">
        <v>122</v>
      </c>
      <c r="G2714" s="15" t="s">
        <v>123</v>
      </c>
      <c r="H2714" s="15" t="s">
        <v>240</v>
      </c>
      <c r="I2714" s="15" t="s">
        <v>241</v>
      </c>
      <c r="J2714" s="16"/>
      <c r="K2714" s="17"/>
      <c r="L2714" s="17"/>
      <c r="M2714" s="17"/>
      <c r="N2714" s="17"/>
      <c r="O2714" s="18">
        <v>0</v>
      </c>
      <c r="P2714" s="17"/>
      <c r="Q2714" t="s">
        <v>26</v>
      </c>
    </row>
    <row r="2715" spans="1:17" hidden="1" x14ac:dyDescent="0.25">
      <c r="A2715" s="7" t="s">
        <v>17</v>
      </c>
      <c r="B2715" s="15" t="s">
        <v>18</v>
      </c>
      <c r="C2715" s="7" t="s">
        <v>19</v>
      </c>
      <c r="D2715" s="15"/>
      <c r="E2715" s="15"/>
      <c r="F2715" s="15" t="s">
        <v>124</v>
      </c>
      <c r="G2715" s="15" t="s">
        <v>125</v>
      </c>
      <c r="H2715" s="15" t="s">
        <v>240</v>
      </c>
      <c r="I2715" s="15" t="s">
        <v>241</v>
      </c>
      <c r="J2715" s="16"/>
      <c r="K2715" s="17"/>
      <c r="L2715" s="17"/>
      <c r="M2715" s="17"/>
      <c r="N2715" s="17"/>
      <c r="O2715" s="18">
        <v>0</v>
      </c>
      <c r="P2715" s="17"/>
      <c r="Q2715" t="s">
        <v>26</v>
      </c>
    </row>
    <row r="2716" spans="1:17" hidden="1" x14ac:dyDescent="0.25">
      <c r="A2716" s="7" t="s">
        <v>17</v>
      </c>
      <c r="B2716" s="15" t="s">
        <v>18</v>
      </c>
      <c r="C2716" s="7" t="s">
        <v>19</v>
      </c>
      <c r="D2716" s="15"/>
      <c r="E2716" s="15" t="s">
        <v>21</v>
      </c>
      <c r="F2716" s="15" t="s">
        <v>22</v>
      </c>
      <c r="G2716" s="15" t="s">
        <v>23</v>
      </c>
      <c r="H2716" s="15" t="s">
        <v>240</v>
      </c>
      <c r="I2716" s="15" t="s">
        <v>242</v>
      </c>
      <c r="J2716" s="16"/>
      <c r="K2716" s="17"/>
      <c r="L2716" s="17"/>
      <c r="M2716" s="17"/>
      <c r="N2716" s="17"/>
      <c r="O2716" s="18">
        <v>0.21896421844936692</v>
      </c>
      <c r="P2716" s="17"/>
      <c r="Q2716" t="s">
        <v>26</v>
      </c>
    </row>
    <row r="2717" spans="1:17" hidden="1" x14ac:dyDescent="0.25">
      <c r="A2717" s="7" t="s">
        <v>17</v>
      </c>
      <c r="B2717" s="15" t="s">
        <v>18</v>
      </c>
      <c r="C2717" s="7" t="s">
        <v>19</v>
      </c>
      <c r="D2717" s="15"/>
      <c r="E2717" s="15"/>
      <c r="F2717" s="15" t="s">
        <v>27</v>
      </c>
      <c r="G2717" s="15" t="s">
        <v>28</v>
      </c>
      <c r="H2717" s="15" t="s">
        <v>240</v>
      </c>
      <c r="I2717" s="15" t="s">
        <v>242</v>
      </c>
      <c r="J2717" s="16"/>
      <c r="K2717" s="17"/>
      <c r="L2717" s="17"/>
      <c r="M2717" s="17"/>
      <c r="N2717" s="17"/>
      <c r="O2717" s="18">
        <v>4.1955557718976397</v>
      </c>
      <c r="P2717" s="17"/>
      <c r="Q2717" t="s">
        <v>26</v>
      </c>
    </row>
    <row r="2718" spans="1:17" hidden="1" x14ac:dyDescent="0.25">
      <c r="A2718" s="7" t="s">
        <v>17</v>
      </c>
      <c r="B2718" s="15" t="s">
        <v>18</v>
      </c>
      <c r="C2718" s="7" t="s">
        <v>19</v>
      </c>
      <c r="D2718" s="15"/>
      <c r="E2718" s="15"/>
      <c r="F2718" s="15" t="s">
        <v>29</v>
      </c>
      <c r="G2718" s="15" t="s">
        <v>30</v>
      </c>
      <c r="H2718" s="15" t="s">
        <v>240</v>
      </c>
      <c r="I2718" s="15" t="s">
        <v>242</v>
      </c>
      <c r="J2718" s="16"/>
      <c r="K2718" s="17"/>
      <c r="L2718" s="17"/>
      <c r="M2718" s="17"/>
      <c r="N2718" s="17"/>
      <c r="O2718" s="18">
        <v>1.2735160291422951</v>
      </c>
      <c r="P2718" s="17"/>
      <c r="Q2718" t="s">
        <v>26</v>
      </c>
    </row>
    <row r="2719" spans="1:17" hidden="1" x14ac:dyDescent="0.25">
      <c r="A2719" s="7" t="s">
        <v>17</v>
      </c>
      <c r="B2719" s="15" t="s">
        <v>18</v>
      </c>
      <c r="C2719" s="7" t="s">
        <v>19</v>
      </c>
      <c r="D2719" s="15"/>
      <c r="E2719" s="15"/>
      <c r="F2719" s="15" t="s">
        <v>31</v>
      </c>
      <c r="G2719" s="15" t="s">
        <v>32</v>
      </c>
      <c r="H2719" s="15" t="s">
        <v>240</v>
      </c>
      <c r="I2719" s="15" t="s">
        <v>242</v>
      </c>
      <c r="J2719" s="16"/>
      <c r="K2719" s="17"/>
      <c r="L2719" s="17"/>
      <c r="M2719" s="17"/>
      <c r="N2719" s="17"/>
      <c r="O2719" s="18">
        <v>1.6938266553611947</v>
      </c>
      <c r="P2719" s="17"/>
      <c r="Q2719" t="s">
        <v>26</v>
      </c>
    </row>
    <row r="2720" spans="1:17" hidden="1" x14ac:dyDescent="0.25">
      <c r="A2720" s="7" t="s">
        <v>17</v>
      </c>
      <c r="B2720" s="15" t="s">
        <v>18</v>
      </c>
      <c r="C2720" s="7" t="s">
        <v>19</v>
      </c>
      <c r="D2720" s="15"/>
      <c r="E2720" s="15"/>
      <c r="F2720" s="15" t="s">
        <v>33</v>
      </c>
      <c r="G2720" s="15" t="s">
        <v>34</v>
      </c>
      <c r="H2720" s="15" t="s">
        <v>240</v>
      </c>
      <c r="I2720" s="15" t="s">
        <v>242</v>
      </c>
      <c r="J2720" s="16"/>
      <c r="K2720" s="17"/>
      <c r="L2720" s="17"/>
      <c r="M2720" s="17"/>
      <c r="N2720" s="17"/>
      <c r="O2720" s="18">
        <v>5.0442308806462206</v>
      </c>
      <c r="P2720" s="17"/>
      <c r="Q2720" t="s">
        <v>26</v>
      </c>
    </row>
    <row r="2721" spans="1:17" hidden="1" x14ac:dyDescent="0.25">
      <c r="A2721" s="7" t="s">
        <v>17</v>
      </c>
      <c r="B2721" s="15" t="s">
        <v>18</v>
      </c>
      <c r="C2721" s="7" t="s">
        <v>19</v>
      </c>
      <c r="D2721" s="15"/>
      <c r="E2721" s="15" t="s">
        <v>21</v>
      </c>
      <c r="F2721" s="15" t="s">
        <v>35</v>
      </c>
      <c r="G2721" s="15" t="s">
        <v>36</v>
      </c>
      <c r="H2721" s="15" t="s">
        <v>240</v>
      </c>
      <c r="I2721" s="15" t="s">
        <v>242</v>
      </c>
      <c r="J2721" s="16"/>
      <c r="K2721" s="17"/>
      <c r="L2721" s="17"/>
      <c r="M2721" s="17"/>
      <c r="N2721" s="17"/>
      <c r="O2721" s="18">
        <v>3.2007283394093498</v>
      </c>
      <c r="P2721" s="17"/>
      <c r="Q2721" t="s">
        <v>26</v>
      </c>
    </row>
    <row r="2722" spans="1:17" hidden="1" x14ac:dyDescent="0.25">
      <c r="A2722" s="7" t="s">
        <v>17</v>
      </c>
      <c r="B2722" s="15" t="s">
        <v>18</v>
      </c>
      <c r="C2722" s="7" t="s">
        <v>19</v>
      </c>
      <c r="D2722" s="15"/>
      <c r="E2722" s="15"/>
      <c r="F2722" s="15" t="s">
        <v>37</v>
      </c>
      <c r="G2722" s="15" t="s">
        <v>38</v>
      </c>
      <c r="H2722" s="15" t="s">
        <v>240</v>
      </c>
      <c r="I2722" s="15" t="s">
        <v>242</v>
      </c>
      <c r="J2722" s="16"/>
      <c r="K2722" s="17"/>
      <c r="L2722" s="17"/>
      <c r="M2722" s="17"/>
      <c r="N2722" s="17"/>
      <c r="O2722" s="18">
        <v>9.4884494661392331</v>
      </c>
      <c r="P2722" s="17"/>
      <c r="Q2722" t="s">
        <v>26</v>
      </c>
    </row>
    <row r="2723" spans="1:17" hidden="1" x14ac:dyDescent="0.25">
      <c r="A2723" s="7" t="s">
        <v>17</v>
      </c>
      <c r="B2723" s="15" t="s">
        <v>18</v>
      </c>
      <c r="C2723" s="7" t="s">
        <v>19</v>
      </c>
      <c r="D2723" s="15"/>
      <c r="E2723" s="15"/>
      <c r="F2723" s="15" t="s">
        <v>39</v>
      </c>
      <c r="G2723" s="15" t="s">
        <v>40</v>
      </c>
      <c r="H2723" s="15" t="s">
        <v>240</v>
      </c>
      <c r="I2723" s="15" t="s">
        <v>242</v>
      </c>
      <c r="J2723" s="16"/>
      <c r="K2723" s="17"/>
      <c r="L2723" s="17"/>
      <c r="M2723" s="17"/>
      <c r="N2723" s="17"/>
      <c r="O2723" s="18">
        <v>0.39010866505346986</v>
      </c>
      <c r="P2723" s="17"/>
      <c r="Q2723" t="s">
        <v>26</v>
      </c>
    </row>
    <row r="2724" spans="1:17" hidden="1" x14ac:dyDescent="0.25">
      <c r="A2724" s="7" t="s">
        <v>17</v>
      </c>
      <c r="B2724" s="15" t="s">
        <v>18</v>
      </c>
      <c r="C2724" s="7" t="s">
        <v>19</v>
      </c>
      <c r="D2724" s="15" t="s">
        <v>20</v>
      </c>
      <c r="E2724" s="15" t="s">
        <v>21</v>
      </c>
      <c r="F2724" s="15" t="s">
        <v>41</v>
      </c>
      <c r="G2724" s="15" t="s">
        <v>42</v>
      </c>
      <c r="H2724" s="15" t="s">
        <v>240</v>
      </c>
      <c r="I2724" s="15" t="s">
        <v>242</v>
      </c>
      <c r="J2724" s="16"/>
      <c r="K2724" s="17"/>
      <c r="L2724" s="17"/>
      <c r="M2724" s="17"/>
      <c r="N2724" s="17"/>
      <c r="O2724" s="18">
        <v>7.3189419224225185</v>
      </c>
      <c r="P2724" s="17"/>
      <c r="Q2724" t="s">
        <v>26</v>
      </c>
    </row>
    <row r="2725" spans="1:17" hidden="1" x14ac:dyDescent="0.25">
      <c r="A2725" s="7" t="s">
        <v>17</v>
      </c>
      <c r="B2725" s="15" t="s">
        <v>18</v>
      </c>
      <c r="C2725" s="7" t="s">
        <v>19</v>
      </c>
      <c r="D2725" s="15" t="s">
        <v>20</v>
      </c>
      <c r="E2725" s="15" t="s">
        <v>21</v>
      </c>
      <c r="F2725" s="15" t="s">
        <v>43</v>
      </c>
      <c r="G2725" s="15" t="s">
        <v>44</v>
      </c>
      <c r="H2725" s="15" t="s">
        <v>240</v>
      </c>
      <c r="I2725" s="15" t="s">
        <v>242</v>
      </c>
      <c r="J2725" s="16"/>
      <c r="K2725" s="17"/>
      <c r="L2725" s="17"/>
      <c r="M2725" s="17"/>
      <c r="N2725" s="17"/>
      <c r="O2725" s="18">
        <v>0.46435515291848506</v>
      </c>
      <c r="P2725" s="17"/>
      <c r="Q2725" t="s">
        <v>26</v>
      </c>
    </row>
    <row r="2726" spans="1:17" hidden="1" x14ac:dyDescent="0.25">
      <c r="A2726" s="7" t="s">
        <v>17</v>
      </c>
      <c r="B2726" s="15" t="s">
        <v>18</v>
      </c>
      <c r="C2726" s="7" t="s">
        <v>19</v>
      </c>
      <c r="D2726" s="15"/>
      <c r="E2726" s="15"/>
      <c r="F2726" s="15" t="s">
        <v>45</v>
      </c>
      <c r="G2726" s="15" t="s">
        <v>46</v>
      </c>
      <c r="H2726" s="15" t="s">
        <v>240</v>
      </c>
      <c r="I2726" s="15" t="s">
        <v>242</v>
      </c>
      <c r="J2726" s="16"/>
      <c r="K2726" s="17"/>
      <c r="L2726" s="17"/>
      <c r="M2726" s="17"/>
      <c r="N2726" s="17"/>
      <c r="O2726" s="18">
        <v>1.4094248543867298</v>
      </c>
      <c r="P2726" s="17"/>
      <c r="Q2726" t="s">
        <v>26</v>
      </c>
    </row>
    <row r="2727" spans="1:17" hidden="1" x14ac:dyDescent="0.25">
      <c r="A2727" s="7" t="s">
        <v>17</v>
      </c>
      <c r="B2727" s="15" t="s">
        <v>18</v>
      </c>
      <c r="C2727" s="7" t="s">
        <v>19</v>
      </c>
      <c r="D2727" s="15" t="s">
        <v>20</v>
      </c>
      <c r="E2727" s="15" t="s">
        <v>21</v>
      </c>
      <c r="F2727" s="15" t="s">
        <v>47</v>
      </c>
      <c r="G2727" s="15" t="s">
        <v>48</v>
      </c>
      <c r="H2727" s="15" t="s">
        <v>240</v>
      </c>
      <c r="I2727" s="15" t="s">
        <v>242</v>
      </c>
      <c r="J2727" s="16"/>
      <c r="K2727" s="17"/>
      <c r="L2727" s="17"/>
      <c r="M2727" s="17"/>
      <c r="N2727" s="17"/>
      <c r="O2727" s="18">
        <v>0.49581552913247456</v>
      </c>
      <c r="P2727" s="17"/>
      <c r="Q2727" t="s">
        <v>26</v>
      </c>
    </row>
    <row r="2728" spans="1:17" hidden="1" x14ac:dyDescent="0.25">
      <c r="A2728" s="7" t="s">
        <v>17</v>
      </c>
      <c r="B2728" s="15" t="s">
        <v>18</v>
      </c>
      <c r="C2728" s="7" t="s">
        <v>19</v>
      </c>
      <c r="D2728" s="15"/>
      <c r="E2728" s="15"/>
      <c r="F2728" s="15" t="s">
        <v>49</v>
      </c>
      <c r="G2728" s="15" t="s">
        <v>50</v>
      </c>
      <c r="H2728" s="15" t="s">
        <v>240</v>
      </c>
      <c r="I2728" s="15" t="s">
        <v>242</v>
      </c>
      <c r="J2728" s="16"/>
      <c r="K2728" s="17"/>
      <c r="L2728" s="17"/>
      <c r="M2728" s="17"/>
      <c r="N2728" s="17"/>
      <c r="O2728" s="18">
        <v>7.9078801651484012</v>
      </c>
      <c r="P2728" s="17"/>
      <c r="Q2728" t="s">
        <v>26</v>
      </c>
    </row>
    <row r="2729" spans="1:17" hidden="1" x14ac:dyDescent="0.25">
      <c r="A2729" s="7" t="s">
        <v>17</v>
      </c>
      <c r="B2729" s="15" t="s">
        <v>18</v>
      </c>
      <c r="C2729" s="7" t="s">
        <v>19</v>
      </c>
      <c r="D2729" s="15"/>
      <c r="E2729" s="15"/>
      <c r="F2729" s="15" t="s">
        <v>51</v>
      </c>
      <c r="G2729" s="15" t="s">
        <v>52</v>
      </c>
      <c r="H2729" s="15" t="s">
        <v>240</v>
      </c>
      <c r="I2729" s="15" t="s">
        <v>242</v>
      </c>
      <c r="J2729" s="16"/>
      <c r="K2729" s="17"/>
      <c r="L2729" s="17"/>
      <c r="M2729" s="17"/>
      <c r="N2729" s="17"/>
      <c r="O2729" s="18">
        <v>19.393182630341975</v>
      </c>
      <c r="P2729" s="17"/>
      <c r="Q2729" t="s">
        <v>26</v>
      </c>
    </row>
    <row r="2730" spans="1:17" hidden="1" x14ac:dyDescent="0.25">
      <c r="A2730" s="7" t="s">
        <v>17</v>
      </c>
      <c r="B2730" s="15" t="s">
        <v>18</v>
      </c>
      <c r="C2730" s="7" t="s">
        <v>19</v>
      </c>
      <c r="D2730" s="15"/>
      <c r="E2730" s="15"/>
      <c r="F2730" s="15" t="s">
        <v>53</v>
      </c>
      <c r="G2730" s="15" t="s">
        <v>54</v>
      </c>
      <c r="H2730" s="15" t="s">
        <v>240</v>
      </c>
      <c r="I2730" s="15" t="s">
        <v>242</v>
      </c>
      <c r="J2730" s="16"/>
      <c r="K2730" s="17"/>
      <c r="L2730" s="17"/>
      <c r="M2730" s="17"/>
      <c r="N2730" s="17"/>
      <c r="O2730" s="18">
        <v>1.5126148883686155</v>
      </c>
      <c r="P2730" s="17"/>
      <c r="Q2730" t="s">
        <v>26</v>
      </c>
    </row>
    <row r="2731" spans="1:17" hidden="1" x14ac:dyDescent="0.25">
      <c r="A2731" s="7" t="s">
        <v>17</v>
      </c>
      <c r="B2731" s="15" t="s">
        <v>18</v>
      </c>
      <c r="C2731" s="7" t="s">
        <v>19</v>
      </c>
      <c r="D2731" s="15"/>
      <c r="E2731" s="15"/>
      <c r="F2731" s="15" t="s">
        <v>55</v>
      </c>
      <c r="G2731" s="15" t="s">
        <v>56</v>
      </c>
      <c r="H2731" s="15" t="s">
        <v>240</v>
      </c>
      <c r="I2731" s="15" t="s">
        <v>242</v>
      </c>
      <c r="J2731" s="16"/>
      <c r="K2731" s="17"/>
      <c r="L2731" s="17"/>
      <c r="M2731" s="17"/>
      <c r="N2731" s="17"/>
      <c r="O2731" s="18">
        <v>2.2072348268725328</v>
      </c>
      <c r="P2731" s="17"/>
      <c r="Q2731" t="s">
        <v>26</v>
      </c>
    </row>
    <row r="2732" spans="1:17" hidden="1" x14ac:dyDescent="0.25">
      <c r="A2732" s="7" t="s">
        <v>17</v>
      </c>
      <c r="B2732" s="15" t="s">
        <v>18</v>
      </c>
      <c r="C2732" s="7" t="s">
        <v>19</v>
      </c>
      <c r="D2732" s="15"/>
      <c r="E2732" s="15"/>
      <c r="F2732" s="15" t="s">
        <v>57</v>
      </c>
      <c r="G2732" s="15" t="s">
        <v>58</v>
      </c>
      <c r="H2732" s="15" t="s">
        <v>240</v>
      </c>
      <c r="I2732" s="15" t="s">
        <v>242</v>
      </c>
      <c r="J2732" s="16"/>
      <c r="K2732" s="17"/>
      <c r="L2732" s="17"/>
      <c r="M2732" s="17"/>
      <c r="N2732" s="17"/>
      <c r="O2732" s="18">
        <v>25.647757104692797</v>
      </c>
      <c r="P2732" s="17"/>
      <c r="Q2732" t="s">
        <v>26</v>
      </c>
    </row>
    <row r="2733" spans="1:17" hidden="1" x14ac:dyDescent="0.25">
      <c r="A2733" s="7" t="s">
        <v>17</v>
      </c>
      <c r="B2733" s="15" t="s">
        <v>18</v>
      </c>
      <c r="C2733" s="7" t="s">
        <v>19</v>
      </c>
      <c r="D2733" s="15" t="s">
        <v>20</v>
      </c>
      <c r="E2733" s="15" t="s">
        <v>21</v>
      </c>
      <c r="F2733" s="15" t="s">
        <v>59</v>
      </c>
      <c r="G2733" s="15" t="s">
        <v>60</v>
      </c>
      <c r="H2733" s="15" t="s">
        <v>240</v>
      </c>
      <c r="I2733" s="15" t="s">
        <v>242</v>
      </c>
      <c r="J2733" s="16"/>
      <c r="K2733" s="17"/>
      <c r="L2733" s="17"/>
      <c r="M2733" s="17"/>
      <c r="N2733" s="17"/>
      <c r="O2733" s="18">
        <v>5.023517368946929</v>
      </c>
      <c r="P2733" s="17"/>
      <c r="Q2733" t="s">
        <v>26</v>
      </c>
    </row>
    <row r="2734" spans="1:17" hidden="1" x14ac:dyDescent="0.25">
      <c r="A2734" s="7" t="s">
        <v>17</v>
      </c>
      <c r="B2734" s="15" t="s">
        <v>18</v>
      </c>
      <c r="C2734" s="7" t="s">
        <v>19</v>
      </c>
      <c r="D2734" s="15" t="s">
        <v>20</v>
      </c>
      <c r="E2734" s="15" t="s">
        <v>21</v>
      </c>
      <c r="F2734" s="7" t="s">
        <v>61</v>
      </c>
      <c r="G2734" s="15" t="s">
        <v>62</v>
      </c>
      <c r="H2734" s="15" t="s">
        <v>240</v>
      </c>
      <c r="I2734" s="15" t="s">
        <v>242</v>
      </c>
      <c r="J2734" s="16"/>
      <c r="K2734" s="17"/>
      <c r="L2734" s="17"/>
      <c r="M2734" s="17"/>
      <c r="N2734" s="17"/>
      <c r="O2734" s="18">
        <v>0</v>
      </c>
      <c r="P2734" s="17"/>
      <c r="Q2734" t="s">
        <v>26</v>
      </c>
    </row>
    <row r="2735" spans="1:17" hidden="1" x14ac:dyDescent="0.25">
      <c r="A2735" s="7" t="s">
        <v>17</v>
      </c>
      <c r="B2735" s="15" t="s">
        <v>18</v>
      </c>
      <c r="C2735" s="7" t="s">
        <v>19</v>
      </c>
      <c r="D2735" s="15"/>
      <c r="E2735" s="15"/>
      <c r="F2735" s="15" t="s">
        <v>63</v>
      </c>
      <c r="G2735" s="15" t="s">
        <v>64</v>
      </c>
      <c r="H2735" s="15" t="s">
        <v>240</v>
      </c>
      <c r="I2735" s="15" t="s">
        <v>242</v>
      </c>
      <c r="J2735" s="16"/>
      <c r="K2735" s="17"/>
      <c r="L2735" s="17"/>
      <c r="M2735" s="17"/>
      <c r="N2735" s="17"/>
      <c r="O2735" s="18">
        <v>2.0870310214341212</v>
      </c>
      <c r="P2735" s="17"/>
      <c r="Q2735" t="s">
        <v>26</v>
      </c>
    </row>
    <row r="2736" spans="1:17" hidden="1" x14ac:dyDescent="0.25">
      <c r="A2736" s="7" t="s">
        <v>17</v>
      </c>
      <c r="B2736" s="15" t="s">
        <v>18</v>
      </c>
      <c r="C2736" s="7" t="s">
        <v>19</v>
      </c>
      <c r="D2736" s="15" t="s">
        <v>20</v>
      </c>
      <c r="E2736" s="15" t="s">
        <v>21</v>
      </c>
      <c r="F2736" s="15" t="s">
        <v>65</v>
      </c>
      <c r="G2736" s="15" t="s">
        <v>66</v>
      </c>
      <c r="H2736" s="15" t="s">
        <v>240</v>
      </c>
      <c r="I2736" s="15" t="s">
        <v>242</v>
      </c>
      <c r="J2736" s="16"/>
      <c r="K2736" s="17"/>
      <c r="L2736" s="17"/>
      <c r="M2736" s="17"/>
      <c r="N2736" s="17"/>
      <c r="O2736" s="18">
        <v>1.9515500573061964</v>
      </c>
      <c r="P2736" s="17"/>
      <c r="Q2736" t="s">
        <v>26</v>
      </c>
    </row>
    <row r="2737" spans="1:17" hidden="1" x14ac:dyDescent="0.25">
      <c r="A2737" s="7" t="s">
        <v>17</v>
      </c>
      <c r="B2737" s="15" t="s">
        <v>18</v>
      </c>
      <c r="C2737" s="7" t="s">
        <v>19</v>
      </c>
      <c r="D2737" s="15"/>
      <c r="E2737" s="15"/>
      <c r="F2737" s="15" t="s">
        <v>67</v>
      </c>
      <c r="G2737" s="15" t="s">
        <v>68</v>
      </c>
      <c r="H2737" s="15" t="s">
        <v>240</v>
      </c>
      <c r="I2737" s="15" t="s">
        <v>242</v>
      </c>
      <c r="J2737" s="16"/>
      <c r="K2737" s="17"/>
      <c r="L2737" s="17"/>
      <c r="M2737" s="17"/>
      <c r="N2737" s="17"/>
      <c r="O2737" s="18">
        <v>6.9112154466892139</v>
      </c>
      <c r="P2737" s="17"/>
      <c r="Q2737" t="s">
        <v>26</v>
      </c>
    </row>
    <row r="2738" spans="1:17" hidden="1" x14ac:dyDescent="0.25">
      <c r="A2738" s="7" t="s">
        <v>17</v>
      </c>
      <c r="B2738" s="15" t="s">
        <v>18</v>
      </c>
      <c r="C2738" s="7" t="s">
        <v>19</v>
      </c>
      <c r="D2738" s="15"/>
      <c r="E2738" s="15"/>
      <c r="F2738" s="15" t="s">
        <v>69</v>
      </c>
      <c r="G2738" s="15" t="s">
        <v>70</v>
      </c>
      <c r="H2738" s="15" t="s">
        <v>240</v>
      </c>
      <c r="I2738" s="15" t="s">
        <v>242</v>
      </c>
      <c r="J2738" s="16"/>
      <c r="K2738" s="17"/>
      <c r="L2738" s="17"/>
      <c r="M2738" s="17"/>
      <c r="N2738" s="17"/>
      <c r="O2738" s="18">
        <v>0.90520311272987719</v>
      </c>
      <c r="P2738" s="17"/>
      <c r="Q2738" t="s">
        <v>26</v>
      </c>
    </row>
    <row r="2739" spans="1:17" hidden="1" x14ac:dyDescent="0.25">
      <c r="A2739" s="7" t="s">
        <v>17</v>
      </c>
      <c r="B2739" s="15" t="s">
        <v>18</v>
      </c>
      <c r="C2739" s="7" t="s">
        <v>19</v>
      </c>
      <c r="D2739" s="15"/>
      <c r="E2739" s="15"/>
      <c r="F2739" s="15" t="s">
        <v>71</v>
      </c>
      <c r="G2739" s="15" t="s">
        <v>72</v>
      </c>
      <c r="H2739" s="15" t="s">
        <v>240</v>
      </c>
      <c r="I2739" s="15" t="s">
        <v>242</v>
      </c>
      <c r="J2739" s="16"/>
      <c r="K2739" s="17"/>
      <c r="L2739" s="17"/>
      <c r="M2739" s="17"/>
      <c r="N2739" s="17"/>
      <c r="O2739" s="18">
        <v>4.3918685194729346</v>
      </c>
      <c r="P2739" s="17"/>
      <c r="Q2739" t="s">
        <v>26</v>
      </c>
    </row>
    <row r="2740" spans="1:17" hidden="1" x14ac:dyDescent="0.25">
      <c r="A2740" s="7" t="s">
        <v>17</v>
      </c>
      <c r="B2740" s="15" t="s">
        <v>18</v>
      </c>
      <c r="C2740" s="7" t="s">
        <v>19</v>
      </c>
      <c r="D2740" s="15" t="s">
        <v>20</v>
      </c>
      <c r="E2740" s="15" t="s">
        <v>21</v>
      </c>
      <c r="F2740" s="15" t="s">
        <v>73</v>
      </c>
      <c r="G2740" s="15" t="s">
        <v>74</v>
      </c>
      <c r="H2740" s="15" t="s">
        <v>240</v>
      </c>
      <c r="I2740" s="15" t="s">
        <v>242</v>
      </c>
      <c r="J2740" s="16"/>
      <c r="K2740" s="17"/>
      <c r="L2740" s="17"/>
      <c r="M2740" s="17"/>
      <c r="N2740" s="17"/>
      <c r="O2740" s="18">
        <v>0.73239755826167563</v>
      </c>
      <c r="P2740" s="17"/>
      <c r="Q2740" t="s">
        <v>26</v>
      </c>
    </row>
    <row r="2741" spans="1:17" hidden="1" x14ac:dyDescent="0.25">
      <c r="A2741" s="7" t="s">
        <v>17</v>
      </c>
      <c r="B2741" s="15" t="s">
        <v>18</v>
      </c>
      <c r="C2741" s="7" t="s">
        <v>19</v>
      </c>
      <c r="D2741" s="15" t="s">
        <v>20</v>
      </c>
      <c r="E2741" s="15" t="s">
        <v>21</v>
      </c>
      <c r="F2741" s="15" t="s">
        <v>75</v>
      </c>
      <c r="G2741" s="15" t="s">
        <v>76</v>
      </c>
      <c r="H2741" s="15" t="s">
        <v>240</v>
      </c>
      <c r="I2741" s="15" t="s">
        <v>242</v>
      </c>
      <c r="J2741" s="16"/>
      <c r="K2741" s="17"/>
      <c r="L2741" s="17"/>
      <c r="M2741" s="17"/>
      <c r="N2741" s="17"/>
      <c r="O2741" s="18">
        <v>0.52601749029790457</v>
      </c>
      <c r="P2741" s="17"/>
      <c r="Q2741" t="s">
        <v>26</v>
      </c>
    </row>
    <row r="2742" spans="1:17" hidden="1" x14ac:dyDescent="0.25">
      <c r="A2742" s="7" t="s">
        <v>17</v>
      </c>
      <c r="B2742" s="15" t="s">
        <v>18</v>
      </c>
      <c r="C2742" s="7" t="s">
        <v>19</v>
      </c>
      <c r="D2742" s="15"/>
      <c r="E2742" s="15"/>
      <c r="F2742" s="15" t="s">
        <v>77</v>
      </c>
      <c r="G2742" s="15" t="s">
        <v>78</v>
      </c>
      <c r="H2742" s="15" t="s">
        <v>240</v>
      </c>
      <c r="I2742" s="15" t="s">
        <v>242</v>
      </c>
      <c r="J2742" s="16"/>
      <c r="K2742" s="17"/>
      <c r="L2742" s="17"/>
      <c r="M2742" s="17"/>
      <c r="N2742" s="17"/>
      <c r="O2742" s="18">
        <v>1.2810665194336526</v>
      </c>
      <c r="P2742" s="17"/>
      <c r="Q2742" t="s">
        <v>26</v>
      </c>
    </row>
    <row r="2743" spans="1:17" hidden="1" x14ac:dyDescent="0.25">
      <c r="A2743" s="7" t="s">
        <v>17</v>
      </c>
      <c r="B2743" s="15" t="s">
        <v>18</v>
      </c>
      <c r="C2743" s="7" t="s">
        <v>19</v>
      </c>
      <c r="D2743" s="15"/>
      <c r="E2743" s="15"/>
      <c r="F2743" s="15" t="s">
        <v>79</v>
      </c>
      <c r="G2743" s="15" t="s">
        <v>80</v>
      </c>
      <c r="H2743" s="15" t="s">
        <v>240</v>
      </c>
      <c r="I2743" s="15" t="s">
        <v>242</v>
      </c>
      <c r="J2743" s="16"/>
      <c r="K2743" s="17"/>
      <c r="L2743" s="17"/>
      <c r="M2743" s="17"/>
      <c r="N2743" s="17"/>
      <c r="O2743" s="18">
        <v>0.22651470874072441</v>
      </c>
      <c r="P2743" s="17"/>
      <c r="Q2743" t="s">
        <v>26</v>
      </c>
    </row>
    <row r="2744" spans="1:17" hidden="1" x14ac:dyDescent="0.25">
      <c r="A2744" s="7" t="s">
        <v>17</v>
      </c>
      <c r="B2744" s="15" t="s">
        <v>18</v>
      </c>
      <c r="C2744" s="7" t="s">
        <v>19</v>
      </c>
      <c r="D2744" s="15"/>
      <c r="E2744" s="15"/>
      <c r="F2744" s="15" t="s">
        <v>81</v>
      </c>
      <c r="G2744" s="15" t="s">
        <v>82</v>
      </c>
      <c r="H2744" s="15" t="s">
        <v>240</v>
      </c>
      <c r="I2744" s="15" t="s">
        <v>242</v>
      </c>
      <c r="J2744" s="16"/>
      <c r="K2744" s="17"/>
      <c r="L2744" s="17"/>
      <c r="M2744" s="17"/>
      <c r="N2744" s="17"/>
      <c r="O2744" s="18">
        <v>1.6711751844871223</v>
      </c>
      <c r="P2744" s="17"/>
      <c r="Q2744" t="s">
        <v>26</v>
      </c>
    </row>
    <row r="2745" spans="1:17" hidden="1" x14ac:dyDescent="0.25">
      <c r="A2745" s="7" t="s">
        <v>17</v>
      </c>
      <c r="B2745" s="15" t="s">
        <v>18</v>
      </c>
      <c r="C2745" s="7" t="s">
        <v>19</v>
      </c>
      <c r="D2745" s="15"/>
      <c r="E2745" s="15"/>
      <c r="F2745" s="15" t="s">
        <v>83</v>
      </c>
      <c r="G2745" s="15" t="s">
        <v>84</v>
      </c>
      <c r="H2745" s="15" t="s">
        <v>240</v>
      </c>
      <c r="I2745" s="15" t="s">
        <v>242</v>
      </c>
      <c r="J2745" s="16"/>
      <c r="K2745" s="17"/>
      <c r="L2745" s="17"/>
      <c r="M2745" s="17"/>
      <c r="N2745" s="17"/>
      <c r="O2745" s="18">
        <v>1.5176485485628535</v>
      </c>
      <c r="P2745" s="17"/>
      <c r="Q2745" t="s">
        <v>26</v>
      </c>
    </row>
    <row r="2746" spans="1:17" hidden="1" x14ac:dyDescent="0.25">
      <c r="A2746" s="7" t="s">
        <v>17</v>
      </c>
      <c r="B2746" s="15" t="s">
        <v>18</v>
      </c>
      <c r="C2746" s="7" t="s">
        <v>19</v>
      </c>
      <c r="D2746" s="15" t="s">
        <v>20</v>
      </c>
      <c r="E2746" s="15" t="s">
        <v>21</v>
      </c>
      <c r="F2746" s="15" t="s">
        <v>85</v>
      </c>
      <c r="G2746" s="15" t="s">
        <v>86</v>
      </c>
      <c r="H2746" s="15" t="s">
        <v>240</v>
      </c>
      <c r="I2746" s="15" t="s">
        <v>242</v>
      </c>
      <c r="J2746" s="16"/>
      <c r="K2746" s="17"/>
      <c r="L2746" s="17"/>
      <c r="M2746" s="17"/>
      <c r="N2746" s="17"/>
      <c r="O2746" s="18">
        <v>1.6887929951669567</v>
      </c>
      <c r="P2746" s="17"/>
      <c r="Q2746" t="s">
        <v>26</v>
      </c>
    </row>
    <row r="2747" spans="1:17" hidden="1" x14ac:dyDescent="0.25">
      <c r="A2747" s="7" t="s">
        <v>17</v>
      </c>
      <c r="B2747" s="15" t="s">
        <v>18</v>
      </c>
      <c r="C2747" s="7" t="s">
        <v>19</v>
      </c>
      <c r="D2747" s="15"/>
      <c r="E2747" s="15"/>
      <c r="F2747" s="15" t="s">
        <v>87</v>
      </c>
      <c r="G2747" s="15" t="s">
        <v>88</v>
      </c>
      <c r="H2747" s="15" t="s">
        <v>240</v>
      </c>
      <c r="I2747" s="15" t="s">
        <v>242</v>
      </c>
      <c r="J2747" s="16"/>
      <c r="K2747" s="17"/>
      <c r="L2747" s="17"/>
      <c r="M2747" s="17"/>
      <c r="N2747" s="17"/>
      <c r="O2747" s="18">
        <v>3.9388391019914852</v>
      </c>
      <c r="P2747" s="17"/>
      <c r="Q2747" t="s">
        <v>26</v>
      </c>
    </row>
    <row r="2748" spans="1:17" hidden="1" x14ac:dyDescent="0.25">
      <c r="A2748" s="7" t="s">
        <v>17</v>
      </c>
      <c r="B2748" s="15" t="s">
        <v>18</v>
      </c>
      <c r="C2748" s="7" t="s">
        <v>19</v>
      </c>
      <c r="D2748" s="15"/>
      <c r="E2748" s="15"/>
      <c r="F2748" s="15" t="s">
        <v>89</v>
      </c>
      <c r="G2748" s="15" t="s">
        <v>90</v>
      </c>
      <c r="H2748" s="15" t="s">
        <v>240</v>
      </c>
      <c r="I2748" s="15" t="s">
        <v>242</v>
      </c>
      <c r="J2748" s="16"/>
      <c r="K2748" s="17"/>
      <c r="L2748" s="17"/>
      <c r="M2748" s="17"/>
      <c r="N2748" s="17"/>
      <c r="O2748" s="18">
        <v>12.08833495646333</v>
      </c>
      <c r="P2748" s="17"/>
      <c r="Q2748" t="s">
        <v>26</v>
      </c>
    </row>
    <row r="2749" spans="1:17" hidden="1" x14ac:dyDescent="0.25">
      <c r="A2749" s="7" t="s">
        <v>17</v>
      </c>
      <c r="B2749" s="15" t="s">
        <v>18</v>
      </c>
      <c r="C2749" s="7" t="s">
        <v>19</v>
      </c>
      <c r="D2749" s="15"/>
      <c r="E2749" s="15"/>
      <c r="F2749" s="15" t="s">
        <v>91</v>
      </c>
      <c r="G2749" s="15" t="s">
        <v>92</v>
      </c>
      <c r="H2749" s="15" t="s">
        <v>240</v>
      </c>
      <c r="I2749" s="15" t="s">
        <v>242</v>
      </c>
      <c r="J2749" s="16"/>
      <c r="K2749" s="17"/>
      <c r="L2749" s="17"/>
      <c r="M2749" s="17"/>
      <c r="N2749" s="17"/>
      <c r="O2749" s="18">
        <v>0.93444867845840174</v>
      </c>
      <c r="P2749" s="17"/>
      <c r="Q2749" t="s">
        <v>26</v>
      </c>
    </row>
    <row r="2750" spans="1:17" hidden="1" x14ac:dyDescent="0.25">
      <c r="A2750" s="7" t="s">
        <v>17</v>
      </c>
      <c r="B2750" s="15" t="s">
        <v>18</v>
      </c>
      <c r="C2750" s="7" t="s">
        <v>19</v>
      </c>
      <c r="D2750" s="15"/>
      <c r="E2750" s="15"/>
      <c r="F2750" s="15" t="s">
        <v>93</v>
      </c>
      <c r="G2750" s="15" t="s">
        <v>94</v>
      </c>
      <c r="H2750" s="15" t="s">
        <v>240</v>
      </c>
      <c r="I2750" s="15" t="s">
        <v>242</v>
      </c>
      <c r="J2750" s="16"/>
      <c r="K2750" s="17"/>
      <c r="L2750" s="17"/>
      <c r="M2750" s="17"/>
      <c r="N2750" s="17"/>
      <c r="O2750" s="18">
        <v>0.75001536894150977</v>
      </c>
      <c r="P2750" s="17"/>
      <c r="Q2750" t="s">
        <v>26</v>
      </c>
    </row>
    <row r="2751" spans="1:17" hidden="1" x14ac:dyDescent="0.25">
      <c r="A2751" s="7" t="s">
        <v>17</v>
      </c>
      <c r="B2751" s="15" t="s">
        <v>18</v>
      </c>
      <c r="C2751" s="7" t="s">
        <v>19</v>
      </c>
      <c r="D2751" s="15"/>
      <c r="E2751" s="15"/>
      <c r="F2751" s="15" t="s">
        <v>95</v>
      </c>
      <c r="G2751" s="15" t="s">
        <v>96</v>
      </c>
      <c r="H2751" s="15" t="s">
        <v>240</v>
      </c>
      <c r="I2751" s="15" t="s">
        <v>242</v>
      </c>
      <c r="J2751" s="16"/>
      <c r="K2751" s="17"/>
      <c r="L2751" s="17"/>
      <c r="M2751" s="17"/>
      <c r="N2751" s="17"/>
      <c r="O2751" s="18">
        <v>2.9547585340178943</v>
      </c>
      <c r="P2751" s="17"/>
      <c r="Q2751" t="s">
        <v>26</v>
      </c>
    </row>
    <row r="2752" spans="1:17" hidden="1" x14ac:dyDescent="0.25">
      <c r="A2752" s="7" t="s">
        <v>17</v>
      </c>
      <c r="B2752" s="15" t="s">
        <v>18</v>
      </c>
      <c r="C2752" s="7" t="s">
        <v>19</v>
      </c>
      <c r="D2752" s="15"/>
      <c r="E2752" s="15"/>
      <c r="F2752" s="15" t="s">
        <v>97</v>
      </c>
      <c r="G2752" s="15" t="s">
        <v>98</v>
      </c>
      <c r="H2752" s="15" t="s">
        <v>240</v>
      </c>
      <c r="I2752" s="15" t="s">
        <v>242</v>
      </c>
      <c r="J2752" s="16"/>
      <c r="K2752" s="17"/>
      <c r="L2752" s="17"/>
      <c r="M2752" s="17"/>
      <c r="N2752" s="17"/>
      <c r="O2752" s="18">
        <v>6.2312937959524728</v>
      </c>
      <c r="P2752" s="17"/>
      <c r="Q2752" t="s">
        <v>26</v>
      </c>
    </row>
    <row r="2753" spans="1:17" hidden="1" x14ac:dyDescent="0.25">
      <c r="A2753" s="7" t="s">
        <v>17</v>
      </c>
      <c r="B2753" s="15" t="s">
        <v>18</v>
      </c>
      <c r="C2753" s="7" t="s">
        <v>19</v>
      </c>
      <c r="D2753" s="15"/>
      <c r="E2753" s="15"/>
      <c r="F2753" s="15" t="s">
        <v>99</v>
      </c>
      <c r="G2753" s="15" t="s">
        <v>100</v>
      </c>
      <c r="H2753" s="15" t="s">
        <v>240</v>
      </c>
      <c r="I2753" s="15" t="s">
        <v>242</v>
      </c>
      <c r="J2753" s="16"/>
      <c r="K2753" s="17"/>
      <c r="L2753" s="17"/>
      <c r="M2753" s="17"/>
      <c r="N2753" s="17"/>
      <c r="O2753" s="18">
        <v>7.4775022185410238</v>
      </c>
      <c r="P2753" s="17"/>
      <c r="Q2753" t="s">
        <v>26</v>
      </c>
    </row>
    <row r="2754" spans="1:17" hidden="1" x14ac:dyDescent="0.25">
      <c r="A2754" s="7" t="s">
        <v>17</v>
      </c>
      <c r="B2754" s="15" t="s">
        <v>18</v>
      </c>
      <c r="C2754" s="7" t="s">
        <v>19</v>
      </c>
      <c r="D2754" s="15" t="s">
        <v>20</v>
      </c>
      <c r="E2754" s="15" t="s">
        <v>21</v>
      </c>
      <c r="F2754" s="15" t="s">
        <v>101</v>
      </c>
      <c r="G2754" s="15" t="s">
        <v>21</v>
      </c>
      <c r="H2754" s="15" t="s">
        <v>240</v>
      </c>
      <c r="I2754" s="15" t="s">
        <v>242</v>
      </c>
      <c r="J2754" s="16"/>
      <c r="K2754" s="17"/>
      <c r="L2754" s="17"/>
      <c r="M2754" s="17"/>
      <c r="N2754" s="17"/>
      <c r="O2754" s="18">
        <v>0.1635939563127454</v>
      </c>
      <c r="P2754" s="17"/>
      <c r="Q2754" t="s">
        <v>26</v>
      </c>
    </row>
    <row r="2755" spans="1:17" hidden="1" x14ac:dyDescent="0.25">
      <c r="A2755" s="7" t="s">
        <v>17</v>
      </c>
      <c r="B2755" s="15" t="s">
        <v>18</v>
      </c>
      <c r="C2755" s="7" t="s">
        <v>19</v>
      </c>
      <c r="D2755" s="15"/>
      <c r="E2755" s="15"/>
      <c r="F2755" s="15" t="s">
        <v>102</v>
      </c>
      <c r="G2755" s="15" t="s">
        <v>103</v>
      </c>
      <c r="H2755" s="15" t="s">
        <v>240</v>
      </c>
      <c r="I2755" s="15" t="s">
        <v>242</v>
      </c>
      <c r="J2755" s="16"/>
      <c r="K2755" s="17"/>
      <c r="L2755" s="17"/>
      <c r="M2755" s="17"/>
      <c r="N2755" s="17"/>
      <c r="O2755" s="18">
        <v>1.6913098252640757</v>
      </c>
      <c r="P2755" s="17"/>
      <c r="Q2755" t="s">
        <v>26</v>
      </c>
    </row>
    <row r="2756" spans="1:17" hidden="1" x14ac:dyDescent="0.25">
      <c r="A2756" s="7" t="s">
        <v>17</v>
      </c>
      <c r="B2756" s="15" t="s">
        <v>18</v>
      </c>
      <c r="C2756" s="7" t="s">
        <v>19</v>
      </c>
      <c r="D2756" s="15" t="s">
        <v>20</v>
      </c>
      <c r="E2756" s="15" t="s">
        <v>21</v>
      </c>
      <c r="F2756" s="15" t="s">
        <v>104</v>
      </c>
      <c r="G2756" s="15" t="s">
        <v>105</v>
      </c>
      <c r="H2756" s="15" t="s">
        <v>240</v>
      </c>
      <c r="I2756" s="15" t="s">
        <v>242</v>
      </c>
      <c r="J2756" s="16"/>
      <c r="K2756" s="17"/>
      <c r="L2756" s="17"/>
      <c r="M2756" s="17"/>
      <c r="N2756" s="17"/>
      <c r="O2756" s="18">
        <v>2.3624729072628421</v>
      </c>
      <c r="P2756" s="17"/>
      <c r="Q2756" t="s">
        <v>26</v>
      </c>
    </row>
    <row r="2757" spans="1:17" hidden="1" x14ac:dyDescent="0.25">
      <c r="A2757" s="7" t="s">
        <v>17</v>
      </c>
      <c r="B2757" s="15" t="s">
        <v>18</v>
      </c>
      <c r="C2757" s="7" t="s">
        <v>19</v>
      </c>
      <c r="D2757" s="15"/>
      <c r="E2757" s="15"/>
      <c r="F2757" s="15" t="s">
        <v>106</v>
      </c>
      <c r="G2757" s="15" t="s">
        <v>107</v>
      </c>
      <c r="H2757" s="15" t="s">
        <v>240</v>
      </c>
      <c r="I2757" s="15" t="s">
        <v>242</v>
      </c>
      <c r="J2757" s="16"/>
      <c r="K2757" s="17"/>
      <c r="L2757" s="17"/>
      <c r="M2757" s="17"/>
      <c r="N2757" s="17"/>
      <c r="O2757" s="18">
        <v>4.4219949757354504</v>
      </c>
      <c r="P2757" s="17"/>
      <c r="Q2757" t="s">
        <v>26</v>
      </c>
    </row>
    <row r="2758" spans="1:17" hidden="1" x14ac:dyDescent="0.25">
      <c r="A2758" s="7" t="s">
        <v>17</v>
      </c>
      <c r="B2758" s="15" t="s">
        <v>18</v>
      </c>
      <c r="C2758" s="7" t="s">
        <v>19</v>
      </c>
      <c r="D2758" s="15"/>
      <c r="E2758" s="15"/>
      <c r="F2758" s="15" t="s">
        <v>108</v>
      </c>
      <c r="G2758" s="15" t="s">
        <v>109</v>
      </c>
      <c r="H2758" s="15" t="s">
        <v>240</v>
      </c>
      <c r="I2758" s="15" t="s">
        <v>242</v>
      </c>
      <c r="J2758" s="16"/>
      <c r="K2758" s="17"/>
      <c r="L2758" s="17"/>
      <c r="M2758" s="17"/>
      <c r="N2758" s="17"/>
      <c r="O2758" s="18">
        <v>2.1846085242994313</v>
      </c>
      <c r="P2758" s="17"/>
      <c r="Q2758" t="s">
        <v>26</v>
      </c>
    </row>
    <row r="2759" spans="1:17" hidden="1" x14ac:dyDescent="0.25">
      <c r="A2759" s="7" t="s">
        <v>17</v>
      </c>
      <c r="B2759" s="15" t="s">
        <v>18</v>
      </c>
      <c r="C2759" s="7" t="s">
        <v>19</v>
      </c>
      <c r="D2759" s="15"/>
      <c r="E2759" s="15"/>
      <c r="F2759" s="15" t="s">
        <v>110</v>
      </c>
      <c r="G2759" s="15" t="s">
        <v>111</v>
      </c>
      <c r="H2759" s="15" t="s">
        <v>240</v>
      </c>
      <c r="I2759" s="15" t="s">
        <v>242</v>
      </c>
      <c r="J2759" s="16"/>
      <c r="K2759" s="17"/>
      <c r="L2759" s="17"/>
      <c r="M2759" s="17"/>
      <c r="N2759" s="17"/>
      <c r="O2759" s="18">
        <v>2.7574390544037519</v>
      </c>
      <c r="P2759" s="17"/>
      <c r="Q2759" t="s">
        <v>26</v>
      </c>
    </row>
    <row r="2760" spans="1:17" hidden="1" x14ac:dyDescent="0.25">
      <c r="A2760" s="7" t="s">
        <v>17</v>
      </c>
      <c r="B2760" s="15" t="s">
        <v>18</v>
      </c>
      <c r="C2760" s="7" t="s">
        <v>19</v>
      </c>
      <c r="D2760" s="15" t="s">
        <v>20</v>
      </c>
      <c r="E2760" s="15" t="s">
        <v>21</v>
      </c>
      <c r="F2760" s="15" t="s">
        <v>112</v>
      </c>
      <c r="G2760" s="15" t="s">
        <v>113</v>
      </c>
      <c r="H2760" s="15" t="s">
        <v>240</v>
      </c>
      <c r="I2760" s="15" t="s">
        <v>242</v>
      </c>
      <c r="J2760" s="16"/>
      <c r="K2760" s="17"/>
      <c r="L2760" s="17"/>
      <c r="M2760" s="17"/>
      <c r="N2760" s="17"/>
      <c r="O2760" s="18">
        <v>4.497575383551939</v>
      </c>
      <c r="P2760" s="17"/>
      <c r="Q2760" t="s">
        <v>26</v>
      </c>
    </row>
    <row r="2761" spans="1:17" hidden="1" x14ac:dyDescent="0.25">
      <c r="A2761" s="7" t="s">
        <v>17</v>
      </c>
      <c r="B2761" s="15" t="s">
        <v>18</v>
      </c>
      <c r="C2761" s="7" t="s">
        <v>19</v>
      </c>
      <c r="D2761" s="15" t="s">
        <v>20</v>
      </c>
      <c r="E2761" s="15" t="s">
        <v>21</v>
      </c>
      <c r="F2761" s="15" t="s">
        <v>114</v>
      </c>
      <c r="G2761" s="15" t="s">
        <v>115</v>
      </c>
      <c r="H2761" s="15" t="s">
        <v>240</v>
      </c>
      <c r="I2761" s="15" t="s">
        <v>242</v>
      </c>
      <c r="J2761" s="16"/>
      <c r="K2761" s="17"/>
      <c r="L2761" s="17"/>
      <c r="M2761" s="17"/>
      <c r="N2761" s="17"/>
      <c r="O2761" s="18">
        <v>1.7617810679834117E-2</v>
      </c>
      <c r="P2761" s="17"/>
      <c r="Q2761" t="s">
        <v>26</v>
      </c>
    </row>
    <row r="2762" spans="1:17" hidden="1" x14ac:dyDescent="0.25">
      <c r="A2762" s="7" t="s">
        <v>17</v>
      </c>
      <c r="B2762" s="15" t="s">
        <v>18</v>
      </c>
      <c r="C2762" s="7" t="s">
        <v>19</v>
      </c>
      <c r="D2762" s="15" t="s">
        <v>20</v>
      </c>
      <c r="E2762" s="15" t="s">
        <v>21</v>
      </c>
      <c r="F2762" s="15" t="s">
        <v>116</v>
      </c>
      <c r="G2762" s="15" t="s">
        <v>117</v>
      </c>
      <c r="H2762" s="15" t="s">
        <v>240</v>
      </c>
      <c r="I2762" s="15" t="s">
        <v>242</v>
      </c>
      <c r="J2762" s="16"/>
      <c r="K2762" s="17"/>
      <c r="L2762" s="17"/>
      <c r="M2762" s="17"/>
      <c r="N2762" s="17"/>
      <c r="O2762" s="18">
        <v>0.17617810679834123</v>
      </c>
      <c r="P2762" s="17"/>
      <c r="Q2762" t="s">
        <v>26</v>
      </c>
    </row>
    <row r="2763" spans="1:17" hidden="1" x14ac:dyDescent="0.25">
      <c r="A2763" s="7" t="s">
        <v>17</v>
      </c>
      <c r="B2763" s="15" t="s">
        <v>18</v>
      </c>
      <c r="C2763" s="7" t="s">
        <v>19</v>
      </c>
      <c r="D2763" s="15" t="s">
        <v>20</v>
      </c>
      <c r="E2763" s="15" t="s">
        <v>21</v>
      </c>
      <c r="F2763" s="15" t="s">
        <v>118</v>
      </c>
      <c r="G2763" s="15" t="s">
        <v>119</v>
      </c>
      <c r="H2763" s="15" t="s">
        <v>240</v>
      </c>
      <c r="I2763" s="15" t="s">
        <v>242</v>
      </c>
      <c r="J2763" s="16"/>
      <c r="K2763" s="17"/>
      <c r="L2763" s="17"/>
      <c r="M2763" s="17"/>
      <c r="N2763" s="17"/>
      <c r="O2763" s="18">
        <v>0.77921059806809201</v>
      </c>
      <c r="P2763" s="17"/>
      <c r="Q2763" t="s">
        <v>26</v>
      </c>
    </row>
    <row r="2764" spans="1:17" hidden="1" x14ac:dyDescent="0.25">
      <c r="A2764" s="7" t="s">
        <v>17</v>
      </c>
      <c r="B2764" s="15" t="s">
        <v>18</v>
      </c>
      <c r="C2764" s="7" t="s">
        <v>19</v>
      </c>
      <c r="D2764" s="15" t="s">
        <v>20</v>
      </c>
      <c r="E2764" s="15" t="s">
        <v>21</v>
      </c>
      <c r="F2764" s="15" t="s">
        <v>120</v>
      </c>
      <c r="G2764" s="15" t="s">
        <v>121</v>
      </c>
      <c r="H2764" s="15" t="s">
        <v>240</v>
      </c>
      <c r="I2764" s="15" t="s">
        <v>242</v>
      </c>
      <c r="J2764" s="16"/>
      <c r="K2764" s="17"/>
      <c r="L2764" s="17"/>
      <c r="M2764" s="17"/>
      <c r="N2764" s="17"/>
      <c r="O2764" s="18">
        <v>3.1435207913018308</v>
      </c>
      <c r="P2764" s="17"/>
      <c r="Q2764" t="s">
        <v>26</v>
      </c>
    </row>
    <row r="2765" spans="1:17" hidden="1" x14ac:dyDescent="0.25">
      <c r="A2765" s="7" t="s">
        <v>17</v>
      </c>
      <c r="B2765" s="15" t="s">
        <v>18</v>
      </c>
      <c r="C2765" s="7" t="s">
        <v>19</v>
      </c>
      <c r="D2765" s="15"/>
      <c r="E2765" s="15"/>
      <c r="F2765" s="15" t="s">
        <v>122</v>
      </c>
      <c r="G2765" s="15" t="s">
        <v>123</v>
      </c>
      <c r="H2765" s="15" t="s">
        <v>240</v>
      </c>
      <c r="I2765" s="15" t="s">
        <v>242</v>
      </c>
      <c r="J2765" s="16"/>
      <c r="K2765" s="17"/>
      <c r="L2765" s="17"/>
      <c r="M2765" s="17"/>
      <c r="N2765" s="17"/>
      <c r="O2765" s="18">
        <v>3.2517444854779547</v>
      </c>
      <c r="P2765" s="17"/>
      <c r="Q2765" t="s">
        <v>26</v>
      </c>
    </row>
    <row r="2766" spans="1:17" hidden="1" x14ac:dyDescent="0.25">
      <c r="A2766" s="7" t="s">
        <v>17</v>
      </c>
      <c r="B2766" s="15" t="s">
        <v>18</v>
      </c>
      <c r="C2766" s="7" t="s">
        <v>19</v>
      </c>
      <c r="D2766" s="15"/>
      <c r="E2766" s="15"/>
      <c r="F2766" s="15" t="s">
        <v>124</v>
      </c>
      <c r="G2766" s="15" t="s">
        <v>125</v>
      </c>
      <c r="H2766" s="15" t="s">
        <v>240</v>
      </c>
      <c r="I2766" s="15" t="s">
        <v>242</v>
      </c>
      <c r="J2766" s="16"/>
      <c r="K2766" s="17"/>
      <c r="L2766" s="17"/>
      <c r="M2766" s="17"/>
      <c r="N2766" s="17"/>
      <c r="O2766" s="18">
        <v>1.6887929951669562</v>
      </c>
      <c r="P2766" s="17"/>
      <c r="Q2766" t="s">
        <v>26</v>
      </c>
    </row>
    <row r="2767" spans="1:17" hidden="1" x14ac:dyDescent="0.25">
      <c r="A2767" s="7" t="s">
        <v>17</v>
      </c>
      <c r="B2767" s="15" t="s">
        <v>18</v>
      </c>
      <c r="C2767" s="7" t="s">
        <v>19</v>
      </c>
      <c r="D2767" s="15" t="s">
        <v>20</v>
      </c>
      <c r="E2767" s="15" t="s">
        <v>21</v>
      </c>
      <c r="F2767" s="15" t="s">
        <v>22</v>
      </c>
      <c r="G2767" s="15" t="s">
        <v>23</v>
      </c>
      <c r="H2767" s="15" t="s">
        <v>143</v>
      </c>
      <c r="I2767" s="15" t="s">
        <v>243</v>
      </c>
      <c r="J2767" s="16">
        <v>0</v>
      </c>
      <c r="K2767" s="17">
        <v>0</v>
      </c>
      <c r="L2767" s="17">
        <v>0</v>
      </c>
      <c r="M2767" s="17">
        <v>0</v>
      </c>
      <c r="N2767" s="17">
        <v>0</v>
      </c>
      <c r="O2767" s="18">
        <v>0</v>
      </c>
      <c r="P2767" s="17">
        <v>0</v>
      </c>
      <c r="Q2767" t="s">
        <v>26</v>
      </c>
    </row>
    <row r="2768" spans="1:17" hidden="1" x14ac:dyDescent="0.25">
      <c r="A2768" s="7" t="s">
        <v>17</v>
      </c>
      <c r="B2768" s="15" t="s">
        <v>18</v>
      </c>
      <c r="C2768" s="7" t="s">
        <v>19</v>
      </c>
      <c r="D2768" s="15"/>
      <c r="E2768" s="15"/>
      <c r="F2768" s="15" t="s">
        <v>27</v>
      </c>
      <c r="G2768" s="15" t="s">
        <v>28</v>
      </c>
      <c r="H2768" s="15" t="s">
        <v>143</v>
      </c>
      <c r="I2768" s="15" t="s">
        <v>243</v>
      </c>
      <c r="J2768" s="16">
        <v>1.1471811544685786</v>
      </c>
      <c r="K2768" s="17">
        <v>1.0941558123698378</v>
      </c>
      <c r="L2768" s="17">
        <v>4.5472181317324084E-2</v>
      </c>
      <c r="M2768" s="17">
        <v>6.0213429628452406</v>
      </c>
      <c r="N2768" s="17">
        <v>0.31291436137854178</v>
      </c>
      <c r="O2768" s="18">
        <v>0.42361705052702314</v>
      </c>
      <c r="P2768" s="17">
        <v>0.12045652046357451</v>
      </c>
      <c r="Q2768" t="s">
        <v>26</v>
      </c>
    </row>
    <row r="2769" spans="1:17" hidden="1" x14ac:dyDescent="0.25">
      <c r="A2769" s="7" t="s">
        <v>17</v>
      </c>
      <c r="B2769" s="15" t="s">
        <v>18</v>
      </c>
      <c r="C2769" s="7" t="s">
        <v>19</v>
      </c>
      <c r="D2769" s="15"/>
      <c r="E2769" s="15"/>
      <c r="F2769" s="15" t="s">
        <v>29</v>
      </c>
      <c r="G2769" s="15" t="s">
        <v>30</v>
      </c>
      <c r="H2769" s="15" t="s">
        <v>143</v>
      </c>
      <c r="I2769" s="15" t="s">
        <v>243</v>
      </c>
      <c r="J2769" s="16">
        <v>0.17605879641054933</v>
      </c>
      <c r="K2769" s="17">
        <v>0.16807109610567411</v>
      </c>
      <c r="L2769" s="17">
        <v>5.9290146592888456E-3</v>
      </c>
      <c r="M2769" s="17">
        <v>0.76583106015814262</v>
      </c>
      <c r="N2769" s="17">
        <v>4.4714652222136719E-2</v>
      </c>
      <c r="O2769" s="18">
        <v>5.0726014307249018E-2</v>
      </c>
      <c r="P2769" s="17">
        <v>1.5316621203162855E-2</v>
      </c>
      <c r="Q2769" t="s">
        <v>26</v>
      </c>
    </row>
    <row r="2770" spans="1:17" hidden="1" x14ac:dyDescent="0.25">
      <c r="A2770" s="7" t="s">
        <v>17</v>
      </c>
      <c r="B2770" s="15" t="s">
        <v>18</v>
      </c>
      <c r="C2770" s="7" t="s">
        <v>19</v>
      </c>
      <c r="D2770" s="15"/>
      <c r="E2770" s="15"/>
      <c r="F2770" s="15" t="s">
        <v>31</v>
      </c>
      <c r="G2770" s="15" t="s">
        <v>32</v>
      </c>
      <c r="H2770" s="15" t="s">
        <v>143</v>
      </c>
      <c r="I2770" s="15" t="s">
        <v>243</v>
      </c>
      <c r="J2770" s="16">
        <v>0</v>
      </c>
      <c r="K2770" s="17">
        <v>0</v>
      </c>
      <c r="L2770" s="17">
        <v>0</v>
      </c>
      <c r="M2770" s="17">
        <v>0</v>
      </c>
      <c r="N2770" s="17">
        <v>0</v>
      </c>
      <c r="O2770" s="18">
        <v>0</v>
      </c>
      <c r="P2770" s="17">
        <v>0</v>
      </c>
      <c r="Q2770" t="s">
        <v>26</v>
      </c>
    </row>
    <row r="2771" spans="1:17" hidden="1" x14ac:dyDescent="0.25">
      <c r="A2771" s="7" t="s">
        <v>17</v>
      </c>
      <c r="B2771" s="15" t="s">
        <v>18</v>
      </c>
      <c r="C2771" s="7" t="s">
        <v>19</v>
      </c>
      <c r="D2771" s="15"/>
      <c r="E2771" s="15"/>
      <c r="F2771" s="15" t="s">
        <v>33</v>
      </c>
      <c r="G2771" s="15" t="s">
        <v>34</v>
      </c>
      <c r="H2771" s="15" t="s">
        <v>143</v>
      </c>
      <c r="I2771" s="15" t="s">
        <v>243</v>
      </c>
      <c r="J2771" s="16">
        <v>2.2032224302658614</v>
      </c>
      <c r="K2771" s="17">
        <v>2.1031943698642066</v>
      </c>
      <c r="L2771" s="17">
        <v>8.9988229194251576E-2</v>
      </c>
      <c r="M2771" s="17">
        <v>12.747308632436644</v>
      </c>
      <c r="N2771" s="17">
        <v>0.62137396565951353</v>
      </c>
      <c r="O2771" s="18">
        <v>1.0021717479423395</v>
      </c>
      <c r="P2771" s="17">
        <v>0.25498676638368289</v>
      </c>
      <c r="Q2771" t="s">
        <v>26</v>
      </c>
    </row>
    <row r="2772" spans="1:17" hidden="1" x14ac:dyDescent="0.25">
      <c r="A2772" s="7" t="s">
        <v>17</v>
      </c>
      <c r="B2772" s="15" t="s">
        <v>18</v>
      </c>
      <c r="C2772" s="7" t="s">
        <v>19</v>
      </c>
      <c r="D2772" s="15" t="s">
        <v>20</v>
      </c>
      <c r="E2772" s="15" t="s">
        <v>21</v>
      </c>
      <c r="F2772" s="15" t="s">
        <v>35</v>
      </c>
      <c r="G2772" s="15" t="s">
        <v>36</v>
      </c>
      <c r="H2772" s="15" t="s">
        <v>143</v>
      </c>
      <c r="I2772" s="15" t="s">
        <v>243</v>
      </c>
      <c r="J2772" s="16">
        <v>0</v>
      </c>
      <c r="K2772" s="17">
        <v>0</v>
      </c>
      <c r="L2772" s="17">
        <v>0</v>
      </c>
      <c r="M2772" s="17">
        <v>0</v>
      </c>
      <c r="N2772" s="17">
        <v>0</v>
      </c>
      <c r="O2772" s="18">
        <v>0</v>
      </c>
      <c r="P2772" s="17">
        <v>0</v>
      </c>
      <c r="Q2772" t="s">
        <v>26</v>
      </c>
    </row>
    <row r="2773" spans="1:17" hidden="1" x14ac:dyDescent="0.25">
      <c r="A2773" s="7" t="s">
        <v>17</v>
      </c>
      <c r="B2773" s="15" t="s">
        <v>18</v>
      </c>
      <c r="C2773" s="7" t="s">
        <v>19</v>
      </c>
      <c r="D2773" s="15"/>
      <c r="E2773" s="15"/>
      <c r="F2773" s="15" t="s">
        <v>37</v>
      </c>
      <c r="G2773" s="15" t="s">
        <v>38</v>
      </c>
      <c r="H2773" s="15" t="s">
        <v>143</v>
      </c>
      <c r="I2773" s="15" t="s">
        <v>243</v>
      </c>
      <c r="J2773" s="16">
        <v>2.5763074205353971</v>
      </c>
      <c r="K2773" s="17">
        <v>2.479072068138926</v>
      </c>
      <c r="L2773" s="17">
        <v>7.9252531148285316E-2</v>
      </c>
      <c r="M2773" s="17">
        <v>17.151095721117024</v>
      </c>
      <c r="N2773" s="17">
        <v>0.75166125607594025</v>
      </c>
      <c r="O2773" s="18">
        <v>1.9595510170357051</v>
      </c>
      <c r="P2773" s="17">
        <v>0.34284640919856407</v>
      </c>
      <c r="Q2773" t="s">
        <v>26</v>
      </c>
    </row>
    <row r="2774" spans="1:17" hidden="1" x14ac:dyDescent="0.25">
      <c r="A2774" s="7" t="s">
        <v>17</v>
      </c>
      <c r="B2774" s="15" t="s">
        <v>18</v>
      </c>
      <c r="C2774" s="7" t="s">
        <v>19</v>
      </c>
      <c r="D2774" s="15"/>
      <c r="E2774" s="15"/>
      <c r="F2774" s="15" t="s">
        <v>39</v>
      </c>
      <c r="G2774" s="15" t="s">
        <v>40</v>
      </c>
      <c r="H2774" s="15" t="s">
        <v>143</v>
      </c>
      <c r="I2774" s="15" t="s">
        <v>243</v>
      </c>
      <c r="J2774" s="16">
        <v>2.7029170069452435E-2</v>
      </c>
      <c r="K2774" s="17">
        <v>2.5719022524601249E-2</v>
      </c>
      <c r="L2774" s="17">
        <v>7.7900664828989556E-4</v>
      </c>
      <c r="M2774" s="17">
        <v>0.17756630328595741</v>
      </c>
      <c r="N2774" s="17">
        <v>5.877959255278304E-3</v>
      </c>
      <c r="O2774" s="18">
        <v>1.3443766248518048E-2</v>
      </c>
      <c r="P2774" s="17">
        <v>3.5527424414433114E-3</v>
      </c>
      <c r="Q2774" t="s">
        <v>26</v>
      </c>
    </row>
    <row r="2775" spans="1:17" hidden="1" x14ac:dyDescent="0.25">
      <c r="A2775" s="7" t="s">
        <v>17</v>
      </c>
      <c r="B2775" s="15" t="s">
        <v>18</v>
      </c>
      <c r="C2775" s="7" t="s">
        <v>19</v>
      </c>
      <c r="D2775" s="15" t="s">
        <v>20</v>
      </c>
      <c r="E2775" s="15" t="s">
        <v>21</v>
      </c>
      <c r="F2775" s="15" t="s">
        <v>41</v>
      </c>
      <c r="G2775" s="15" t="s">
        <v>42</v>
      </c>
      <c r="H2775" s="15" t="s">
        <v>143</v>
      </c>
      <c r="I2775" s="15" t="s">
        <v>243</v>
      </c>
      <c r="J2775" s="16">
        <v>2.9695714268828253</v>
      </c>
      <c r="K2775" s="17">
        <v>2.8215691869129249</v>
      </c>
      <c r="L2775" s="17">
        <v>0.20115672720044811</v>
      </c>
      <c r="M2775" s="17">
        <v>28.684591891797446</v>
      </c>
      <c r="N2775" s="17">
        <v>1.0794350408945228</v>
      </c>
      <c r="O2775" s="18">
        <v>2.3264783481091849</v>
      </c>
      <c r="P2775" s="17">
        <v>0.5741188659409282</v>
      </c>
      <c r="Q2775" t="s">
        <v>26</v>
      </c>
    </row>
    <row r="2776" spans="1:17" hidden="1" x14ac:dyDescent="0.25">
      <c r="A2776" s="7" t="s">
        <v>17</v>
      </c>
      <c r="B2776" s="15" t="s">
        <v>18</v>
      </c>
      <c r="C2776" s="7" t="s">
        <v>19</v>
      </c>
      <c r="D2776" s="15" t="s">
        <v>20</v>
      </c>
      <c r="E2776" s="15" t="s">
        <v>21</v>
      </c>
      <c r="F2776" s="15" t="s">
        <v>43</v>
      </c>
      <c r="G2776" s="15" t="s">
        <v>44</v>
      </c>
      <c r="H2776" s="15" t="s">
        <v>143</v>
      </c>
      <c r="I2776" s="15" t="s">
        <v>243</v>
      </c>
      <c r="J2776" s="16">
        <v>0</v>
      </c>
      <c r="K2776" s="17">
        <v>0</v>
      </c>
      <c r="L2776" s="17">
        <v>0</v>
      </c>
      <c r="M2776" s="17">
        <v>0</v>
      </c>
      <c r="N2776" s="17">
        <v>0</v>
      </c>
      <c r="O2776" s="18">
        <v>0</v>
      </c>
      <c r="P2776" s="17">
        <v>0</v>
      </c>
      <c r="Q2776" t="s">
        <v>26</v>
      </c>
    </row>
    <row r="2777" spans="1:17" hidden="1" x14ac:dyDescent="0.25">
      <c r="A2777" s="7" t="s">
        <v>17</v>
      </c>
      <c r="B2777" s="15" t="s">
        <v>18</v>
      </c>
      <c r="C2777" s="7" t="s">
        <v>19</v>
      </c>
      <c r="D2777" s="15"/>
      <c r="E2777" s="15"/>
      <c r="F2777" s="15" t="s">
        <v>45</v>
      </c>
      <c r="G2777" s="15" t="s">
        <v>46</v>
      </c>
      <c r="H2777" s="15" t="s">
        <v>143</v>
      </c>
      <c r="I2777" s="15" t="s">
        <v>243</v>
      </c>
      <c r="J2777" s="16">
        <v>2.5113679539022238</v>
      </c>
      <c r="K2777" s="17">
        <v>2.3944816985160098</v>
      </c>
      <c r="L2777" s="17">
        <v>0.1041242754067233</v>
      </c>
      <c r="M2777" s="17">
        <v>14.036900124651186</v>
      </c>
      <c r="N2777" s="17">
        <v>0.70275305521842057</v>
      </c>
      <c r="O2777" s="18">
        <v>1.0071824918914201</v>
      </c>
      <c r="P2777" s="17">
        <v>0.28082379080883618</v>
      </c>
      <c r="Q2777" t="s">
        <v>26</v>
      </c>
    </row>
    <row r="2778" spans="1:17" hidden="1" x14ac:dyDescent="0.25">
      <c r="A2778" s="7" t="s">
        <v>17</v>
      </c>
      <c r="B2778" s="15" t="s">
        <v>18</v>
      </c>
      <c r="C2778" s="7" t="s">
        <v>19</v>
      </c>
      <c r="D2778" s="15" t="s">
        <v>20</v>
      </c>
      <c r="E2778" s="15" t="s">
        <v>21</v>
      </c>
      <c r="F2778" s="15" t="s">
        <v>47</v>
      </c>
      <c r="G2778" s="15" t="s">
        <v>48</v>
      </c>
      <c r="H2778" s="15" t="s">
        <v>143</v>
      </c>
      <c r="I2778" s="15" t="s">
        <v>243</v>
      </c>
      <c r="J2778" s="16">
        <v>0</v>
      </c>
      <c r="K2778" s="17">
        <v>0</v>
      </c>
      <c r="L2778" s="17">
        <v>0</v>
      </c>
      <c r="M2778" s="17">
        <v>0</v>
      </c>
      <c r="N2778" s="17">
        <v>0</v>
      </c>
      <c r="O2778" s="18">
        <v>0</v>
      </c>
      <c r="P2778" s="17">
        <v>0</v>
      </c>
      <c r="Q2778" t="s">
        <v>26</v>
      </c>
    </row>
    <row r="2779" spans="1:17" hidden="1" x14ac:dyDescent="0.25">
      <c r="A2779" s="7" t="s">
        <v>17</v>
      </c>
      <c r="B2779" s="15" t="s">
        <v>18</v>
      </c>
      <c r="C2779" s="7" t="s">
        <v>19</v>
      </c>
      <c r="D2779" s="15"/>
      <c r="E2779" s="15"/>
      <c r="F2779" s="15" t="s">
        <v>49</v>
      </c>
      <c r="G2779" s="15" t="s">
        <v>50</v>
      </c>
      <c r="H2779" s="15" t="s">
        <v>143</v>
      </c>
      <c r="I2779" s="15" t="s">
        <v>243</v>
      </c>
      <c r="J2779" s="16">
        <v>1.5222438323539598</v>
      </c>
      <c r="K2779" s="17">
        <v>1.4531215851783859</v>
      </c>
      <c r="L2779" s="17">
        <v>5.1674656652735226E-2</v>
      </c>
      <c r="M2779" s="17">
        <v>6.6835296034127172</v>
      </c>
      <c r="N2779" s="17">
        <v>0.38790863263268233</v>
      </c>
      <c r="O2779" s="18">
        <v>0.44418360582158212</v>
      </c>
      <c r="P2779" s="17">
        <v>0.13367237480599545</v>
      </c>
      <c r="Q2779" t="s">
        <v>26</v>
      </c>
    </row>
    <row r="2780" spans="1:17" hidden="1" x14ac:dyDescent="0.25">
      <c r="A2780" s="7" t="s">
        <v>17</v>
      </c>
      <c r="B2780" s="15" t="s">
        <v>18</v>
      </c>
      <c r="C2780" s="7" t="s">
        <v>19</v>
      </c>
      <c r="D2780" s="15"/>
      <c r="E2780" s="15"/>
      <c r="F2780" s="15" t="s">
        <v>51</v>
      </c>
      <c r="G2780" s="15" t="s">
        <v>52</v>
      </c>
      <c r="H2780" s="15" t="s">
        <v>143</v>
      </c>
      <c r="I2780" s="15" t="s">
        <v>243</v>
      </c>
      <c r="J2780" s="16">
        <v>2.6927470102261957</v>
      </c>
      <c r="K2780" s="17">
        <v>2.5930156394770774</v>
      </c>
      <c r="L2780" s="17">
        <v>8.6722931086189892E-2</v>
      </c>
      <c r="M2780" s="17">
        <v>16.815576337612217</v>
      </c>
      <c r="N2780" s="17">
        <v>0.78917867288432786</v>
      </c>
      <c r="O2780" s="18">
        <v>1.9772828287651294</v>
      </c>
      <c r="P2780" s="17">
        <v>0.33605135795898577</v>
      </c>
      <c r="Q2780" t="s">
        <v>26</v>
      </c>
    </row>
    <row r="2781" spans="1:17" hidden="1" x14ac:dyDescent="0.25">
      <c r="A2781" s="7" t="s">
        <v>17</v>
      </c>
      <c r="B2781" s="15" t="s">
        <v>18</v>
      </c>
      <c r="C2781" s="7" t="s">
        <v>19</v>
      </c>
      <c r="D2781" s="15"/>
      <c r="E2781" s="15"/>
      <c r="F2781" s="15" t="s">
        <v>53</v>
      </c>
      <c r="G2781" s="15" t="s">
        <v>54</v>
      </c>
      <c r="H2781" s="15" t="s">
        <v>143</v>
      </c>
      <c r="I2781" s="15" t="s">
        <v>243</v>
      </c>
      <c r="J2781" s="16">
        <v>0.22112146453943995</v>
      </c>
      <c r="K2781" s="17">
        <v>0.21108929332319784</v>
      </c>
      <c r="L2781" s="17">
        <v>7.4465600780353955E-3</v>
      </c>
      <c r="M2781" s="17">
        <v>0.96184734341290534</v>
      </c>
      <c r="N2781" s="17">
        <v>5.6159473921850278E-2</v>
      </c>
      <c r="O2781" s="18">
        <v>6.3709458445413938E-2</v>
      </c>
      <c r="P2781" s="17">
        <v>1.9236946868258109E-2</v>
      </c>
      <c r="Q2781" t="s">
        <v>26</v>
      </c>
    </row>
    <row r="2782" spans="1:17" hidden="1" x14ac:dyDescent="0.25">
      <c r="A2782" s="7" t="s">
        <v>17</v>
      </c>
      <c r="B2782" s="15" t="s">
        <v>18</v>
      </c>
      <c r="C2782" s="7" t="s">
        <v>19</v>
      </c>
      <c r="D2782" s="15"/>
      <c r="E2782" s="15"/>
      <c r="F2782" s="15" t="s">
        <v>55</v>
      </c>
      <c r="G2782" s="15" t="s">
        <v>56</v>
      </c>
      <c r="H2782" s="15" t="s">
        <v>143</v>
      </c>
      <c r="I2782" s="15" t="s">
        <v>243</v>
      </c>
      <c r="J2782" s="16">
        <v>0.32480211139560294</v>
      </c>
      <c r="K2782" s="17">
        <v>0.30970681990633697</v>
      </c>
      <c r="L2782" s="17">
        <v>1.3449183252652147E-2</v>
      </c>
      <c r="M2782" s="17">
        <v>1.7914699293490002</v>
      </c>
      <c r="N2782" s="17">
        <v>9.0406886027977598E-2</v>
      </c>
      <c r="O2782" s="18">
        <v>0.12776018254941054</v>
      </c>
      <c r="P2782" s="17">
        <v>3.584028861390523E-2</v>
      </c>
      <c r="Q2782" t="s">
        <v>26</v>
      </c>
    </row>
    <row r="2783" spans="1:17" hidden="1" x14ac:dyDescent="0.25">
      <c r="A2783" s="7" t="s">
        <v>17</v>
      </c>
      <c r="B2783" s="15" t="s">
        <v>18</v>
      </c>
      <c r="C2783" s="7" t="s">
        <v>19</v>
      </c>
      <c r="D2783" s="15"/>
      <c r="E2783" s="15"/>
      <c r="F2783" s="15" t="s">
        <v>57</v>
      </c>
      <c r="G2783" s="15" t="s">
        <v>58</v>
      </c>
      <c r="H2783" s="15" t="s">
        <v>143</v>
      </c>
      <c r="I2783" s="15" t="s">
        <v>243</v>
      </c>
      <c r="J2783" s="16">
        <v>5.5143686854070131</v>
      </c>
      <c r="K2783" s="17">
        <v>5.2769370093863408</v>
      </c>
      <c r="L2783" s="17">
        <v>0.16881545004220602</v>
      </c>
      <c r="M2783" s="17">
        <v>35.699195517290633</v>
      </c>
      <c r="N2783" s="17">
        <v>1.4104800361049208</v>
      </c>
      <c r="O2783" s="18">
        <v>3.4011233740991376</v>
      </c>
      <c r="P2783" s="17">
        <v>0.71388221342902469</v>
      </c>
      <c r="Q2783" t="s">
        <v>26</v>
      </c>
    </row>
    <row r="2784" spans="1:17" hidden="1" x14ac:dyDescent="0.25">
      <c r="A2784" s="7" t="s">
        <v>17</v>
      </c>
      <c r="B2784" s="15" t="s">
        <v>18</v>
      </c>
      <c r="C2784" s="7" t="s">
        <v>19</v>
      </c>
      <c r="D2784" s="15" t="s">
        <v>20</v>
      </c>
      <c r="E2784" s="15" t="s">
        <v>21</v>
      </c>
      <c r="F2784" s="15" t="s">
        <v>59</v>
      </c>
      <c r="G2784" s="15" t="s">
        <v>60</v>
      </c>
      <c r="H2784" s="15" t="s">
        <v>143</v>
      </c>
      <c r="I2784" s="15" t="s">
        <v>243</v>
      </c>
      <c r="J2784" s="16">
        <v>6.0188517795562446E-2</v>
      </c>
      <c r="K2784" s="17">
        <v>5.7388477881817425E-2</v>
      </c>
      <c r="L2784" s="17">
        <v>1.9014726457714523E-3</v>
      </c>
      <c r="M2784" s="17">
        <v>0.32059151609615916</v>
      </c>
      <c r="N2784" s="17">
        <v>1.4401717774428304E-2</v>
      </c>
      <c r="O2784" s="18">
        <v>2.3195944453042454E-2</v>
      </c>
      <c r="P2784" s="17">
        <v>6.4130528282791222E-3</v>
      </c>
      <c r="Q2784" t="s">
        <v>26</v>
      </c>
    </row>
    <row r="2785" spans="1:17" hidden="1" x14ac:dyDescent="0.25">
      <c r="A2785" s="7" t="s">
        <v>17</v>
      </c>
      <c r="B2785" s="15" t="s">
        <v>18</v>
      </c>
      <c r="C2785" s="7" t="s">
        <v>19</v>
      </c>
      <c r="D2785" s="15" t="s">
        <v>20</v>
      </c>
      <c r="E2785" s="15" t="s">
        <v>21</v>
      </c>
      <c r="F2785" s="7" t="s">
        <v>61</v>
      </c>
      <c r="G2785" s="15" t="s">
        <v>62</v>
      </c>
      <c r="H2785" s="15" t="s">
        <v>143</v>
      </c>
      <c r="I2785" s="15" t="s">
        <v>243</v>
      </c>
      <c r="J2785" s="16">
        <v>0</v>
      </c>
      <c r="K2785" s="17">
        <v>0</v>
      </c>
      <c r="L2785" s="17">
        <v>0</v>
      </c>
      <c r="M2785" s="17">
        <v>0</v>
      </c>
      <c r="N2785" s="17">
        <v>0</v>
      </c>
      <c r="O2785" s="18">
        <v>0</v>
      </c>
      <c r="P2785" s="17">
        <v>0</v>
      </c>
      <c r="Q2785" t="s">
        <v>26</v>
      </c>
    </row>
    <row r="2786" spans="1:17" hidden="1" x14ac:dyDescent="0.25">
      <c r="A2786" s="7" t="s">
        <v>17</v>
      </c>
      <c r="B2786" s="15" t="s">
        <v>18</v>
      </c>
      <c r="C2786" s="7" t="s">
        <v>19</v>
      </c>
      <c r="D2786" s="15"/>
      <c r="E2786" s="15"/>
      <c r="F2786" s="15" t="s">
        <v>63</v>
      </c>
      <c r="G2786" s="15" t="s">
        <v>64</v>
      </c>
      <c r="H2786" s="15" t="s">
        <v>143</v>
      </c>
      <c r="I2786" s="15" t="s">
        <v>243</v>
      </c>
      <c r="J2786" s="16">
        <v>3.9029157443183298</v>
      </c>
      <c r="K2786" s="17">
        <v>3.7277902943589671</v>
      </c>
      <c r="L2786" s="17">
        <v>0.13109219467658706</v>
      </c>
      <c r="M2786" s="17">
        <v>17.420113091475628</v>
      </c>
      <c r="N2786" s="17">
        <v>1.0003861823794409</v>
      </c>
      <c r="O2786" s="18">
        <v>1.2288116591213232</v>
      </c>
      <c r="P2786" s="17">
        <v>0.34837967510700096</v>
      </c>
      <c r="Q2786" t="s">
        <v>26</v>
      </c>
    </row>
    <row r="2787" spans="1:17" hidden="1" x14ac:dyDescent="0.25">
      <c r="A2787" s="7" t="s">
        <v>17</v>
      </c>
      <c r="B2787" s="15" t="s">
        <v>18</v>
      </c>
      <c r="C2787" s="7" t="s">
        <v>19</v>
      </c>
      <c r="D2787" s="15" t="s">
        <v>20</v>
      </c>
      <c r="E2787" s="15" t="s">
        <v>21</v>
      </c>
      <c r="F2787" s="15" t="s">
        <v>65</v>
      </c>
      <c r="G2787" s="15" t="s">
        <v>66</v>
      </c>
      <c r="H2787" s="15" t="s">
        <v>143</v>
      </c>
      <c r="I2787" s="15" t="s">
        <v>243</v>
      </c>
      <c r="J2787" s="16">
        <v>0.52428393284842145</v>
      </c>
      <c r="K2787" s="17">
        <v>0.50049743075006004</v>
      </c>
      <c r="L2787" s="17">
        <v>1.7655960320433279E-2</v>
      </c>
      <c r="M2787" s="17">
        <v>2.2805615413892988</v>
      </c>
      <c r="N2787" s="17">
        <v>0.13315536741660097</v>
      </c>
      <c r="O2787" s="18">
        <v>0.15105654940815139</v>
      </c>
      <c r="P2787" s="17">
        <v>4.5611230827785974E-2</v>
      </c>
      <c r="Q2787" t="s">
        <v>26</v>
      </c>
    </row>
    <row r="2788" spans="1:17" hidden="1" x14ac:dyDescent="0.25">
      <c r="A2788" s="7" t="s">
        <v>17</v>
      </c>
      <c r="B2788" s="15" t="s">
        <v>18</v>
      </c>
      <c r="C2788" s="7" t="s">
        <v>19</v>
      </c>
      <c r="D2788" s="15"/>
      <c r="E2788" s="15"/>
      <c r="F2788" s="15" t="s">
        <v>67</v>
      </c>
      <c r="G2788" s="15" t="s">
        <v>68</v>
      </c>
      <c r="H2788" s="15" t="s">
        <v>143</v>
      </c>
      <c r="I2788" s="15" t="s">
        <v>243</v>
      </c>
      <c r="J2788" s="16">
        <v>2.4487016496794918</v>
      </c>
      <c r="K2788" s="17">
        <v>2.324742893195646</v>
      </c>
      <c r="L2788" s="17">
        <v>0.17408065719096308</v>
      </c>
      <c r="M2788" s="17">
        <v>24.554146199553252</v>
      </c>
      <c r="N2788" s="17">
        <v>0.91208733723481938</v>
      </c>
      <c r="O2788" s="18">
        <v>1.9696603673031092</v>
      </c>
      <c r="P2788" s="17">
        <v>0.49147611900072646</v>
      </c>
      <c r="Q2788" t="s">
        <v>26</v>
      </c>
    </row>
    <row r="2789" spans="1:17" hidden="1" x14ac:dyDescent="0.25">
      <c r="A2789" s="7" t="s">
        <v>17</v>
      </c>
      <c r="B2789" s="15" t="s">
        <v>18</v>
      </c>
      <c r="C2789" s="7" t="s">
        <v>19</v>
      </c>
      <c r="D2789" s="15"/>
      <c r="E2789" s="15"/>
      <c r="F2789" s="15" t="s">
        <v>69</v>
      </c>
      <c r="G2789" s="15" t="s">
        <v>70</v>
      </c>
      <c r="H2789" s="15" t="s">
        <v>143</v>
      </c>
      <c r="I2789" s="15" t="s">
        <v>243</v>
      </c>
      <c r="J2789" s="16">
        <v>0.71441466912081208</v>
      </c>
      <c r="K2789" s="17">
        <v>0.68168651800480284</v>
      </c>
      <c r="L2789" s="17">
        <v>2.6574948390849094E-2</v>
      </c>
      <c r="M2789" s="17">
        <v>3.536657115422885</v>
      </c>
      <c r="N2789" s="17">
        <v>0.18974086462557577</v>
      </c>
      <c r="O2789" s="18">
        <v>0.24751267173525437</v>
      </c>
      <c r="P2789" s="17">
        <v>7.0741357220435466E-2</v>
      </c>
      <c r="Q2789" t="s">
        <v>26</v>
      </c>
    </row>
    <row r="2790" spans="1:17" hidden="1" x14ac:dyDescent="0.25">
      <c r="A2790" s="7" t="s">
        <v>17</v>
      </c>
      <c r="B2790" s="15" t="s">
        <v>18</v>
      </c>
      <c r="C2790" s="7" t="s">
        <v>19</v>
      </c>
      <c r="D2790" s="15"/>
      <c r="E2790" s="15"/>
      <c r="F2790" s="15" t="s">
        <v>71</v>
      </c>
      <c r="G2790" s="15" t="s">
        <v>72</v>
      </c>
      <c r="H2790" s="15" t="s">
        <v>143</v>
      </c>
      <c r="I2790" s="15" t="s">
        <v>243</v>
      </c>
      <c r="J2790" s="16">
        <v>1.306076346004422</v>
      </c>
      <c r="K2790" s="17">
        <v>1.2544289937787638</v>
      </c>
      <c r="L2790" s="17">
        <v>3.8461577567947609E-2</v>
      </c>
      <c r="M2790" s="17">
        <v>8.9727792519775118</v>
      </c>
      <c r="N2790" s="17">
        <v>0.36616859244212274</v>
      </c>
      <c r="O2790" s="18">
        <v>0.96634968518522557</v>
      </c>
      <c r="P2790" s="17">
        <v>0.17940892263729633</v>
      </c>
      <c r="Q2790" t="s">
        <v>26</v>
      </c>
    </row>
    <row r="2791" spans="1:17" hidden="1" x14ac:dyDescent="0.25">
      <c r="A2791" s="7" t="s">
        <v>17</v>
      </c>
      <c r="B2791" s="15" t="s">
        <v>18</v>
      </c>
      <c r="C2791" s="7" t="s">
        <v>19</v>
      </c>
      <c r="D2791" s="15" t="s">
        <v>20</v>
      </c>
      <c r="E2791" s="15" t="s">
        <v>21</v>
      </c>
      <c r="F2791" s="15" t="s">
        <v>73</v>
      </c>
      <c r="G2791" s="15" t="s">
        <v>74</v>
      </c>
      <c r="H2791" s="15" t="s">
        <v>143</v>
      </c>
      <c r="I2791" s="15" t="s">
        <v>243</v>
      </c>
      <c r="J2791" s="16">
        <v>7.6352029055595377E-2</v>
      </c>
      <c r="K2791" s="17">
        <v>7.2887975351950504E-2</v>
      </c>
      <c r="L2791" s="17">
        <v>2.5712563573446522E-3</v>
      </c>
      <c r="M2791" s="17">
        <v>0.33212061282368427</v>
      </c>
      <c r="N2791" s="17">
        <v>1.9391558361640922E-2</v>
      </c>
      <c r="O2791" s="18">
        <v>2.199852661283758E-2</v>
      </c>
      <c r="P2791" s="17">
        <v>6.6424122564736864E-3</v>
      </c>
      <c r="Q2791" t="s">
        <v>26</v>
      </c>
    </row>
    <row r="2792" spans="1:17" hidden="1" x14ac:dyDescent="0.25">
      <c r="A2792" s="7" t="s">
        <v>17</v>
      </c>
      <c r="B2792" s="15" t="s">
        <v>18</v>
      </c>
      <c r="C2792" s="7" t="s">
        <v>19</v>
      </c>
      <c r="D2792" s="15" t="s">
        <v>20</v>
      </c>
      <c r="E2792" s="15" t="s">
        <v>21</v>
      </c>
      <c r="F2792" s="15" t="s">
        <v>75</v>
      </c>
      <c r="G2792" s="15" t="s">
        <v>76</v>
      </c>
      <c r="H2792" s="15" t="s">
        <v>143</v>
      </c>
      <c r="I2792" s="15" t="s">
        <v>243</v>
      </c>
      <c r="J2792" s="16">
        <v>0</v>
      </c>
      <c r="K2792" s="17">
        <v>0</v>
      </c>
      <c r="L2792" s="17">
        <v>0</v>
      </c>
      <c r="M2792" s="17">
        <v>0</v>
      </c>
      <c r="N2792" s="17">
        <v>0</v>
      </c>
      <c r="O2792" s="18">
        <v>0</v>
      </c>
      <c r="P2792" s="17">
        <v>0</v>
      </c>
      <c r="Q2792" t="s">
        <v>26</v>
      </c>
    </row>
    <row r="2793" spans="1:17" hidden="1" x14ac:dyDescent="0.25">
      <c r="A2793" s="7" t="s">
        <v>17</v>
      </c>
      <c r="B2793" s="15" t="s">
        <v>18</v>
      </c>
      <c r="C2793" s="7" t="s">
        <v>19</v>
      </c>
      <c r="D2793" s="15"/>
      <c r="E2793" s="15"/>
      <c r="F2793" s="15" t="s">
        <v>77</v>
      </c>
      <c r="G2793" s="15" t="s">
        <v>78</v>
      </c>
      <c r="H2793" s="15" t="s">
        <v>143</v>
      </c>
      <c r="I2793" s="15" t="s">
        <v>243</v>
      </c>
      <c r="J2793" s="16">
        <v>0.11151253126652942</v>
      </c>
      <c r="K2793" s="17">
        <v>0.10568435018988157</v>
      </c>
      <c r="L2793" s="17">
        <v>9.130817020081677E-3</v>
      </c>
      <c r="M2793" s="17">
        <v>1.2956046533388232</v>
      </c>
      <c r="N2793" s="17">
        <v>4.5265539695298521E-2</v>
      </c>
      <c r="O2793" s="18">
        <v>0.10529580478477167</v>
      </c>
      <c r="P2793" s="17">
        <v>2.5935405791083062E-2</v>
      </c>
      <c r="Q2793" t="s">
        <v>26</v>
      </c>
    </row>
    <row r="2794" spans="1:17" hidden="1" x14ac:dyDescent="0.25">
      <c r="A2794" s="7" t="s">
        <v>17</v>
      </c>
      <c r="B2794" s="15" t="s">
        <v>18</v>
      </c>
      <c r="C2794" s="7" t="s">
        <v>19</v>
      </c>
      <c r="D2794" s="15"/>
      <c r="E2794" s="15"/>
      <c r="F2794" s="15" t="s">
        <v>79</v>
      </c>
      <c r="G2794" s="15" t="s">
        <v>80</v>
      </c>
      <c r="H2794" s="15" t="s">
        <v>143</v>
      </c>
      <c r="I2794" s="15" t="s">
        <v>243</v>
      </c>
      <c r="J2794" s="16">
        <v>0</v>
      </c>
      <c r="K2794" s="17">
        <v>0</v>
      </c>
      <c r="L2794" s="17">
        <v>0</v>
      </c>
      <c r="M2794" s="17">
        <v>0</v>
      </c>
      <c r="N2794" s="17">
        <v>0</v>
      </c>
      <c r="O2794" s="18">
        <v>0</v>
      </c>
      <c r="P2794" s="17">
        <v>0</v>
      </c>
      <c r="Q2794" t="s">
        <v>26</v>
      </c>
    </row>
    <row r="2795" spans="1:17" hidden="1" x14ac:dyDescent="0.25">
      <c r="A2795" s="7" t="s">
        <v>17</v>
      </c>
      <c r="B2795" s="15" t="s">
        <v>18</v>
      </c>
      <c r="C2795" s="7" t="s">
        <v>19</v>
      </c>
      <c r="D2795" s="15"/>
      <c r="E2795" s="15"/>
      <c r="F2795" s="15" t="s">
        <v>81</v>
      </c>
      <c r="G2795" s="15" t="s">
        <v>82</v>
      </c>
      <c r="H2795" s="15" t="s">
        <v>143</v>
      </c>
      <c r="I2795" s="15" t="s">
        <v>243</v>
      </c>
      <c r="J2795" s="16">
        <v>0.81962994428518066</v>
      </c>
      <c r="K2795" s="17">
        <v>0.78261487721111989</v>
      </c>
      <c r="L2795" s="17">
        <v>2.7571934837345949E-2</v>
      </c>
      <c r="M2795" s="17">
        <v>3.6041939645813934</v>
      </c>
      <c r="N2795" s="17">
        <v>0.20896913000246178</v>
      </c>
      <c r="O2795" s="18">
        <v>0.24531546875644777</v>
      </c>
      <c r="P2795" s="17">
        <v>7.2081894886721509E-2</v>
      </c>
      <c r="Q2795" t="s">
        <v>26</v>
      </c>
    </row>
    <row r="2796" spans="1:17" hidden="1" x14ac:dyDescent="0.25">
      <c r="A2796" s="7" t="s">
        <v>17</v>
      </c>
      <c r="B2796" s="15" t="s">
        <v>18</v>
      </c>
      <c r="C2796" s="7" t="s">
        <v>19</v>
      </c>
      <c r="D2796" s="15"/>
      <c r="E2796" s="15"/>
      <c r="F2796" s="15" t="s">
        <v>83</v>
      </c>
      <c r="G2796" s="15" t="s">
        <v>84</v>
      </c>
      <c r="H2796" s="15" t="s">
        <v>143</v>
      </c>
      <c r="I2796" s="15" t="s">
        <v>243</v>
      </c>
      <c r="J2796" s="16">
        <v>7.3847983882946638E-2</v>
      </c>
      <c r="K2796" s="17">
        <v>7.0991122004637142E-2</v>
      </c>
      <c r="L2796" s="17">
        <v>2.3998392668550094E-3</v>
      </c>
      <c r="M2796" s="17">
        <v>0.43347563953168172</v>
      </c>
      <c r="N2796" s="17">
        <v>2.1071731543590246E-2</v>
      </c>
      <c r="O2796" s="18">
        <v>4.7707101657904094E-2</v>
      </c>
      <c r="P2796" s="17">
        <v>8.6637894764829346E-3</v>
      </c>
      <c r="Q2796" t="s">
        <v>26</v>
      </c>
    </row>
    <row r="2797" spans="1:17" hidden="1" x14ac:dyDescent="0.25">
      <c r="A2797" s="7" t="s">
        <v>17</v>
      </c>
      <c r="B2797" s="15" t="s">
        <v>18</v>
      </c>
      <c r="C2797" s="7" t="s">
        <v>19</v>
      </c>
      <c r="D2797" s="15" t="s">
        <v>20</v>
      </c>
      <c r="E2797" s="15" t="s">
        <v>21</v>
      </c>
      <c r="F2797" s="15" t="s">
        <v>85</v>
      </c>
      <c r="G2797" s="15" t="s">
        <v>86</v>
      </c>
      <c r="H2797" s="15" t="s">
        <v>143</v>
      </c>
      <c r="I2797" s="15" t="s">
        <v>243</v>
      </c>
      <c r="J2797" s="16">
        <v>5.1773563193574609E-2</v>
      </c>
      <c r="K2797" s="17">
        <v>4.9476798255641483E-2</v>
      </c>
      <c r="L2797" s="17">
        <v>1.7343376214246282E-3</v>
      </c>
      <c r="M2797" s="17">
        <v>0.23707319726659831</v>
      </c>
      <c r="N2797" s="17">
        <v>1.3394060894141751E-2</v>
      </c>
      <c r="O2797" s="18">
        <v>1.7710858604315583E-2</v>
      </c>
      <c r="P2797" s="17">
        <v>4.7408589438361209E-3</v>
      </c>
      <c r="Q2797" t="s">
        <v>26</v>
      </c>
    </row>
    <row r="2798" spans="1:17" hidden="1" x14ac:dyDescent="0.25">
      <c r="A2798" s="7" t="s">
        <v>17</v>
      </c>
      <c r="B2798" s="15" t="s">
        <v>18</v>
      </c>
      <c r="C2798" s="7" t="s">
        <v>19</v>
      </c>
      <c r="D2798" s="15"/>
      <c r="E2798" s="15"/>
      <c r="F2798" s="15" t="s">
        <v>87</v>
      </c>
      <c r="G2798" s="15" t="s">
        <v>88</v>
      </c>
      <c r="H2798" s="15" t="s">
        <v>143</v>
      </c>
      <c r="I2798" s="15" t="s">
        <v>243</v>
      </c>
      <c r="J2798" s="16">
        <v>2.7134317088684154E-3</v>
      </c>
      <c r="K2798" s="17">
        <v>2.6129342381695851E-3</v>
      </c>
      <c r="L2798" s="17">
        <v>8.7389104955504533E-5</v>
      </c>
      <c r="M2798" s="17">
        <v>1.6944747450872325E-2</v>
      </c>
      <c r="N2798" s="17">
        <v>7.9524085509509121E-4</v>
      </c>
      <c r="O2798" s="18">
        <v>1.9924715929855031E-3</v>
      </c>
      <c r="P2798" s="17">
        <v>3.3863278170258006E-4</v>
      </c>
      <c r="Q2798" t="s">
        <v>26</v>
      </c>
    </row>
    <row r="2799" spans="1:17" hidden="1" x14ac:dyDescent="0.25">
      <c r="A2799" s="7" t="s">
        <v>17</v>
      </c>
      <c r="B2799" s="15" t="s">
        <v>18</v>
      </c>
      <c r="C2799" s="7" t="s">
        <v>19</v>
      </c>
      <c r="D2799" s="15"/>
      <c r="E2799" s="15"/>
      <c r="F2799" s="15" t="s">
        <v>89</v>
      </c>
      <c r="G2799" s="15" t="s">
        <v>90</v>
      </c>
      <c r="H2799" s="15" t="s">
        <v>143</v>
      </c>
      <c r="I2799" s="15" t="s">
        <v>243</v>
      </c>
      <c r="J2799" s="16">
        <v>5.6664727756721494</v>
      </c>
      <c r="K2799" s="17">
        <v>5.4136317129154063</v>
      </c>
      <c r="L2799" s="17">
        <v>0.18971855379495001</v>
      </c>
      <c r="M2799" s="17">
        <v>26.006194327216445</v>
      </c>
      <c r="N2799" s="17">
        <v>1.4578082852846128</v>
      </c>
      <c r="O2799" s="18">
        <v>1.9098449141567881</v>
      </c>
      <c r="P2799" s="17">
        <v>0.5200728143347213</v>
      </c>
      <c r="Q2799" t="s">
        <v>26</v>
      </c>
    </row>
    <row r="2800" spans="1:17" hidden="1" x14ac:dyDescent="0.25">
      <c r="A2800" s="7" t="s">
        <v>17</v>
      </c>
      <c r="B2800" s="15" t="s">
        <v>18</v>
      </c>
      <c r="C2800" s="7" t="s">
        <v>19</v>
      </c>
      <c r="D2800" s="15"/>
      <c r="E2800" s="15"/>
      <c r="F2800" s="15" t="s">
        <v>91</v>
      </c>
      <c r="G2800" s="15" t="s">
        <v>92</v>
      </c>
      <c r="H2800" s="15" t="s">
        <v>143</v>
      </c>
      <c r="I2800" s="15" t="s">
        <v>243</v>
      </c>
      <c r="J2800" s="16">
        <v>0.15569825532905726</v>
      </c>
      <c r="K2800" s="17">
        <v>0.14863430267848732</v>
      </c>
      <c r="L2800" s="17">
        <v>5.2433462973302718E-3</v>
      </c>
      <c r="M2800" s="17">
        <v>0.6772655634051602</v>
      </c>
      <c r="N2800" s="17">
        <v>3.9543569992365808E-2</v>
      </c>
      <c r="O2800" s="18">
        <v>4.485974054382566E-2</v>
      </c>
      <c r="P2800" s="17">
        <v>1.3545311268103205E-2</v>
      </c>
      <c r="Q2800" t="s">
        <v>26</v>
      </c>
    </row>
    <row r="2801" spans="1:17" hidden="1" x14ac:dyDescent="0.25">
      <c r="A2801" s="7" t="s">
        <v>17</v>
      </c>
      <c r="B2801" s="15" t="s">
        <v>18</v>
      </c>
      <c r="C2801" s="7" t="s">
        <v>19</v>
      </c>
      <c r="D2801" s="15"/>
      <c r="E2801" s="15"/>
      <c r="F2801" s="15" t="s">
        <v>93</v>
      </c>
      <c r="G2801" s="15" t="s">
        <v>94</v>
      </c>
      <c r="H2801" s="15" t="s">
        <v>143</v>
      </c>
      <c r="I2801" s="15" t="s">
        <v>243</v>
      </c>
      <c r="J2801" s="16">
        <v>0.50036029707766838</v>
      </c>
      <c r="K2801" s="17">
        <v>0.47765919847311555</v>
      </c>
      <c r="L2801" s="17">
        <v>1.6850299995131955E-2</v>
      </c>
      <c r="M2801" s="17">
        <v>2.1764970827045445</v>
      </c>
      <c r="N2801" s="17">
        <v>0.12707934579662017</v>
      </c>
      <c r="O2801" s="18">
        <v>0.14416367773612893</v>
      </c>
      <c r="P2801" s="17">
        <v>4.3529941654090888E-2</v>
      </c>
      <c r="Q2801" t="s">
        <v>26</v>
      </c>
    </row>
    <row r="2802" spans="1:17" hidden="1" x14ac:dyDescent="0.25">
      <c r="A2802" s="7" t="s">
        <v>17</v>
      </c>
      <c r="B2802" s="15" t="s">
        <v>18</v>
      </c>
      <c r="C2802" s="7" t="s">
        <v>19</v>
      </c>
      <c r="D2802" s="15"/>
      <c r="E2802" s="15"/>
      <c r="F2802" s="15" t="s">
        <v>95</v>
      </c>
      <c r="G2802" s="15" t="s">
        <v>96</v>
      </c>
      <c r="H2802" s="15" t="s">
        <v>143</v>
      </c>
      <c r="I2802" s="15" t="s">
        <v>243</v>
      </c>
      <c r="J2802" s="16">
        <v>0.24426729694265614</v>
      </c>
      <c r="K2802" s="17">
        <v>0.23522036001885405</v>
      </c>
      <c r="L2802" s="17">
        <v>7.866901672871374E-3</v>
      </c>
      <c r="M2802" s="17">
        <v>1.5253922343697592</v>
      </c>
      <c r="N2802" s="17">
        <v>7.1588805223129492E-2</v>
      </c>
      <c r="O2802" s="18">
        <v>0.17936535814146731</v>
      </c>
      <c r="P2802" s="17">
        <v>3.0484243982376574E-2</v>
      </c>
      <c r="Q2802" t="s">
        <v>26</v>
      </c>
    </row>
    <row r="2803" spans="1:17" hidden="1" x14ac:dyDescent="0.25">
      <c r="A2803" s="7" t="s">
        <v>17</v>
      </c>
      <c r="B2803" s="15" t="s">
        <v>18</v>
      </c>
      <c r="C2803" s="7" t="s">
        <v>19</v>
      </c>
      <c r="D2803" s="15"/>
      <c r="E2803" s="15"/>
      <c r="F2803" s="15" t="s">
        <v>97</v>
      </c>
      <c r="G2803" s="15" t="s">
        <v>98</v>
      </c>
      <c r="H2803" s="15" t="s">
        <v>143</v>
      </c>
      <c r="I2803" s="15" t="s">
        <v>243</v>
      </c>
      <c r="J2803" s="16">
        <v>3.2229337185949565E-2</v>
      </c>
      <c r="K2803" s="17">
        <v>3.0695053392484614E-2</v>
      </c>
      <c r="L2803" s="17">
        <v>9.3714731706514513E-4</v>
      </c>
      <c r="M2803" s="17">
        <v>0.21093558653112593</v>
      </c>
      <c r="N2803" s="17">
        <v>7.1934677856065705E-3</v>
      </c>
      <c r="O2803" s="18">
        <v>1.6608803564706842E-2</v>
      </c>
      <c r="P2803" s="17">
        <v>4.2200366838984205E-3</v>
      </c>
      <c r="Q2803" t="s">
        <v>26</v>
      </c>
    </row>
    <row r="2804" spans="1:17" hidden="1" x14ac:dyDescent="0.25">
      <c r="A2804" s="7" t="s">
        <v>17</v>
      </c>
      <c r="B2804" s="15" t="s">
        <v>18</v>
      </c>
      <c r="C2804" s="7" t="s">
        <v>19</v>
      </c>
      <c r="D2804" s="15"/>
      <c r="E2804" s="15"/>
      <c r="F2804" s="15" t="s">
        <v>99</v>
      </c>
      <c r="G2804" s="15" t="s">
        <v>100</v>
      </c>
      <c r="H2804" s="15" t="s">
        <v>143</v>
      </c>
      <c r="I2804" s="15" t="s">
        <v>243</v>
      </c>
      <c r="J2804" s="16">
        <v>1.3159149994628769</v>
      </c>
      <c r="K2804" s="17">
        <v>1.2535666745031904</v>
      </c>
      <c r="L2804" s="17">
        <v>6.2185054102301518E-2</v>
      </c>
      <c r="M2804" s="17">
        <v>8.5746766348766581</v>
      </c>
      <c r="N2804" s="17">
        <v>0.39367125899632255</v>
      </c>
      <c r="O2804" s="18">
        <v>0.64020447588398188</v>
      </c>
      <c r="P2804" s="17">
        <v>0.17157144093608462</v>
      </c>
      <c r="Q2804" t="s">
        <v>26</v>
      </c>
    </row>
    <row r="2805" spans="1:17" hidden="1" x14ac:dyDescent="0.25">
      <c r="A2805" s="7" t="s">
        <v>17</v>
      </c>
      <c r="B2805" s="15" t="s">
        <v>18</v>
      </c>
      <c r="C2805" s="7" t="s">
        <v>19</v>
      </c>
      <c r="D2805" s="15" t="s">
        <v>20</v>
      </c>
      <c r="E2805" s="15" t="s">
        <v>21</v>
      </c>
      <c r="F2805" s="15" t="s">
        <v>101</v>
      </c>
      <c r="G2805" s="15" t="s">
        <v>21</v>
      </c>
      <c r="H2805" s="15" t="s">
        <v>143</v>
      </c>
      <c r="I2805" s="15" t="s">
        <v>243</v>
      </c>
      <c r="J2805" s="16">
        <v>0</v>
      </c>
      <c r="K2805" s="17">
        <v>0</v>
      </c>
      <c r="L2805" s="17">
        <v>0</v>
      </c>
      <c r="M2805" s="17">
        <v>0</v>
      </c>
      <c r="N2805" s="17">
        <v>0</v>
      </c>
      <c r="O2805" s="18">
        <v>0</v>
      </c>
      <c r="P2805" s="17">
        <v>0</v>
      </c>
      <c r="Q2805" t="s">
        <v>26</v>
      </c>
    </row>
    <row r="2806" spans="1:17" hidden="1" x14ac:dyDescent="0.25">
      <c r="A2806" s="7" t="s">
        <v>17</v>
      </c>
      <c r="B2806" s="15" t="s">
        <v>18</v>
      </c>
      <c r="C2806" s="7" t="s">
        <v>19</v>
      </c>
      <c r="D2806" s="15"/>
      <c r="E2806" s="15"/>
      <c r="F2806" s="15" t="s">
        <v>102</v>
      </c>
      <c r="G2806" s="15" t="s">
        <v>103</v>
      </c>
      <c r="H2806" s="15" t="s">
        <v>143</v>
      </c>
      <c r="I2806" s="15" t="s">
        <v>243</v>
      </c>
      <c r="J2806" s="16">
        <v>1.1859737887616883E-2</v>
      </c>
      <c r="K2806" s="17">
        <v>1.1284877230182179E-2</v>
      </c>
      <c r="L2806" s="17">
        <v>3.4180903955577049E-4</v>
      </c>
      <c r="M2806" s="17">
        <v>7.7911745319348649E-2</v>
      </c>
      <c r="N2806" s="17">
        <v>2.5791045711935413E-3</v>
      </c>
      <c r="O2806" s="18">
        <v>5.8987953947579191E-3</v>
      </c>
      <c r="P2806" s="17">
        <v>1.5588563773679834E-3</v>
      </c>
      <c r="Q2806" t="s">
        <v>26</v>
      </c>
    </row>
    <row r="2807" spans="1:17" hidden="1" x14ac:dyDescent="0.25">
      <c r="A2807" s="7" t="s">
        <v>17</v>
      </c>
      <c r="B2807" s="15" t="s">
        <v>18</v>
      </c>
      <c r="C2807" s="7" t="s">
        <v>19</v>
      </c>
      <c r="D2807" s="15" t="s">
        <v>20</v>
      </c>
      <c r="E2807" s="15" t="s">
        <v>21</v>
      </c>
      <c r="F2807" s="15" t="s">
        <v>104</v>
      </c>
      <c r="G2807" s="15" t="s">
        <v>105</v>
      </c>
      <c r="H2807" s="15" t="s">
        <v>143</v>
      </c>
      <c r="I2807" s="15" t="s">
        <v>243</v>
      </c>
      <c r="J2807" s="16">
        <v>3.2415521354616983</v>
      </c>
      <c r="K2807" s="17">
        <v>3.0890192003430479</v>
      </c>
      <c r="L2807" s="17">
        <v>0.1582082552849475</v>
      </c>
      <c r="M2807" s="17">
        <v>21.966825906912359</v>
      </c>
      <c r="N2807" s="17">
        <v>0.98644013604645964</v>
      </c>
      <c r="O2807" s="18">
        <v>1.6991172632786655</v>
      </c>
      <c r="P2807" s="17">
        <v>0.43952809690358602</v>
      </c>
      <c r="Q2807" t="s">
        <v>26</v>
      </c>
    </row>
    <row r="2808" spans="1:17" hidden="1" x14ac:dyDescent="0.25">
      <c r="A2808" s="7" t="s">
        <v>17</v>
      </c>
      <c r="B2808" s="15" t="s">
        <v>18</v>
      </c>
      <c r="C2808" s="7" t="s">
        <v>19</v>
      </c>
      <c r="D2808" s="15"/>
      <c r="E2808" s="15"/>
      <c r="F2808" s="15" t="s">
        <v>106</v>
      </c>
      <c r="G2808" s="15" t="s">
        <v>107</v>
      </c>
      <c r="H2808" s="15" t="s">
        <v>143</v>
      </c>
      <c r="I2808" s="15" t="s">
        <v>243</v>
      </c>
      <c r="J2808" s="16">
        <v>1.4377905173237637</v>
      </c>
      <c r="K2808" s="17">
        <v>1.3638290732528833</v>
      </c>
      <c r="L2808" s="17">
        <v>0.11031793228514593</v>
      </c>
      <c r="M2808" s="17">
        <v>15.726698749315757</v>
      </c>
      <c r="N2808" s="17">
        <v>0.5612994211827832</v>
      </c>
      <c r="O2808" s="18">
        <v>1.2775851756288648</v>
      </c>
      <c r="P2808" s="17">
        <v>0.31479486231968362</v>
      </c>
      <c r="Q2808" t="s">
        <v>26</v>
      </c>
    </row>
    <row r="2809" spans="1:17" hidden="1" x14ac:dyDescent="0.25">
      <c r="A2809" s="7" t="s">
        <v>17</v>
      </c>
      <c r="B2809" s="15" t="s">
        <v>18</v>
      </c>
      <c r="C2809" s="7" t="s">
        <v>19</v>
      </c>
      <c r="D2809" s="15"/>
      <c r="E2809" s="15"/>
      <c r="F2809" s="15" t="s">
        <v>108</v>
      </c>
      <c r="G2809" s="15" t="s">
        <v>109</v>
      </c>
      <c r="H2809" s="15" t="s">
        <v>143</v>
      </c>
      <c r="I2809" s="15" t="s">
        <v>243</v>
      </c>
      <c r="J2809" s="16">
        <v>0</v>
      </c>
      <c r="K2809" s="17">
        <v>0</v>
      </c>
      <c r="L2809" s="17">
        <v>0</v>
      </c>
      <c r="M2809" s="17">
        <v>0</v>
      </c>
      <c r="N2809" s="17">
        <v>0</v>
      </c>
      <c r="O2809" s="18">
        <v>0</v>
      </c>
      <c r="P2809" s="17">
        <v>0</v>
      </c>
      <c r="Q2809" t="s">
        <v>26</v>
      </c>
    </row>
    <row r="2810" spans="1:17" hidden="1" x14ac:dyDescent="0.25">
      <c r="A2810" s="7" t="s">
        <v>17</v>
      </c>
      <c r="B2810" s="15" t="s">
        <v>18</v>
      </c>
      <c r="C2810" s="7" t="s">
        <v>19</v>
      </c>
      <c r="D2810" s="15"/>
      <c r="E2810" s="15"/>
      <c r="F2810" s="15" t="s">
        <v>110</v>
      </c>
      <c r="G2810" s="15" t="s">
        <v>111</v>
      </c>
      <c r="H2810" s="15" t="s">
        <v>143</v>
      </c>
      <c r="I2810" s="15" t="s">
        <v>243</v>
      </c>
      <c r="J2810" s="16">
        <v>0.51380424258588886</v>
      </c>
      <c r="K2810" s="17">
        <v>0.4904931988390081</v>
      </c>
      <c r="L2810" s="17">
        <v>1.7303042781189895E-2</v>
      </c>
      <c r="M2810" s="17">
        <v>2.2349763592370286</v>
      </c>
      <c r="N2810" s="17">
        <v>0.13049378097480716</v>
      </c>
      <c r="O2810" s="18">
        <v>0.14803714379462468</v>
      </c>
      <c r="P2810" s="17">
        <v>4.4699527184740573E-2</v>
      </c>
      <c r="Q2810" t="s">
        <v>26</v>
      </c>
    </row>
    <row r="2811" spans="1:17" hidden="1" x14ac:dyDescent="0.25">
      <c r="A2811" s="7" t="s">
        <v>17</v>
      </c>
      <c r="B2811" s="15" t="s">
        <v>18</v>
      </c>
      <c r="C2811" s="7" t="s">
        <v>19</v>
      </c>
      <c r="D2811" s="15" t="s">
        <v>20</v>
      </c>
      <c r="E2811" s="15" t="s">
        <v>21</v>
      </c>
      <c r="F2811" s="15" t="s">
        <v>112</v>
      </c>
      <c r="G2811" s="15" t="s">
        <v>113</v>
      </c>
      <c r="H2811" s="15" t="s">
        <v>143</v>
      </c>
      <c r="I2811" s="15" t="s">
        <v>243</v>
      </c>
      <c r="J2811" s="16">
        <v>0.16434792474285098</v>
      </c>
      <c r="K2811" s="17">
        <v>0.15667444596950753</v>
      </c>
      <c r="L2811" s="17">
        <v>5.0670471808810947E-3</v>
      </c>
      <c r="M2811" s="17">
        <v>0.93941081364304568</v>
      </c>
      <c r="N2811" s="17">
        <v>3.8666164052175864E-2</v>
      </c>
      <c r="O2811" s="18">
        <v>7.0875444318165004E-2</v>
      </c>
      <c r="P2811" s="17">
        <v>1.8792272169277865E-2</v>
      </c>
      <c r="Q2811" t="s">
        <v>26</v>
      </c>
    </row>
    <row r="2812" spans="1:17" hidden="1" x14ac:dyDescent="0.25">
      <c r="A2812" s="7" t="s">
        <v>17</v>
      </c>
      <c r="B2812" s="15" t="s">
        <v>18</v>
      </c>
      <c r="C2812" s="7" t="s">
        <v>19</v>
      </c>
      <c r="D2812" s="15" t="s">
        <v>20</v>
      </c>
      <c r="E2812" s="15" t="s">
        <v>21</v>
      </c>
      <c r="F2812" s="15" t="s">
        <v>114</v>
      </c>
      <c r="G2812" s="15" t="s">
        <v>115</v>
      </c>
      <c r="H2812" s="15" t="s">
        <v>143</v>
      </c>
      <c r="I2812" s="15" t="s">
        <v>243</v>
      </c>
      <c r="J2812" s="16">
        <v>0</v>
      </c>
      <c r="K2812" s="17">
        <v>0</v>
      </c>
      <c r="L2812" s="17">
        <v>0</v>
      </c>
      <c r="M2812" s="17">
        <v>0</v>
      </c>
      <c r="N2812" s="17">
        <v>0</v>
      </c>
      <c r="O2812" s="18">
        <v>0</v>
      </c>
      <c r="P2812" s="17">
        <v>0</v>
      </c>
      <c r="Q2812" t="s">
        <v>26</v>
      </c>
    </row>
    <row r="2813" spans="1:17" hidden="1" x14ac:dyDescent="0.25">
      <c r="A2813" s="7" t="s">
        <v>17</v>
      </c>
      <c r="B2813" s="15" t="s">
        <v>18</v>
      </c>
      <c r="C2813" s="7" t="s">
        <v>19</v>
      </c>
      <c r="D2813" s="15" t="s">
        <v>20</v>
      </c>
      <c r="E2813" s="15" t="s">
        <v>21</v>
      </c>
      <c r="F2813" s="15" t="s">
        <v>116</v>
      </c>
      <c r="G2813" s="15" t="s">
        <v>117</v>
      </c>
      <c r="H2813" s="15" t="s">
        <v>143</v>
      </c>
      <c r="I2813" s="15" t="s">
        <v>243</v>
      </c>
      <c r="J2813" s="16">
        <v>6.4485462493687404E-2</v>
      </c>
      <c r="K2813" s="17">
        <v>6.1396980274185921E-2</v>
      </c>
      <c r="L2813" s="17">
        <v>1.8695554557461649E-3</v>
      </c>
      <c r="M2813" s="17">
        <v>0.42257573091535849</v>
      </c>
      <c r="N2813" s="17">
        <v>1.4269666114601696E-2</v>
      </c>
      <c r="O2813" s="18">
        <v>3.2845211903123492E-2</v>
      </c>
      <c r="P2813" s="17">
        <v>8.4544085421289633E-3</v>
      </c>
      <c r="Q2813" t="s">
        <v>26</v>
      </c>
    </row>
    <row r="2814" spans="1:17" hidden="1" x14ac:dyDescent="0.25">
      <c r="A2814" s="7" t="s">
        <v>17</v>
      </c>
      <c r="B2814" s="15" t="s">
        <v>18</v>
      </c>
      <c r="C2814" s="7" t="s">
        <v>19</v>
      </c>
      <c r="D2814" s="15" t="s">
        <v>20</v>
      </c>
      <c r="E2814" s="15" t="s">
        <v>21</v>
      </c>
      <c r="F2814" s="15" t="s">
        <v>118</v>
      </c>
      <c r="G2814" s="15" t="s">
        <v>119</v>
      </c>
      <c r="H2814" s="15" t="s">
        <v>143</v>
      </c>
      <c r="I2814" s="15" t="s">
        <v>243</v>
      </c>
      <c r="J2814" s="16">
        <v>0</v>
      </c>
      <c r="K2814" s="17">
        <v>0</v>
      </c>
      <c r="L2814" s="17">
        <v>0</v>
      </c>
      <c r="M2814" s="17">
        <v>0</v>
      </c>
      <c r="N2814" s="17">
        <v>0</v>
      </c>
      <c r="O2814" s="18">
        <v>0</v>
      </c>
      <c r="P2814" s="17">
        <v>0</v>
      </c>
      <c r="Q2814" t="s">
        <v>26</v>
      </c>
    </row>
    <row r="2815" spans="1:17" hidden="1" x14ac:dyDescent="0.25">
      <c r="A2815" s="7" t="s">
        <v>17</v>
      </c>
      <c r="B2815" s="15" t="s">
        <v>18</v>
      </c>
      <c r="C2815" s="7" t="s">
        <v>19</v>
      </c>
      <c r="D2815" s="15" t="s">
        <v>20</v>
      </c>
      <c r="E2815" s="15" t="s">
        <v>21</v>
      </c>
      <c r="F2815" s="15" t="s">
        <v>120</v>
      </c>
      <c r="G2815" s="15" t="s">
        <v>121</v>
      </c>
      <c r="H2815" s="15" t="s">
        <v>143</v>
      </c>
      <c r="I2815" s="15" t="s">
        <v>243</v>
      </c>
      <c r="J2815" s="16">
        <v>0</v>
      </c>
      <c r="K2815" s="17">
        <v>0</v>
      </c>
      <c r="L2815" s="17">
        <v>0</v>
      </c>
      <c r="M2815" s="17">
        <v>0</v>
      </c>
      <c r="N2815" s="17">
        <v>0</v>
      </c>
      <c r="O2815" s="18">
        <v>0</v>
      </c>
      <c r="P2815" s="17">
        <v>0</v>
      </c>
      <c r="Q2815" t="s">
        <v>26</v>
      </c>
    </row>
    <row r="2816" spans="1:17" hidden="1" x14ac:dyDescent="0.25">
      <c r="A2816" s="7" t="s">
        <v>17</v>
      </c>
      <c r="B2816" s="15" t="s">
        <v>18</v>
      </c>
      <c r="C2816" s="7" t="s">
        <v>19</v>
      </c>
      <c r="D2816" s="15"/>
      <c r="E2816" s="15"/>
      <c r="F2816" s="15" t="s">
        <v>122</v>
      </c>
      <c r="G2816" s="15" t="s">
        <v>123</v>
      </c>
      <c r="H2816" s="15" t="s">
        <v>143</v>
      </c>
      <c r="I2816" s="15" t="s">
        <v>243</v>
      </c>
      <c r="J2816" s="16">
        <v>0.21395114926478082</v>
      </c>
      <c r="K2816" s="17">
        <v>0.20347081926918492</v>
      </c>
      <c r="L2816" s="17">
        <v>7.7018102091327379E-3</v>
      </c>
      <c r="M2816" s="17">
        <v>1.5516528082981424</v>
      </c>
      <c r="N2816" s="17">
        <v>5.1981143688291868E-2</v>
      </c>
      <c r="O2816" s="18">
        <v>0.11934710905392551</v>
      </c>
      <c r="P2816" s="17">
        <v>3.104880112822507E-2</v>
      </c>
      <c r="Q2816" t="s">
        <v>26</v>
      </c>
    </row>
    <row r="2817" spans="1:17" hidden="1" x14ac:dyDescent="0.25">
      <c r="A2817" s="7" t="s">
        <v>17</v>
      </c>
      <c r="B2817" s="15" t="s">
        <v>18</v>
      </c>
      <c r="C2817" s="7" t="s">
        <v>19</v>
      </c>
      <c r="D2817" s="15"/>
      <c r="E2817" s="15"/>
      <c r="F2817" s="15" t="s">
        <v>124</v>
      </c>
      <c r="G2817" s="15" t="s">
        <v>125</v>
      </c>
      <c r="H2817" s="15" t="s">
        <v>143</v>
      </c>
      <c r="I2817" s="15" t="s">
        <v>243</v>
      </c>
      <c r="J2817" s="16">
        <v>0.10129531642147685</v>
      </c>
      <c r="K2817" s="17">
        <v>9.6545592525166896E-2</v>
      </c>
      <c r="L2817" s="17">
        <v>3.1702078382319955E-3</v>
      </c>
      <c r="M2817" s="17">
        <v>0.55081201603080554</v>
      </c>
      <c r="N2817" s="17">
        <v>2.3914070585066588E-2</v>
      </c>
      <c r="O2817" s="18">
        <v>3.9573988123129164E-2</v>
      </c>
      <c r="P2817" s="17">
        <v>1.1018841827048247E-2</v>
      </c>
      <c r="Q2817" t="s">
        <v>26</v>
      </c>
    </row>
  </sheetData>
  <autoFilter ref="A1:Q2817">
    <filterColumn colId="0">
      <filters>
        <filter val="Fuentes Móvil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10"/>
  <sheetViews>
    <sheetView showGridLines="0" zoomScale="115" zoomScaleNormal="115" workbookViewId="0">
      <selection activeCell="C683" sqref="C1:C1048576"/>
    </sheetView>
  </sheetViews>
  <sheetFormatPr defaultColWidth="11.42578125" defaultRowHeight="15" x14ac:dyDescent="0.25"/>
  <cols>
    <col min="1" max="1" width="16.42578125" customWidth="1"/>
    <col min="2" max="2" width="17.28515625" customWidth="1"/>
    <col min="3" max="3" width="5.85546875" customWidth="1"/>
    <col min="4" max="4" width="8.42578125" customWidth="1"/>
    <col min="9" max="9" width="61.140625" bestFit="1" customWidth="1"/>
    <col min="10" max="16" width="11.42578125" style="48"/>
    <col min="20" max="20" width="59.28515625" customWidth="1"/>
    <col min="21" max="21" width="16.42578125" customWidth="1"/>
    <col min="22" max="22" width="17" customWidth="1"/>
    <col min="23" max="23" width="14.85546875" customWidth="1"/>
    <col min="24" max="24" width="13.85546875" customWidth="1"/>
    <col min="25" max="25" width="15.140625" customWidth="1"/>
    <col min="26" max="27" width="15" customWidth="1"/>
    <col min="30" max="30" width="21" customWidth="1"/>
    <col min="31" max="31" width="14.85546875" customWidth="1"/>
    <col min="32" max="32" width="18" customWidth="1"/>
    <col min="33" max="33" width="9.28515625" customWidth="1"/>
    <col min="34" max="34" width="10" customWidth="1"/>
    <col min="35" max="35" width="9.28515625" customWidth="1"/>
    <col min="36" max="36" width="9.42578125" customWidth="1"/>
    <col min="37" max="37" width="11" customWidth="1"/>
    <col min="40" max="40" width="14.85546875" customWidth="1"/>
    <col min="41" max="42" width="7.28515625" customWidth="1"/>
    <col min="43" max="46" width="8.42578125" customWidth="1"/>
    <col min="47" max="47" width="5.7109375" customWidth="1"/>
    <col min="49" max="49" width="28.85546875" customWidth="1"/>
    <col min="50" max="50" width="12.85546875" bestFit="1" customWidth="1"/>
    <col min="51" max="51" width="31.7109375" customWidth="1"/>
    <col min="52" max="57" width="11.140625" style="32" customWidth="1"/>
    <col min="58" max="58" width="11.140625" customWidth="1"/>
  </cols>
  <sheetData>
    <row r="1" spans="1:58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8" t="s">
        <v>5</v>
      </c>
      <c r="G1" s="37" t="s">
        <v>6</v>
      </c>
      <c r="H1" s="37" t="s">
        <v>7</v>
      </c>
      <c r="I1" s="37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39" t="s">
        <v>16</v>
      </c>
      <c r="T1" s="19" t="s">
        <v>244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E1" s="25" t="s">
        <v>253</v>
      </c>
      <c r="AF1" s="25" t="s">
        <v>254</v>
      </c>
      <c r="AG1" s="25" t="s">
        <v>255</v>
      </c>
      <c r="AH1" s="25" t="s">
        <v>256</v>
      </c>
      <c r="AI1" s="25" t="s">
        <v>257</v>
      </c>
      <c r="AJ1" s="25" t="s">
        <v>258</v>
      </c>
      <c r="AK1" s="25" t="s">
        <v>259</v>
      </c>
      <c r="AN1" s="19" t="s">
        <v>273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W1" s="19" t="s">
        <v>274</v>
      </c>
      <c r="AX1" s="19" t="s">
        <v>7</v>
      </c>
      <c r="AY1" s="19" t="s">
        <v>275</v>
      </c>
      <c r="AZ1" s="33" t="s">
        <v>253</v>
      </c>
      <c r="BA1" s="21" t="s">
        <v>254</v>
      </c>
      <c r="BB1" s="21" t="s">
        <v>255</v>
      </c>
      <c r="BC1" s="21" t="s">
        <v>256</v>
      </c>
      <c r="BD1" s="33" t="s">
        <v>257</v>
      </c>
      <c r="BE1" s="21" t="s">
        <v>258</v>
      </c>
    </row>
    <row r="2" spans="1:58" x14ac:dyDescent="0.25">
      <c r="A2" s="40" t="s">
        <v>17</v>
      </c>
      <c r="B2" s="40" t="s">
        <v>18</v>
      </c>
      <c r="C2" s="40" t="s">
        <v>19</v>
      </c>
      <c r="D2" s="40" t="s">
        <v>20</v>
      </c>
      <c r="E2" s="40" t="s">
        <v>21</v>
      </c>
      <c r="F2" s="40" t="s">
        <v>22</v>
      </c>
      <c r="G2" s="40" t="s">
        <v>23</v>
      </c>
      <c r="H2" s="40" t="s">
        <v>24</v>
      </c>
      <c r="I2" s="40" t="s">
        <v>126</v>
      </c>
      <c r="J2" s="40">
        <v>0.29122564894441072</v>
      </c>
      <c r="K2" s="40">
        <v>0.28180139706032864</v>
      </c>
      <c r="L2" s="40">
        <v>1.1969003684427947E-2</v>
      </c>
      <c r="M2" s="40">
        <v>2.4265818773929677</v>
      </c>
      <c r="N2" s="40">
        <v>0.60519823534717099</v>
      </c>
      <c r="O2" s="40">
        <v>0.97713770858609206</v>
      </c>
      <c r="P2" s="40">
        <v>1.5902545152450633E-2</v>
      </c>
      <c r="Q2" s="41" t="s">
        <v>26</v>
      </c>
      <c r="T2" s="20" t="s">
        <v>182</v>
      </c>
      <c r="U2" s="22">
        <v>7968.2865309159624</v>
      </c>
      <c r="V2" s="22">
        <v>5381.4103472313436</v>
      </c>
      <c r="W2" s="22">
        <v>11495.117435540677</v>
      </c>
      <c r="X2" s="22">
        <v>15142.135818236819</v>
      </c>
      <c r="Y2" s="22">
        <v>25718.485908156523</v>
      </c>
      <c r="Z2" s="22">
        <v>15352.237935493893</v>
      </c>
      <c r="AA2" s="22">
        <v>302.33315876642479</v>
      </c>
      <c r="AD2" s="20" t="s">
        <v>264</v>
      </c>
      <c r="AE2" s="31">
        <v>4881.4567791585841</v>
      </c>
      <c r="AF2" s="31">
        <v>3484.7531611539343</v>
      </c>
      <c r="AG2" s="31">
        <v>11285.814285650804</v>
      </c>
      <c r="AH2" s="31">
        <v>14262.918278514924</v>
      </c>
      <c r="AI2" s="31">
        <v>24641.60252687621</v>
      </c>
      <c r="AJ2" s="31">
        <v>10211.182493209713</v>
      </c>
      <c r="AK2" s="31">
        <v>270.94873584985027</v>
      </c>
      <c r="AN2" s="20" t="s">
        <v>182</v>
      </c>
      <c r="AO2" s="22">
        <v>7968.2865309159624</v>
      </c>
      <c r="AP2" s="22">
        <v>5381.4103472313454</v>
      </c>
      <c r="AQ2" s="22">
        <v>11495.117435540684</v>
      </c>
      <c r="AR2" s="22">
        <v>15142.135818236828</v>
      </c>
      <c r="AS2" s="22">
        <v>25718.48590815653</v>
      </c>
      <c r="AT2" s="22">
        <v>15352.237935493893</v>
      </c>
      <c r="AU2" s="22">
        <v>302.33315876642462</v>
      </c>
      <c r="AW2" t="s">
        <v>182</v>
      </c>
      <c r="AX2" t="s">
        <v>26</v>
      </c>
      <c r="AY2" t="s">
        <v>187</v>
      </c>
      <c r="AZ2" s="21">
        <v>135.67763128743076</v>
      </c>
      <c r="BA2" s="21">
        <v>109.38750030309093</v>
      </c>
      <c r="BB2" s="21">
        <v>2.6667975585474273</v>
      </c>
      <c r="BC2" s="21">
        <v>46.273338831401389</v>
      </c>
      <c r="BD2" s="21">
        <v>64.411697325021336</v>
      </c>
      <c r="BE2" s="21">
        <v>825.77779098049882</v>
      </c>
      <c r="BF2" t="s">
        <v>187</v>
      </c>
    </row>
    <row r="3" spans="1:58" x14ac:dyDescent="0.25">
      <c r="A3" s="40" t="s">
        <v>17</v>
      </c>
      <c r="B3" s="40" t="s">
        <v>18</v>
      </c>
      <c r="C3" s="40" t="s">
        <v>19</v>
      </c>
      <c r="D3" s="40" t="s">
        <v>20</v>
      </c>
      <c r="E3" s="40" t="s">
        <v>21</v>
      </c>
      <c r="F3" s="40" t="s">
        <v>22</v>
      </c>
      <c r="G3" s="40" t="s">
        <v>23</v>
      </c>
      <c r="H3" s="40" t="s">
        <v>143</v>
      </c>
      <c r="I3" s="40" t="s">
        <v>148</v>
      </c>
      <c r="J3" s="40">
        <v>0.24191573333333333</v>
      </c>
      <c r="K3" s="40">
        <v>5.3632718080000003E-2</v>
      </c>
      <c r="L3" s="40"/>
      <c r="M3" s="40"/>
      <c r="N3" s="40"/>
      <c r="O3" s="40"/>
      <c r="P3" s="40"/>
      <c r="Q3" s="41" t="s">
        <v>26</v>
      </c>
      <c r="T3" s="20" t="s">
        <v>17</v>
      </c>
      <c r="U3" s="22">
        <v>1889.5219139538081</v>
      </c>
      <c r="V3" s="22">
        <v>775.13579142932713</v>
      </c>
      <c r="W3" s="22">
        <v>13.466701684506617</v>
      </c>
      <c r="X3" s="22">
        <v>3025.4719556252176</v>
      </c>
      <c r="Y3" s="22">
        <v>950.32817176359197</v>
      </c>
      <c r="Z3" s="22">
        <v>60884.614969613671</v>
      </c>
      <c r="AA3" s="22">
        <v>9858.2230687883857</v>
      </c>
      <c r="AD3" s="20" t="s">
        <v>265</v>
      </c>
      <c r="AE3" s="31">
        <v>3086.8297517573783</v>
      </c>
      <c r="AF3" s="31">
        <v>1896.6571860774116</v>
      </c>
      <c r="AG3" s="31">
        <v>209.30314988987956</v>
      </c>
      <c r="AH3" s="31">
        <v>879.21753972190379</v>
      </c>
      <c r="AI3" s="31">
        <v>1076.8833812803193</v>
      </c>
      <c r="AJ3" s="31">
        <v>5141.0554422841806</v>
      </c>
      <c r="AK3" s="31">
        <v>31.384422916574373</v>
      </c>
      <c r="AN3" s="24" t="s">
        <v>26</v>
      </c>
      <c r="AO3" s="22">
        <v>3086.8297517573783</v>
      </c>
      <c r="AP3" s="22">
        <v>1896.6571860774116</v>
      </c>
      <c r="AQ3" s="22">
        <v>209.30314988987956</v>
      </c>
      <c r="AR3" s="22">
        <v>879.21753972190379</v>
      </c>
      <c r="AS3" s="22">
        <v>1076.8833812803193</v>
      </c>
      <c r="AT3" s="22">
        <v>5141.0554422841806</v>
      </c>
      <c r="AU3" s="22">
        <v>31.384422916574373</v>
      </c>
      <c r="AW3" t="s">
        <v>182</v>
      </c>
      <c r="AX3" t="s">
        <v>26</v>
      </c>
      <c r="AY3" t="s">
        <v>190</v>
      </c>
      <c r="AZ3" s="21">
        <v>80.136889169203315</v>
      </c>
      <c r="BA3" s="21">
        <v>33.305638497958569</v>
      </c>
      <c r="BB3" s="21">
        <v>119.39113412655303</v>
      </c>
      <c r="BC3" s="21">
        <v>133.73400171792133</v>
      </c>
      <c r="BD3" s="21">
        <v>177.67915544503984</v>
      </c>
      <c r="BE3" s="21">
        <v>11.536954357428666</v>
      </c>
      <c r="BF3" t="s">
        <v>190</v>
      </c>
    </row>
    <row r="4" spans="1:58" x14ac:dyDescent="0.25">
      <c r="A4" s="40" t="s">
        <v>17</v>
      </c>
      <c r="B4" s="40" t="s">
        <v>18</v>
      </c>
      <c r="C4" s="40" t="s">
        <v>19</v>
      </c>
      <c r="D4" s="40" t="s">
        <v>20</v>
      </c>
      <c r="E4" s="40" t="s">
        <v>21</v>
      </c>
      <c r="F4" s="40" t="s">
        <v>22</v>
      </c>
      <c r="G4" s="40" t="s">
        <v>23</v>
      </c>
      <c r="H4" s="40" t="s">
        <v>153</v>
      </c>
      <c r="I4" s="40" t="s">
        <v>154</v>
      </c>
      <c r="J4" s="40">
        <v>0.22615779329987259</v>
      </c>
      <c r="K4" s="40">
        <v>3.5066874757293427E-2</v>
      </c>
      <c r="L4" s="40"/>
      <c r="M4" s="40"/>
      <c r="N4" s="40"/>
      <c r="O4" s="40"/>
      <c r="P4" s="40"/>
      <c r="Q4" s="41" t="s">
        <v>26</v>
      </c>
      <c r="T4" s="20" t="s">
        <v>162</v>
      </c>
      <c r="U4" s="22">
        <v>3070.5464076331505</v>
      </c>
      <c r="V4" s="22">
        <v>2775.4904421868291</v>
      </c>
      <c r="W4" s="22">
        <v>301.16801507077952</v>
      </c>
      <c r="X4" s="22">
        <v>324801.50965881575</v>
      </c>
      <c r="Y4" s="22">
        <v>91641.353754737938</v>
      </c>
      <c r="Z4" s="22">
        <v>67939.322703135142</v>
      </c>
      <c r="AA4" s="22">
        <v>436.41297245346334</v>
      </c>
      <c r="AD4" t="s">
        <v>17</v>
      </c>
      <c r="AE4" s="31">
        <v>1889.5219139538081</v>
      </c>
      <c r="AF4" s="31">
        <v>775.13579142932713</v>
      </c>
      <c r="AG4" s="31">
        <v>13.466701684506617</v>
      </c>
      <c r="AH4" s="31">
        <v>3025.4719556252176</v>
      </c>
      <c r="AI4" s="31">
        <v>950.32817176359197</v>
      </c>
      <c r="AJ4" s="31">
        <v>60884.614969613671</v>
      </c>
      <c r="AK4" s="31">
        <v>9858.2230687883857</v>
      </c>
      <c r="AN4" s="24" t="s">
        <v>227</v>
      </c>
      <c r="AO4" s="22">
        <v>4881.4567791585841</v>
      </c>
      <c r="AP4" s="22">
        <v>3484.7531611539343</v>
      </c>
      <c r="AQ4" s="22">
        <v>11285.814285650804</v>
      </c>
      <c r="AR4" s="22">
        <v>14262.918278514924</v>
      </c>
      <c r="AS4" s="22">
        <v>24641.60252687621</v>
      </c>
      <c r="AT4" s="22">
        <v>10211.182493209713</v>
      </c>
      <c r="AU4" s="22">
        <v>270.94873584985027</v>
      </c>
      <c r="AW4" t="s">
        <v>182</v>
      </c>
      <c r="AX4" t="s">
        <v>26</v>
      </c>
      <c r="AY4" t="s">
        <v>191</v>
      </c>
      <c r="AZ4" s="21">
        <v>1.2692764020795998E-4</v>
      </c>
      <c r="BA4" s="21">
        <v>9.8727592870681861E-5</v>
      </c>
      <c r="BB4" s="21">
        <v>2.2080631557409023E-4</v>
      </c>
      <c r="BC4" s="21">
        <v>1.1749886966235686E-3</v>
      </c>
      <c r="BD4" s="21">
        <v>1.9272816941682742E-3</v>
      </c>
      <c r="BE4" s="21">
        <v>0.61477211857982461</v>
      </c>
      <c r="BF4" t="s">
        <v>191</v>
      </c>
    </row>
    <row r="5" spans="1:58" x14ac:dyDescent="0.25">
      <c r="A5" s="40" t="s">
        <v>17</v>
      </c>
      <c r="B5" s="40" t="s">
        <v>18</v>
      </c>
      <c r="C5" s="40" t="s">
        <v>19</v>
      </c>
      <c r="D5" s="40" t="s">
        <v>20</v>
      </c>
      <c r="E5" s="40" t="s">
        <v>21</v>
      </c>
      <c r="F5" s="40" t="s">
        <v>22</v>
      </c>
      <c r="G5" s="40" t="s">
        <v>23</v>
      </c>
      <c r="H5" s="40" t="s">
        <v>139</v>
      </c>
      <c r="I5" s="40" t="s">
        <v>141</v>
      </c>
      <c r="J5" s="40">
        <v>0.16469700000000001</v>
      </c>
      <c r="K5" s="40">
        <v>0.13144467569999999</v>
      </c>
      <c r="L5" s="40">
        <v>0</v>
      </c>
      <c r="M5" s="40">
        <v>0.32789019999999997</v>
      </c>
      <c r="N5" s="40">
        <v>6.0358000000000009E-3</v>
      </c>
      <c r="O5" s="40">
        <v>2.11562E-2</v>
      </c>
      <c r="P5" s="40">
        <v>0</v>
      </c>
      <c r="Q5" s="41" t="s">
        <v>26</v>
      </c>
      <c r="T5" s="20" t="s">
        <v>245</v>
      </c>
      <c r="U5" s="22">
        <v>12928.35485250292</v>
      </c>
      <c r="V5" s="22">
        <v>8932.0365808474999</v>
      </c>
      <c r="W5" s="22">
        <v>11809.752152295963</v>
      </c>
      <c r="X5" s="22">
        <v>342969.11743267777</v>
      </c>
      <c r="Y5" s="22">
        <v>118310.16783465806</v>
      </c>
      <c r="Z5" s="22">
        <v>144176.17560824269</v>
      </c>
      <c r="AA5" s="22">
        <v>10596.969200008274</v>
      </c>
      <c r="AD5" t="s">
        <v>162</v>
      </c>
      <c r="AE5" s="31">
        <v>3070.5464076331505</v>
      </c>
      <c r="AF5" s="31">
        <v>2775.4904421868291</v>
      </c>
      <c r="AG5" s="31">
        <v>301.16801507077952</v>
      </c>
      <c r="AH5" s="31">
        <v>324801.50965881575</v>
      </c>
      <c r="AI5" s="31">
        <v>91641.353754737938</v>
      </c>
      <c r="AJ5" s="31">
        <v>67939.322703135142</v>
      </c>
      <c r="AK5" s="31">
        <v>436.41297245346334</v>
      </c>
      <c r="AO5" t="s">
        <v>253</v>
      </c>
      <c r="AP5" t="s">
        <v>254</v>
      </c>
      <c r="AQ5" t="s">
        <v>255</v>
      </c>
      <c r="AR5" t="s">
        <v>256</v>
      </c>
      <c r="AS5" t="s">
        <v>257</v>
      </c>
      <c r="AT5" t="s">
        <v>258</v>
      </c>
      <c r="AU5" t="s">
        <v>259</v>
      </c>
      <c r="AW5" t="s">
        <v>182</v>
      </c>
      <c r="AX5" t="s">
        <v>26</v>
      </c>
      <c r="AY5" t="s">
        <v>203</v>
      </c>
      <c r="AZ5" s="21">
        <v>15.480543752896869</v>
      </c>
      <c r="BA5" s="21">
        <v>10.91631827909687</v>
      </c>
      <c r="BB5" s="21">
        <v>21.381032599343815</v>
      </c>
      <c r="BC5" s="21">
        <v>0.48309384754233953</v>
      </c>
      <c r="BD5" s="21">
        <v>2.5046650834843893</v>
      </c>
      <c r="BE5" s="21">
        <v>2.318173243970488E-2</v>
      </c>
      <c r="BF5" t="s">
        <v>203</v>
      </c>
    </row>
    <row r="6" spans="1:58" x14ac:dyDescent="0.25">
      <c r="A6" s="40" t="s">
        <v>17</v>
      </c>
      <c r="B6" s="40" t="s">
        <v>18</v>
      </c>
      <c r="C6" s="40" t="s">
        <v>19</v>
      </c>
      <c r="D6" s="40" t="s">
        <v>20</v>
      </c>
      <c r="E6" s="40" t="s">
        <v>21</v>
      </c>
      <c r="F6" s="40" t="s">
        <v>22</v>
      </c>
      <c r="G6" s="40" t="s">
        <v>23</v>
      </c>
      <c r="H6" s="40" t="s">
        <v>149</v>
      </c>
      <c r="I6" s="40" t="s">
        <v>151</v>
      </c>
      <c r="J6" s="40">
        <v>9.7843422323242127E-2</v>
      </c>
      <c r="K6" s="40">
        <v>8.9603976232863841E-2</v>
      </c>
      <c r="L6" s="40">
        <v>2.5748269032432138E-3</v>
      </c>
      <c r="M6" s="40">
        <v>0.21886028677567321</v>
      </c>
      <c r="N6" s="40">
        <v>1.5448961419459284E-2</v>
      </c>
      <c r="O6" s="40">
        <v>2.2030218984148937E-2</v>
      </c>
      <c r="P6" s="40"/>
      <c r="Q6" s="41" t="s">
        <v>26</v>
      </c>
      <c r="U6" s="29"/>
      <c r="V6" s="29"/>
      <c r="W6" s="29"/>
      <c r="X6" s="29"/>
      <c r="Y6" s="29"/>
      <c r="Z6" s="29"/>
      <c r="AA6" s="29"/>
      <c r="AN6" t="s">
        <v>266</v>
      </c>
      <c r="AO6" s="28">
        <f>+AO4/AO2</f>
        <v>0.61261059830355469</v>
      </c>
      <c r="AP6" s="28">
        <f t="shared" ref="AP6:AU6" si="0">+AP4/AP2</f>
        <v>0.6475538820314618</v>
      </c>
      <c r="AQ6" s="28">
        <f t="shared" si="0"/>
        <v>0.98179199550908847</v>
      </c>
      <c r="AR6" s="28">
        <f t="shared" si="0"/>
        <v>0.94193569848561287</v>
      </c>
      <c r="AS6" s="28">
        <f t="shared" si="0"/>
        <v>0.95812804124138617</v>
      </c>
      <c r="AT6" s="28">
        <f t="shared" si="0"/>
        <v>0.665126643823164</v>
      </c>
      <c r="AU6" s="28">
        <f t="shared" si="0"/>
        <v>0.89619258752619591</v>
      </c>
      <c r="AW6" t="s">
        <v>182</v>
      </c>
      <c r="AX6" t="s">
        <v>26</v>
      </c>
      <c r="AY6" t="s">
        <v>210</v>
      </c>
      <c r="AZ6" s="21">
        <v>3.2672198306100668</v>
      </c>
      <c r="BA6" s="21">
        <v>1.3860815353674631</v>
      </c>
      <c r="BB6" s="21">
        <v>0.67995137641339509</v>
      </c>
      <c r="BC6" s="21">
        <v>4.927466749190522</v>
      </c>
      <c r="BD6" s="21">
        <v>6.5005055640555849</v>
      </c>
      <c r="BE6" s="21">
        <v>1.7660290550572557</v>
      </c>
      <c r="BF6" t="s">
        <v>210</v>
      </c>
    </row>
    <row r="7" spans="1:58" x14ac:dyDescent="0.25">
      <c r="A7" s="40" t="s">
        <v>17</v>
      </c>
      <c r="B7" s="43" t="s">
        <v>18</v>
      </c>
      <c r="C7" s="40" t="s">
        <v>19</v>
      </c>
      <c r="D7" s="43" t="s">
        <v>20</v>
      </c>
      <c r="E7" s="43" t="s">
        <v>21</v>
      </c>
      <c r="F7" s="43" t="s">
        <v>22</v>
      </c>
      <c r="G7" s="43" t="s">
        <v>23</v>
      </c>
      <c r="H7" s="43" t="s">
        <v>24</v>
      </c>
      <c r="I7" s="43" t="s">
        <v>239</v>
      </c>
      <c r="J7" s="43">
        <v>6.6445277512148376E-3</v>
      </c>
      <c r="K7" s="43">
        <v>4.5197766783953231E-3</v>
      </c>
      <c r="L7" s="43">
        <v>6.2397172599736126E-4</v>
      </c>
      <c r="M7" s="43">
        <v>4.5503832723179073E-2</v>
      </c>
      <c r="N7" s="43">
        <v>0.11126410242121723</v>
      </c>
      <c r="O7" s="43">
        <v>2.4923701962187295E-3</v>
      </c>
      <c r="P7" s="43">
        <v>2.2365800766521201E-3</v>
      </c>
      <c r="Q7" s="41" t="s">
        <v>26</v>
      </c>
      <c r="U7" s="25" t="s">
        <v>253</v>
      </c>
      <c r="V7" s="25" t="s">
        <v>254</v>
      </c>
      <c r="W7" s="25" t="s">
        <v>255</v>
      </c>
      <c r="X7" s="25" t="s">
        <v>256</v>
      </c>
      <c r="Y7" s="25" t="s">
        <v>257</v>
      </c>
      <c r="Z7" s="25" t="s">
        <v>258</v>
      </c>
      <c r="AA7" s="25" t="s">
        <v>259</v>
      </c>
      <c r="AC7" s="44" t="s">
        <v>263</v>
      </c>
      <c r="AD7" s="44"/>
      <c r="AE7" s="44"/>
      <c r="AF7" s="44"/>
      <c r="AG7" s="44"/>
      <c r="AH7" s="44"/>
      <c r="AN7" t="s">
        <v>267</v>
      </c>
      <c r="AO7" s="28">
        <f>+AO3/AO2</f>
        <v>0.38738940169644531</v>
      </c>
      <c r="AP7" s="28">
        <f t="shared" ref="AP7:AU7" si="1">+AP3/AP2</f>
        <v>0.35244611796853831</v>
      </c>
      <c r="AQ7" s="28">
        <f t="shared" si="1"/>
        <v>1.8208004490911475E-2</v>
      </c>
      <c r="AR7" s="28">
        <f t="shared" si="1"/>
        <v>5.8064301514387101E-2</v>
      </c>
      <c r="AS7" s="28">
        <f t="shared" si="1"/>
        <v>4.1871958758613756E-2</v>
      </c>
      <c r="AT7" s="28">
        <f t="shared" si="1"/>
        <v>0.33487335617683606</v>
      </c>
      <c r="AU7" s="28">
        <f t="shared" si="1"/>
        <v>0.10380741247380421</v>
      </c>
      <c r="AW7" t="s">
        <v>182</v>
      </c>
      <c r="AX7" t="s">
        <v>26</v>
      </c>
      <c r="AY7" s="35" t="s">
        <v>184</v>
      </c>
      <c r="AZ7" s="36">
        <v>1754.1123366442912</v>
      </c>
      <c r="BA7" s="36">
        <v>1029.8898993438343</v>
      </c>
      <c r="BB7" s="21">
        <v>5.0997563456779824</v>
      </c>
      <c r="BC7" s="21">
        <v>52.312945769465173</v>
      </c>
      <c r="BD7" s="21">
        <v>88.187892705015742</v>
      </c>
      <c r="BE7" s="21">
        <v>3.3063106527238584</v>
      </c>
      <c r="BF7" t="s">
        <v>184</v>
      </c>
    </row>
    <row r="8" spans="1:58" x14ac:dyDescent="0.25">
      <c r="A8" s="40" t="s">
        <v>17</v>
      </c>
      <c r="B8" s="40" t="s">
        <v>18</v>
      </c>
      <c r="C8" s="40" t="s">
        <v>19</v>
      </c>
      <c r="D8" s="40" t="s">
        <v>20</v>
      </c>
      <c r="E8" s="40" t="s">
        <v>21</v>
      </c>
      <c r="F8" s="40" t="s">
        <v>22</v>
      </c>
      <c r="G8" s="40" t="s">
        <v>23</v>
      </c>
      <c r="H8" s="40" t="s">
        <v>153</v>
      </c>
      <c r="I8" s="40" t="s">
        <v>158</v>
      </c>
      <c r="J8" s="40">
        <v>2.1653954800976496E-3</v>
      </c>
      <c r="K8" s="40">
        <v>2.0221273481441193E-3</v>
      </c>
      <c r="L8" s="40">
        <v>0</v>
      </c>
      <c r="M8" s="40">
        <v>3.4384351668847367E-2</v>
      </c>
      <c r="N8" s="40">
        <v>8.1867503973446121E-4</v>
      </c>
      <c r="O8" s="40">
        <v>2.1326484785082708E-3</v>
      </c>
      <c r="P8" s="40">
        <v>0</v>
      </c>
      <c r="Q8" s="41" t="s">
        <v>26</v>
      </c>
      <c r="T8" s="20" t="s">
        <v>264</v>
      </c>
      <c r="U8" s="28">
        <f>+AE2/U5</f>
        <v>0.37757756766813511</v>
      </c>
      <c r="V8" s="28">
        <f t="shared" ref="V8:Z8" si="2">+AF2/V5</f>
        <v>0.39014094149884121</v>
      </c>
      <c r="W8" s="28">
        <f t="shared" si="2"/>
        <v>0.95563515136570421</v>
      </c>
      <c r="X8" s="28">
        <f t="shared" si="2"/>
        <v>4.1586596441338851E-2</v>
      </c>
      <c r="Y8" s="28">
        <f t="shared" si="2"/>
        <v>0.20827966841627318</v>
      </c>
      <c r="Z8" s="28">
        <f t="shared" si="2"/>
        <v>7.0824340083452245E-2</v>
      </c>
      <c r="AA8" s="28">
        <f>+AK2/AA5</f>
        <v>2.5568512160027673E-2</v>
      </c>
      <c r="AN8" t="s">
        <v>277</v>
      </c>
      <c r="AO8">
        <v>6265.4387685912361</v>
      </c>
      <c r="AP8">
        <v>4868.7172505865865</v>
      </c>
      <c r="AQ8">
        <v>11285.814285650804</v>
      </c>
      <c r="AR8">
        <v>14262.918278514924</v>
      </c>
      <c r="AS8">
        <v>26658.214200074926</v>
      </c>
      <c r="AT8">
        <v>10211.182493209713</v>
      </c>
      <c r="AU8">
        <v>270.94873584985027</v>
      </c>
      <c r="AW8" t="s">
        <v>182</v>
      </c>
      <c r="AX8" t="s">
        <v>26</v>
      </c>
      <c r="AY8" t="s">
        <v>192</v>
      </c>
      <c r="AZ8" s="21">
        <v>9.2880297878129736E-2</v>
      </c>
      <c r="BA8" s="21">
        <v>7.7629219818958137E-2</v>
      </c>
      <c r="BB8" s="21">
        <v>1.2309205341108865E-2</v>
      </c>
      <c r="BC8" s="21">
        <v>5.0912464544000002E-2</v>
      </c>
      <c r="BD8" s="21">
        <v>0.11309589152000002</v>
      </c>
      <c r="BE8" s="21">
        <v>147.58870861433928</v>
      </c>
      <c r="BF8" t="s">
        <v>192</v>
      </c>
    </row>
    <row r="9" spans="1:58" x14ac:dyDescent="0.25">
      <c r="A9" s="40" t="s">
        <v>17</v>
      </c>
      <c r="B9" s="43" t="s">
        <v>18</v>
      </c>
      <c r="C9" s="40" t="s">
        <v>19</v>
      </c>
      <c r="D9" s="43" t="s">
        <v>20</v>
      </c>
      <c r="E9" s="43" t="s">
        <v>21</v>
      </c>
      <c r="F9" s="43" t="s">
        <v>22</v>
      </c>
      <c r="G9" s="43" t="s">
        <v>23</v>
      </c>
      <c r="H9" s="40" t="s">
        <v>24</v>
      </c>
      <c r="I9" s="40" t="s">
        <v>238</v>
      </c>
      <c r="J9" s="43">
        <v>1.0999490088487748E-3</v>
      </c>
      <c r="K9" s="43">
        <v>1.0999490088487748E-3</v>
      </c>
      <c r="L9" s="43">
        <v>1.2872078252216778E-4</v>
      </c>
      <c r="M9" s="43">
        <v>9.4319393189320946E-3</v>
      </c>
      <c r="N9" s="43">
        <v>1.5637844573055067E-2</v>
      </c>
      <c r="O9" s="43">
        <v>9.4047048150655154E-4</v>
      </c>
      <c r="P9" s="43">
        <v>9.5154852249585672E-6</v>
      </c>
      <c r="Q9" s="41" t="s">
        <v>26</v>
      </c>
      <c r="T9" s="20" t="s">
        <v>265</v>
      </c>
      <c r="U9" s="28">
        <f>+AE3/U5</f>
        <v>0.23876431200832721</v>
      </c>
      <c r="V9" s="28">
        <f t="shared" ref="V9:AA9" si="3">+AF3/V5</f>
        <v>0.21234319507203034</v>
      </c>
      <c r="W9" s="28">
        <f t="shared" si="3"/>
        <v>1.7722907914641411E-2</v>
      </c>
      <c r="X9" s="28">
        <f t="shared" si="3"/>
        <v>2.563547255517802E-3</v>
      </c>
      <c r="Y9" s="28">
        <f t="shared" si="3"/>
        <v>9.1022048315010044E-3</v>
      </c>
      <c r="Z9" s="28">
        <f t="shared" si="3"/>
        <v>3.5658148238399114E-2</v>
      </c>
      <c r="AA9" s="28">
        <f t="shared" si="3"/>
        <v>2.961641420695067E-3</v>
      </c>
      <c r="AW9" t="s">
        <v>182</v>
      </c>
      <c r="AX9" t="s">
        <v>26</v>
      </c>
      <c r="AY9" t="s">
        <v>193</v>
      </c>
      <c r="AZ9" s="21">
        <v>1.3415643133731638</v>
      </c>
      <c r="BA9" s="21">
        <v>0.95555187682878517</v>
      </c>
      <c r="BB9" s="21">
        <v>5.3385431342539424E-2</v>
      </c>
      <c r="BC9" s="21">
        <v>0.36162980842089931</v>
      </c>
      <c r="BD9" s="21">
        <v>0.72823640921310639</v>
      </c>
      <c r="BE9" s="21">
        <v>2.139957563902767</v>
      </c>
      <c r="BF9" t="s">
        <v>193</v>
      </c>
    </row>
    <row r="10" spans="1:58" x14ac:dyDescent="0.25">
      <c r="A10" s="40" t="s">
        <v>17</v>
      </c>
      <c r="B10" s="40" t="s">
        <v>18</v>
      </c>
      <c r="C10" s="40" t="s">
        <v>19</v>
      </c>
      <c r="D10" s="40" t="s">
        <v>20</v>
      </c>
      <c r="E10" s="40" t="s">
        <v>21</v>
      </c>
      <c r="F10" s="40" t="s">
        <v>22</v>
      </c>
      <c r="G10" s="40" t="s">
        <v>23</v>
      </c>
      <c r="H10" s="40" t="s">
        <v>24</v>
      </c>
      <c r="I10" s="40" t="s">
        <v>25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1" t="s">
        <v>26</v>
      </c>
      <c r="T10" s="20" t="s">
        <v>17</v>
      </c>
      <c r="U10" s="28">
        <f>+U3/U$5</f>
        <v>0.14615331459501191</v>
      </c>
      <c r="V10" s="28">
        <f t="shared" ref="V10:AA11" si="4">+V3/V$5</f>
        <v>8.6781528984264389E-2</v>
      </c>
      <c r="W10" s="28">
        <f t="shared" si="4"/>
        <v>1.1403034975538012E-3</v>
      </c>
      <c r="X10" s="28">
        <f t="shared" si="4"/>
        <v>8.8214121967383693E-3</v>
      </c>
      <c r="Y10" s="28">
        <f t="shared" si="4"/>
        <v>8.0325147800627203E-3</v>
      </c>
      <c r="Z10" s="28">
        <f t="shared" si="4"/>
        <v>0.42229317508774894</v>
      </c>
      <c r="AA10" s="28">
        <f t="shared" si="4"/>
        <v>0.93028703610657737</v>
      </c>
      <c r="AW10" t="s">
        <v>182</v>
      </c>
      <c r="AX10" t="s">
        <v>26</v>
      </c>
      <c r="AY10" t="s">
        <v>194</v>
      </c>
      <c r="AZ10" s="21">
        <v>1.4297632047905739</v>
      </c>
      <c r="BA10" s="21">
        <v>1.0920587479858404</v>
      </c>
      <c r="BB10" s="21">
        <v>6.2666556158594816E-2</v>
      </c>
      <c r="BC10" s="21">
        <v>6.6409595519923483</v>
      </c>
      <c r="BD10" s="21">
        <v>8.3403548201111111</v>
      </c>
      <c r="BE10" s="21">
        <v>1.1833431438317976</v>
      </c>
      <c r="BF10" t="s">
        <v>194</v>
      </c>
    </row>
    <row r="11" spans="1:58" x14ac:dyDescent="0.25">
      <c r="A11" s="40" t="s">
        <v>17</v>
      </c>
      <c r="B11" s="40" t="s">
        <v>18</v>
      </c>
      <c r="C11" s="40" t="s">
        <v>19</v>
      </c>
      <c r="D11" s="40" t="s">
        <v>20</v>
      </c>
      <c r="E11" s="40" t="s">
        <v>21</v>
      </c>
      <c r="F11" s="40" t="s">
        <v>22</v>
      </c>
      <c r="G11" s="40" t="s">
        <v>23</v>
      </c>
      <c r="H11" s="40" t="s">
        <v>139</v>
      </c>
      <c r="I11" s="40" t="s">
        <v>140</v>
      </c>
      <c r="J11" s="40">
        <v>0</v>
      </c>
      <c r="K11" s="40">
        <v>0</v>
      </c>
      <c r="L11" s="40"/>
      <c r="M11" s="40"/>
      <c r="N11" s="40"/>
      <c r="O11" s="40"/>
      <c r="P11" s="40"/>
      <c r="Q11" s="41" t="s">
        <v>26</v>
      </c>
      <c r="T11" s="20" t="s">
        <v>162</v>
      </c>
      <c r="U11" s="28">
        <f>+U4/U$5</f>
        <v>0.23750480572852584</v>
      </c>
      <c r="V11" s="28">
        <f t="shared" si="4"/>
        <v>0.31073433444486431</v>
      </c>
      <c r="W11" s="28">
        <f t="shared" si="4"/>
        <v>2.5501637222101116E-2</v>
      </c>
      <c r="X11" s="28">
        <f t="shared" si="4"/>
        <v>0.94702844410640508</v>
      </c>
      <c r="Y11" s="28">
        <f t="shared" si="4"/>
        <v>0.77458561197216313</v>
      </c>
      <c r="Z11" s="28">
        <f t="shared" si="4"/>
        <v>0.47122433659039981</v>
      </c>
      <c r="AA11" s="28">
        <f t="shared" si="4"/>
        <v>4.1182810312699838E-2</v>
      </c>
      <c r="AW11" t="s">
        <v>182</v>
      </c>
      <c r="AX11" t="s">
        <v>26</v>
      </c>
      <c r="AY11" t="s">
        <v>195</v>
      </c>
      <c r="AZ11" s="21">
        <v>0.82377505626896785</v>
      </c>
      <c r="BA11" s="21">
        <v>0.58464189153884227</v>
      </c>
      <c r="BB11" s="21">
        <v>0.49387804924163947</v>
      </c>
      <c r="BC11" s="21">
        <v>1.0879230785572682</v>
      </c>
      <c r="BD11" s="21">
        <v>4.2843928122353532</v>
      </c>
      <c r="BE11" s="21">
        <v>61.850768291739897</v>
      </c>
      <c r="BF11" t="s">
        <v>195</v>
      </c>
    </row>
    <row r="12" spans="1:58" x14ac:dyDescent="0.25">
      <c r="A12" s="40" t="s">
        <v>17</v>
      </c>
      <c r="B12" s="40" t="s">
        <v>18</v>
      </c>
      <c r="C12" s="40" t="s">
        <v>19</v>
      </c>
      <c r="D12" s="40" t="s">
        <v>20</v>
      </c>
      <c r="E12" s="40" t="s">
        <v>21</v>
      </c>
      <c r="F12" s="40" t="s">
        <v>22</v>
      </c>
      <c r="G12" s="40" t="s">
        <v>23</v>
      </c>
      <c r="H12" s="40" t="s">
        <v>143</v>
      </c>
      <c r="I12" s="40" t="s">
        <v>147</v>
      </c>
      <c r="J12" s="40">
        <v>0</v>
      </c>
      <c r="K12" s="40">
        <v>0</v>
      </c>
      <c r="L12" s="40"/>
      <c r="M12" s="40"/>
      <c r="N12" s="40"/>
      <c r="O12" s="40"/>
      <c r="P12" s="40"/>
      <c r="Q12" s="41" t="s">
        <v>26</v>
      </c>
      <c r="AW12" t="s">
        <v>182</v>
      </c>
      <c r="AX12" t="s">
        <v>26</v>
      </c>
      <c r="AY12" t="s">
        <v>196</v>
      </c>
      <c r="AZ12" s="21">
        <v>96.16586531017316</v>
      </c>
      <c r="BA12" s="21">
        <v>77.24932844258538</v>
      </c>
      <c r="BB12" s="21">
        <v>5.9153220037336185</v>
      </c>
      <c r="BC12" s="21">
        <v>195.08155880999271</v>
      </c>
      <c r="BD12" s="21">
        <v>248.26687665359017</v>
      </c>
      <c r="BE12" s="21">
        <v>994.5330828205183</v>
      </c>
      <c r="BF12" t="s">
        <v>196</v>
      </c>
    </row>
    <row r="13" spans="1:58" x14ac:dyDescent="0.25">
      <c r="A13" s="40" t="s">
        <v>17</v>
      </c>
      <c r="B13" s="40" t="s">
        <v>18</v>
      </c>
      <c r="C13" s="40" t="s">
        <v>19</v>
      </c>
      <c r="D13" s="40" t="s">
        <v>20</v>
      </c>
      <c r="E13" s="40" t="s">
        <v>21</v>
      </c>
      <c r="F13" s="40" t="s">
        <v>22</v>
      </c>
      <c r="G13" s="40" t="s">
        <v>23</v>
      </c>
      <c r="H13" s="40" t="s">
        <v>149</v>
      </c>
      <c r="I13" s="40" t="s">
        <v>152</v>
      </c>
      <c r="J13" s="40">
        <v>0</v>
      </c>
      <c r="K13" s="40">
        <v>0</v>
      </c>
      <c r="L13" s="40">
        <v>0</v>
      </c>
      <c r="M13" s="40">
        <v>0</v>
      </c>
      <c r="N13" s="40"/>
      <c r="O13" s="40">
        <v>0</v>
      </c>
      <c r="P13" s="40"/>
      <c r="Q13" s="41" t="s">
        <v>26</v>
      </c>
      <c r="AW13" t="s">
        <v>182</v>
      </c>
      <c r="AX13" t="s">
        <v>26</v>
      </c>
      <c r="AY13" t="s">
        <v>197</v>
      </c>
      <c r="AZ13" s="21">
        <v>26.044065449884698</v>
      </c>
      <c r="BA13" s="21">
        <v>14.625847708999064</v>
      </c>
      <c r="BB13" s="21">
        <v>0.1793578545062125</v>
      </c>
      <c r="BC13" s="21">
        <v>61.282149274713646</v>
      </c>
      <c r="BD13" s="21">
        <v>7.4743091012358187</v>
      </c>
      <c r="BE13" s="21">
        <v>923.69211642829384</v>
      </c>
      <c r="BF13" t="s">
        <v>197</v>
      </c>
    </row>
    <row r="14" spans="1:58" x14ac:dyDescent="0.25">
      <c r="A14" s="40" t="s">
        <v>17</v>
      </c>
      <c r="B14" s="40" t="s">
        <v>18</v>
      </c>
      <c r="C14" s="40" t="s">
        <v>19</v>
      </c>
      <c r="D14" s="40" t="s">
        <v>20</v>
      </c>
      <c r="E14" s="40" t="s">
        <v>21</v>
      </c>
      <c r="F14" s="40" t="s">
        <v>22</v>
      </c>
      <c r="G14" s="40" t="s">
        <v>23</v>
      </c>
      <c r="H14" s="40" t="s">
        <v>153</v>
      </c>
      <c r="I14" s="40" t="s">
        <v>156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1" t="s">
        <v>137</v>
      </c>
      <c r="AW14" t="s">
        <v>182</v>
      </c>
      <c r="AX14" t="s">
        <v>26</v>
      </c>
      <c r="AY14" t="s">
        <v>198</v>
      </c>
      <c r="AZ14" s="21">
        <v>874.50094123656436</v>
      </c>
      <c r="BA14" s="21">
        <v>551.83555789656464</v>
      </c>
      <c r="BB14" s="21">
        <v>52.852331971777353</v>
      </c>
      <c r="BC14" s="21">
        <v>331.56579154551224</v>
      </c>
      <c r="BD14" s="21">
        <v>410.21698444613889</v>
      </c>
      <c r="BE14" s="21">
        <v>109.30033243692263</v>
      </c>
      <c r="BF14" t="s">
        <v>198</v>
      </c>
    </row>
    <row r="15" spans="1:58" x14ac:dyDescent="0.25">
      <c r="A15" s="40" t="s">
        <v>17</v>
      </c>
      <c r="B15" s="40" t="s">
        <v>18</v>
      </c>
      <c r="C15" s="40" t="s">
        <v>19</v>
      </c>
      <c r="D15" s="40" t="s">
        <v>20</v>
      </c>
      <c r="E15" s="40" t="s">
        <v>21</v>
      </c>
      <c r="F15" s="40" t="s">
        <v>22</v>
      </c>
      <c r="G15" s="40" t="s">
        <v>23</v>
      </c>
      <c r="H15" s="40" t="s">
        <v>153</v>
      </c>
      <c r="I15" s="40" t="s">
        <v>159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1" t="s">
        <v>26</v>
      </c>
      <c r="AW15" t="s">
        <v>182</v>
      </c>
      <c r="AX15" t="s">
        <v>26</v>
      </c>
      <c r="AY15" t="s">
        <v>224</v>
      </c>
      <c r="AZ15" s="21">
        <v>7.9912978777208696E-2</v>
      </c>
      <c r="BA15" s="21">
        <v>6.1744217327267856E-2</v>
      </c>
      <c r="BB15" s="21">
        <v>1.5155286960675475E-3</v>
      </c>
      <c r="BC15" s="21">
        <v>0.19332454544649186</v>
      </c>
      <c r="BD15" s="21">
        <v>0.23933076758561389</v>
      </c>
      <c r="BE15" s="21">
        <v>1.2309341902732413E-2</v>
      </c>
      <c r="BF15" t="s">
        <v>224</v>
      </c>
    </row>
    <row r="16" spans="1:58" x14ac:dyDescent="0.25">
      <c r="A16" s="40" t="s">
        <v>17</v>
      </c>
      <c r="B16" s="43" t="s">
        <v>18</v>
      </c>
      <c r="C16" s="40" t="s">
        <v>19</v>
      </c>
      <c r="D16" s="43" t="s">
        <v>20</v>
      </c>
      <c r="E16" s="43" t="s">
        <v>21</v>
      </c>
      <c r="F16" s="43" t="s">
        <v>22</v>
      </c>
      <c r="G16" s="43" t="s">
        <v>23</v>
      </c>
      <c r="H16" s="43" t="s">
        <v>143</v>
      </c>
      <c r="I16" s="43" t="s">
        <v>243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1" t="s">
        <v>26</v>
      </c>
      <c r="AW16" t="s">
        <v>182</v>
      </c>
      <c r="AX16" t="s">
        <v>26</v>
      </c>
      <c r="AY16" t="s">
        <v>199</v>
      </c>
      <c r="AZ16" s="21">
        <v>13.003768347907046</v>
      </c>
      <c r="BA16" s="21">
        <v>9.3292506411378184</v>
      </c>
      <c r="BB16" s="21">
        <v>9.8292236725658816E-2</v>
      </c>
      <c r="BC16" s="21">
        <v>4.3965136936488758</v>
      </c>
      <c r="BD16" s="21">
        <v>5.4702555414673526</v>
      </c>
      <c r="BE16" s="21">
        <v>7.7463324739613828</v>
      </c>
      <c r="BF16" t="s">
        <v>199</v>
      </c>
    </row>
    <row r="17" spans="1:58" x14ac:dyDescent="0.25">
      <c r="A17" s="40" t="s">
        <v>17</v>
      </c>
      <c r="B17" s="40" t="s">
        <v>18</v>
      </c>
      <c r="C17" s="40" t="s">
        <v>19</v>
      </c>
      <c r="D17" s="40" t="s">
        <v>20</v>
      </c>
      <c r="E17" s="40" t="s">
        <v>21</v>
      </c>
      <c r="F17" s="40" t="s">
        <v>22</v>
      </c>
      <c r="G17" s="40" t="s">
        <v>23</v>
      </c>
      <c r="H17" s="40" t="s">
        <v>127</v>
      </c>
      <c r="I17" s="40" t="s">
        <v>128</v>
      </c>
      <c r="J17" s="40"/>
      <c r="K17" s="40"/>
      <c r="L17" s="40"/>
      <c r="M17" s="40"/>
      <c r="N17" s="40"/>
      <c r="O17" s="40">
        <v>0.1215797869899277</v>
      </c>
      <c r="P17" s="40"/>
      <c r="Q17" s="41" t="s">
        <v>26</v>
      </c>
      <c r="AW17" t="s">
        <v>182</v>
      </c>
      <c r="AX17" t="s">
        <v>26</v>
      </c>
      <c r="AY17" t="s">
        <v>200</v>
      </c>
      <c r="AZ17" s="21">
        <v>27.945731307052029</v>
      </c>
      <c r="BA17" s="21">
        <v>21.441485046748838</v>
      </c>
      <c r="BB17" s="21">
        <v>7.7000838865581289E-2</v>
      </c>
      <c r="BC17" s="21">
        <v>9.3713520020490773</v>
      </c>
      <c r="BD17" s="21">
        <v>11.826811475091954</v>
      </c>
      <c r="BE17" s="21">
        <v>1108.1658515400563</v>
      </c>
      <c r="BF17" t="s">
        <v>200</v>
      </c>
    </row>
    <row r="18" spans="1:58" x14ac:dyDescent="0.25">
      <c r="A18" s="40" t="s">
        <v>17</v>
      </c>
      <c r="B18" s="40" t="s">
        <v>18</v>
      </c>
      <c r="C18" s="40" t="s">
        <v>19</v>
      </c>
      <c r="D18" s="40" t="s">
        <v>20</v>
      </c>
      <c r="E18" s="40" t="s">
        <v>21</v>
      </c>
      <c r="F18" s="40" t="s">
        <v>22</v>
      </c>
      <c r="G18" s="40" t="s">
        <v>23</v>
      </c>
      <c r="H18" s="40" t="s">
        <v>127</v>
      </c>
      <c r="I18" s="40" t="s">
        <v>129</v>
      </c>
      <c r="J18" s="40"/>
      <c r="K18" s="40"/>
      <c r="L18" s="40"/>
      <c r="M18" s="40"/>
      <c r="N18" s="40"/>
      <c r="O18" s="40">
        <v>0</v>
      </c>
      <c r="P18" s="40"/>
      <c r="Q18" s="41" t="s">
        <v>26</v>
      </c>
      <c r="AW18" t="s">
        <v>182</v>
      </c>
      <c r="AX18" t="s">
        <v>26</v>
      </c>
      <c r="AY18" t="s">
        <v>185</v>
      </c>
      <c r="AZ18" s="21">
        <v>56.726736642636141</v>
      </c>
      <c r="BA18" s="21">
        <v>34.518553700934675</v>
      </c>
      <c r="BB18" s="21">
        <v>0.3381974006398788</v>
      </c>
      <c r="BC18" s="21">
        <v>31.453403042808674</v>
      </c>
      <c r="BD18" s="21">
        <v>40.636889957819413</v>
      </c>
      <c r="BE18" s="21">
        <v>941.81760073198404</v>
      </c>
      <c r="BF18" t="s">
        <v>185</v>
      </c>
    </row>
    <row r="19" spans="1:58" x14ac:dyDescent="0.25">
      <c r="A19" s="40" t="s">
        <v>17</v>
      </c>
      <c r="B19" s="40" t="s">
        <v>18</v>
      </c>
      <c r="C19" s="40" t="s">
        <v>19</v>
      </c>
      <c r="D19" s="40" t="s">
        <v>20</v>
      </c>
      <c r="E19" s="40" t="s">
        <v>21</v>
      </c>
      <c r="F19" s="40" t="s">
        <v>22</v>
      </c>
      <c r="G19" s="40" t="s">
        <v>23</v>
      </c>
      <c r="H19" s="40" t="s">
        <v>127</v>
      </c>
      <c r="I19" s="40" t="s">
        <v>130</v>
      </c>
      <c r="J19" s="40"/>
      <c r="K19" s="40"/>
      <c r="L19" s="40"/>
      <c r="M19" s="40"/>
      <c r="N19" s="40"/>
      <c r="O19" s="40">
        <v>5.3807774324988289</v>
      </c>
      <c r="P19" s="40"/>
      <c r="Q19" s="41" t="s">
        <v>26</v>
      </c>
      <c r="AW19" t="s">
        <v>182</v>
      </c>
      <c r="AX19" t="s">
        <v>227</v>
      </c>
      <c r="AY19" t="s">
        <v>229</v>
      </c>
      <c r="AZ19" s="21">
        <v>788.49014735591368</v>
      </c>
      <c r="BA19" s="21">
        <v>382.72122187138984</v>
      </c>
      <c r="BB19" s="21">
        <v>2.1594323848639991</v>
      </c>
      <c r="BC19" s="21">
        <v>1024.0974452916707</v>
      </c>
      <c r="BD19" s="21">
        <v>546.07835236159997</v>
      </c>
      <c r="BE19" s="21">
        <v>3110.9833546755599</v>
      </c>
      <c r="BF19" t="s">
        <v>229</v>
      </c>
    </row>
    <row r="20" spans="1:58" x14ac:dyDescent="0.25">
      <c r="A20" s="40" t="s">
        <v>17</v>
      </c>
      <c r="B20" s="40" t="s">
        <v>18</v>
      </c>
      <c r="C20" s="40" t="s">
        <v>19</v>
      </c>
      <c r="D20" s="40" t="s">
        <v>20</v>
      </c>
      <c r="E20" s="40" t="s">
        <v>21</v>
      </c>
      <c r="F20" s="40" t="s">
        <v>22</v>
      </c>
      <c r="G20" s="40" t="s">
        <v>23</v>
      </c>
      <c r="H20" s="40" t="s">
        <v>127</v>
      </c>
      <c r="I20" s="40" t="s">
        <v>131</v>
      </c>
      <c r="J20" s="40"/>
      <c r="K20" s="40"/>
      <c r="L20" s="40"/>
      <c r="M20" s="40"/>
      <c r="N20" s="40"/>
      <c r="O20" s="40">
        <v>0</v>
      </c>
      <c r="P20" s="40"/>
      <c r="Q20" s="41" t="s">
        <v>26</v>
      </c>
      <c r="AW20" t="s">
        <v>182</v>
      </c>
      <c r="AX20" t="s">
        <v>227</v>
      </c>
      <c r="AY20" t="s">
        <v>230</v>
      </c>
      <c r="AZ20" s="21">
        <v>45.39087738800243</v>
      </c>
      <c r="BA20" s="21">
        <v>41.41444490201237</v>
      </c>
      <c r="BB20" s="21">
        <v>2.0869887180760327</v>
      </c>
      <c r="BC20" s="21">
        <v>582.87874299663292</v>
      </c>
      <c r="BD20" s="21">
        <v>518.63636447350177</v>
      </c>
      <c r="BE20" s="21">
        <v>177.53516825339454</v>
      </c>
      <c r="BF20" t="s">
        <v>230</v>
      </c>
    </row>
    <row r="21" spans="1:58" x14ac:dyDescent="0.25">
      <c r="A21" s="40" t="s">
        <v>17</v>
      </c>
      <c r="B21" s="40" t="s">
        <v>18</v>
      </c>
      <c r="C21" s="40" t="s">
        <v>19</v>
      </c>
      <c r="D21" s="40" t="s">
        <v>20</v>
      </c>
      <c r="E21" s="40" t="s">
        <v>21</v>
      </c>
      <c r="F21" s="40" t="s">
        <v>22</v>
      </c>
      <c r="G21" s="40" t="s">
        <v>23</v>
      </c>
      <c r="H21" s="40" t="s">
        <v>127</v>
      </c>
      <c r="I21" s="40" t="s">
        <v>132</v>
      </c>
      <c r="J21" s="40"/>
      <c r="K21" s="40"/>
      <c r="L21" s="40"/>
      <c r="M21" s="40"/>
      <c r="N21" s="40"/>
      <c r="O21" s="40">
        <v>2.2078457792419734</v>
      </c>
      <c r="P21" s="40"/>
      <c r="Q21" s="41" t="s">
        <v>26</v>
      </c>
      <c r="AW21" t="s">
        <v>182</v>
      </c>
      <c r="AX21" t="s">
        <v>227</v>
      </c>
      <c r="AY21" t="s">
        <v>237</v>
      </c>
      <c r="AZ21" s="21">
        <v>224.45829459819228</v>
      </c>
      <c r="BA21" s="21">
        <v>140.36404365142903</v>
      </c>
      <c r="BB21" s="21">
        <v>1793.0997499999999</v>
      </c>
      <c r="BC21" s="21">
        <v>2169.213399012162</v>
      </c>
      <c r="BD21" s="21">
        <v>2163.743026089981</v>
      </c>
      <c r="BE21" s="21">
        <v>69.153400000000005</v>
      </c>
      <c r="BF21" t="s">
        <v>237</v>
      </c>
    </row>
    <row r="22" spans="1:58" x14ac:dyDescent="0.25">
      <c r="A22" s="40" t="s">
        <v>17</v>
      </c>
      <c r="B22" s="40" t="s">
        <v>18</v>
      </c>
      <c r="C22" s="40" t="s">
        <v>19</v>
      </c>
      <c r="D22" s="40" t="s">
        <v>20</v>
      </c>
      <c r="E22" s="40" t="s">
        <v>21</v>
      </c>
      <c r="F22" s="40" t="s">
        <v>22</v>
      </c>
      <c r="G22" s="40" t="s">
        <v>23</v>
      </c>
      <c r="H22" s="40" t="s">
        <v>127</v>
      </c>
      <c r="I22" s="40" t="s">
        <v>133</v>
      </c>
      <c r="J22" s="40"/>
      <c r="K22" s="40"/>
      <c r="L22" s="40"/>
      <c r="M22" s="40"/>
      <c r="N22" s="40"/>
      <c r="O22" s="40">
        <v>0</v>
      </c>
      <c r="P22" s="40"/>
      <c r="Q22" s="41" t="s">
        <v>26</v>
      </c>
      <c r="AW22" t="s">
        <v>182</v>
      </c>
      <c r="AX22" t="s">
        <v>227</v>
      </c>
      <c r="AY22" t="s">
        <v>231</v>
      </c>
      <c r="AZ22" s="21">
        <v>1187.8721105673478</v>
      </c>
      <c r="BA22" s="21">
        <v>1184.0818480673479</v>
      </c>
      <c r="BB22" s="21">
        <v>53.322299999999998</v>
      </c>
      <c r="BC22" s="21">
        <v>6532.8035</v>
      </c>
      <c r="BD22" s="21">
        <v>10093.044317801283</v>
      </c>
      <c r="BE22" s="21">
        <v>384.59879999999993</v>
      </c>
      <c r="BF22" t="s">
        <v>231</v>
      </c>
    </row>
    <row r="23" spans="1:58" x14ac:dyDescent="0.25">
      <c r="A23" s="40" t="s">
        <v>17</v>
      </c>
      <c r="B23" s="40" t="s">
        <v>18</v>
      </c>
      <c r="C23" s="40" t="s">
        <v>19</v>
      </c>
      <c r="D23" s="40" t="s">
        <v>20</v>
      </c>
      <c r="E23" s="40" t="s">
        <v>21</v>
      </c>
      <c r="F23" s="40" t="s">
        <v>22</v>
      </c>
      <c r="G23" s="40" t="s">
        <v>23</v>
      </c>
      <c r="H23" s="40" t="s">
        <v>127</v>
      </c>
      <c r="I23" s="40" t="s">
        <v>134</v>
      </c>
      <c r="J23" s="40"/>
      <c r="K23" s="40"/>
      <c r="L23" s="40"/>
      <c r="M23" s="40"/>
      <c r="N23" s="40"/>
      <c r="O23" s="40">
        <v>5.2930499999999991</v>
      </c>
      <c r="P23" s="40"/>
      <c r="Q23" s="41" t="s">
        <v>26</v>
      </c>
      <c r="AW23" t="s">
        <v>182</v>
      </c>
      <c r="AX23" t="s">
        <v>227</v>
      </c>
      <c r="AY23" t="s">
        <v>228</v>
      </c>
      <c r="AZ23" s="21">
        <v>1125.807295745499</v>
      </c>
      <c r="BA23" s="21">
        <v>848.44900606778765</v>
      </c>
      <c r="BB23" s="21">
        <v>76.543591602761097</v>
      </c>
      <c r="BC23" s="21">
        <v>1639.4321685377297</v>
      </c>
      <c r="BD23" s="21">
        <v>2344.8560035169594</v>
      </c>
      <c r="BE23" s="21">
        <v>709.30611426009364</v>
      </c>
      <c r="BF23" t="s">
        <v>228</v>
      </c>
    </row>
    <row r="24" spans="1:58" x14ac:dyDescent="0.25">
      <c r="A24" s="40" t="s">
        <v>17</v>
      </c>
      <c r="B24" s="40" t="s">
        <v>18</v>
      </c>
      <c r="C24" s="40" t="s">
        <v>19</v>
      </c>
      <c r="D24" s="40" t="s">
        <v>20</v>
      </c>
      <c r="E24" s="40" t="s">
        <v>21</v>
      </c>
      <c r="F24" s="40" t="s">
        <v>22</v>
      </c>
      <c r="G24" s="40" t="s">
        <v>23</v>
      </c>
      <c r="H24" s="40" t="s">
        <v>135</v>
      </c>
      <c r="I24" s="40" t="s">
        <v>136</v>
      </c>
      <c r="J24" s="40"/>
      <c r="K24" s="40"/>
      <c r="L24" s="40"/>
      <c r="M24" s="40"/>
      <c r="N24" s="40"/>
      <c r="O24" s="40">
        <v>13.624364139412725</v>
      </c>
      <c r="P24" s="40"/>
      <c r="Q24" s="41" t="s">
        <v>137</v>
      </c>
      <c r="AW24" t="s">
        <v>182</v>
      </c>
      <c r="AX24" t="s">
        <v>227</v>
      </c>
      <c r="AY24" t="s">
        <v>236</v>
      </c>
      <c r="AZ24" s="21">
        <v>954.44172490927099</v>
      </c>
      <c r="BA24" s="21">
        <v>520.77190452127832</v>
      </c>
      <c r="BB24" s="21">
        <v>8728.4941672250916</v>
      </c>
      <c r="BC24" s="21">
        <v>1223.221780266063</v>
      </c>
      <c r="BD24" s="21">
        <v>3391.5350698103011</v>
      </c>
      <c r="BE24" s="21">
        <v>1334.1700409178545</v>
      </c>
      <c r="BF24" t="s">
        <v>236</v>
      </c>
    </row>
    <row r="25" spans="1:58" x14ac:dyDescent="0.25">
      <c r="A25" s="40" t="s">
        <v>17</v>
      </c>
      <c r="B25" s="40" t="s">
        <v>18</v>
      </c>
      <c r="C25" s="40" t="s">
        <v>19</v>
      </c>
      <c r="D25" s="40" t="s">
        <v>20</v>
      </c>
      <c r="E25" s="40" t="s">
        <v>21</v>
      </c>
      <c r="F25" s="40" t="s">
        <v>22</v>
      </c>
      <c r="G25" s="40" t="s">
        <v>23</v>
      </c>
      <c r="H25" s="40" t="s">
        <v>135</v>
      </c>
      <c r="I25" s="40" t="s">
        <v>138</v>
      </c>
      <c r="J25" s="40"/>
      <c r="K25" s="40"/>
      <c r="L25" s="40"/>
      <c r="M25" s="40"/>
      <c r="N25" s="40"/>
      <c r="O25" s="40">
        <v>0.84311050958062861</v>
      </c>
      <c r="P25" s="40"/>
      <c r="Q25" s="41" t="s">
        <v>137</v>
      </c>
      <c r="AW25" t="s">
        <v>182</v>
      </c>
      <c r="AX25" t="s">
        <v>227</v>
      </c>
      <c r="AY25" t="s">
        <v>232</v>
      </c>
      <c r="AZ25" s="21">
        <v>25.829311475851963</v>
      </c>
      <c r="BA25" s="21">
        <v>13.01259579346098</v>
      </c>
      <c r="BB25" s="21">
        <v>0.12689</v>
      </c>
      <c r="BC25" s="21">
        <v>16.881329002400001</v>
      </c>
      <c r="BD25" s="21">
        <v>39.669959453819203</v>
      </c>
      <c r="BE25" s="21">
        <v>650.54704540203852</v>
      </c>
      <c r="BF25" t="s">
        <v>232</v>
      </c>
    </row>
    <row r="26" spans="1:58" x14ac:dyDescent="0.25">
      <c r="A26" s="40" t="s">
        <v>17</v>
      </c>
      <c r="B26" s="40" t="s">
        <v>18</v>
      </c>
      <c r="C26" s="40" t="s">
        <v>19</v>
      </c>
      <c r="D26" s="40" t="s">
        <v>20</v>
      </c>
      <c r="E26" s="40" t="s">
        <v>21</v>
      </c>
      <c r="F26" s="40" t="s">
        <v>22</v>
      </c>
      <c r="G26" s="40" t="s">
        <v>23</v>
      </c>
      <c r="H26" s="40" t="s">
        <v>139</v>
      </c>
      <c r="I26" s="40" t="s">
        <v>142</v>
      </c>
      <c r="J26" s="40"/>
      <c r="K26" s="40"/>
      <c r="L26" s="40"/>
      <c r="M26" s="40"/>
      <c r="N26" s="40"/>
      <c r="O26" s="40">
        <v>0</v>
      </c>
      <c r="P26" s="40"/>
      <c r="Q26" s="41" t="s">
        <v>26</v>
      </c>
      <c r="AW26" t="s">
        <v>182</v>
      </c>
      <c r="AX26" t="s">
        <v>227</v>
      </c>
      <c r="AY26" t="s">
        <v>233</v>
      </c>
      <c r="AZ26" s="21">
        <v>242.61414842988913</v>
      </c>
      <c r="BA26" s="21">
        <v>157.68987264181084</v>
      </c>
      <c r="BB26" s="21">
        <v>152.85956809836352</v>
      </c>
      <c r="BC26" s="21">
        <v>484.90679637754175</v>
      </c>
      <c r="BD26" s="21">
        <v>2150.004770358094</v>
      </c>
      <c r="BE26" s="21">
        <v>3521.3623011323334</v>
      </c>
      <c r="BF26" t="s">
        <v>233</v>
      </c>
    </row>
    <row r="27" spans="1:58" x14ac:dyDescent="0.25">
      <c r="A27" s="40" t="s">
        <v>17</v>
      </c>
      <c r="B27" s="40" t="s">
        <v>18</v>
      </c>
      <c r="C27" s="40" t="s">
        <v>19</v>
      </c>
      <c r="D27" s="40" t="s">
        <v>20</v>
      </c>
      <c r="E27" s="40" t="s">
        <v>21</v>
      </c>
      <c r="F27" s="40" t="s">
        <v>22</v>
      </c>
      <c r="G27" s="40" t="s">
        <v>23</v>
      </c>
      <c r="H27" s="40" t="s">
        <v>143</v>
      </c>
      <c r="I27" s="40" t="s">
        <v>144</v>
      </c>
      <c r="J27" s="40"/>
      <c r="K27" s="40"/>
      <c r="L27" s="40"/>
      <c r="M27" s="40"/>
      <c r="N27" s="40"/>
      <c r="O27" s="40"/>
      <c r="P27" s="40">
        <v>2.7195752714285714E-2</v>
      </c>
      <c r="Q27" s="41" t="s">
        <v>26</v>
      </c>
      <c r="AW27" t="s">
        <v>182</v>
      </c>
      <c r="AX27" t="s">
        <v>227</v>
      </c>
      <c r="AY27" t="s">
        <v>234</v>
      </c>
      <c r="AZ27" s="21">
        <v>1.2988076470000001</v>
      </c>
      <c r="BA27" s="21">
        <v>1.287205122</v>
      </c>
      <c r="BB27" s="21">
        <v>3.8458499999999995</v>
      </c>
      <c r="BC27" s="21">
        <v>15.812249999999999</v>
      </c>
      <c r="BD27" s="21">
        <v>29.331290000000003</v>
      </c>
      <c r="BE27" s="21">
        <v>5.7741564800000003</v>
      </c>
      <c r="BF27" t="s">
        <v>234</v>
      </c>
    </row>
    <row r="28" spans="1:58" x14ac:dyDescent="0.25">
      <c r="A28" s="40" t="s">
        <v>17</v>
      </c>
      <c r="B28" s="40" t="s">
        <v>18</v>
      </c>
      <c r="C28" s="40" t="s">
        <v>19</v>
      </c>
      <c r="D28" s="40" t="s">
        <v>20</v>
      </c>
      <c r="E28" s="40" t="s">
        <v>21</v>
      </c>
      <c r="F28" s="40" t="s">
        <v>22</v>
      </c>
      <c r="G28" s="40" t="s">
        <v>23</v>
      </c>
      <c r="H28" s="40" t="s">
        <v>143</v>
      </c>
      <c r="I28" s="40" t="s">
        <v>145</v>
      </c>
      <c r="J28" s="40"/>
      <c r="K28" s="40"/>
      <c r="L28" s="40"/>
      <c r="M28" s="40"/>
      <c r="N28" s="40"/>
      <c r="O28" s="40">
        <v>3.2477950389622442E-4</v>
      </c>
      <c r="P28" s="40"/>
      <c r="Q28" s="41" t="s">
        <v>26</v>
      </c>
      <c r="AW28" t="s">
        <v>182</v>
      </c>
      <c r="AX28" t="s">
        <v>227</v>
      </c>
      <c r="AY28" t="s">
        <v>235</v>
      </c>
      <c r="AZ28" s="21">
        <v>285.2540610416163</v>
      </c>
      <c r="BA28" s="21">
        <v>194.96101851541661</v>
      </c>
      <c r="BB28" s="21">
        <v>473.27574762164801</v>
      </c>
      <c r="BC28" s="21">
        <v>573.67086703072005</v>
      </c>
      <c r="BD28" s="21">
        <v>3364.7033730106659</v>
      </c>
      <c r="BE28" s="21">
        <v>247.75211208844001</v>
      </c>
      <c r="BF28" t="s">
        <v>235</v>
      </c>
    </row>
    <row r="29" spans="1:58" x14ac:dyDescent="0.25">
      <c r="A29" s="40" t="s">
        <v>17</v>
      </c>
      <c r="B29" s="40" t="s">
        <v>18</v>
      </c>
      <c r="C29" s="40" t="s">
        <v>19</v>
      </c>
      <c r="D29" s="40" t="s">
        <v>20</v>
      </c>
      <c r="E29" s="40" t="s">
        <v>21</v>
      </c>
      <c r="F29" s="40" t="s">
        <v>22</v>
      </c>
      <c r="G29" s="40" t="s">
        <v>23</v>
      </c>
      <c r="H29" s="40" t="s">
        <v>143</v>
      </c>
      <c r="I29" s="40" t="s">
        <v>146</v>
      </c>
      <c r="J29" s="40"/>
      <c r="K29" s="40"/>
      <c r="L29" s="40"/>
      <c r="M29" s="40"/>
      <c r="N29" s="40"/>
      <c r="O29" s="40"/>
      <c r="P29" s="40">
        <v>0.19979999999999998</v>
      </c>
      <c r="Q29" s="41" t="s">
        <v>26</v>
      </c>
    </row>
    <row r="30" spans="1:58" x14ac:dyDescent="0.25">
      <c r="A30" s="40" t="s">
        <v>17</v>
      </c>
      <c r="B30" s="40" t="s">
        <v>18</v>
      </c>
      <c r="C30" s="40" t="s">
        <v>19</v>
      </c>
      <c r="D30" s="40" t="s">
        <v>20</v>
      </c>
      <c r="E30" s="40" t="s">
        <v>21</v>
      </c>
      <c r="F30" s="40" t="s">
        <v>22</v>
      </c>
      <c r="G30" s="40" t="s">
        <v>23</v>
      </c>
      <c r="H30" s="40" t="s">
        <v>149</v>
      </c>
      <c r="I30" s="40" t="s">
        <v>150</v>
      </c>
      <c r="J30" s="40"/>
      <c r="K30" s="40"/>
      <c r="L30" s="40"/>
      <c r="M30" s="40"/>
      <c r="N30" s="40"/>
      <c r="O30" s="40">
        <v>0.85695864532782651</v>
      </c>
      <c r="P30" s="40"/>
      <c r="Q30" s="41" t="s">
        <v>26</v>
      </c>
      <c r="AW30" t="s">
        <v>253</v>
      </c>
    </row>
    <row r="31" spans="1:58" x14ac:dyDescent="0.25">
      <c r="A31" s="40" t="s">
        <v>17</v>
      </c>
      <c r="B31" s="40" t="s">
        <v>18</v>
      </c>
      <c r="C31" s="40" t="s">
        <v>19</v>
      </c>
      <c r="D31" s="40" t="s">
        <v>20</v>
      </c>
      <c r="E31" s="40" t="s">
        <v>21</v>
      </c>
      <c r="F31" s="40" t="s">
        <v>22</v>
      </c>
      <c r="G31" s="40" t="s">
        <v>23</v>
      </c>
      <c r="H31" s="40" t="s">
        <v>153</v>
      </c>
      <c r="I31" s="40" t="s">
        <v>155</v>
      </c>
      <c r="J31" s="40"/>
      <c r="K31" s="40"/>
      <c r="L31" s="40"/>
      <c r="M31" s="40"/>
      <c r="N31" s="40"/>
      <c r="O31" s="40"/>
      <c r="P31" s="40">
        <v>3.9514339213871388</v>
      </c>
      <c r="Q31" s="41" t="s">
        <v>26</v>
      </c>
      <c r="AW31" t="s">
        <v>268</v>
      </c>
      <c r="AX31" t="s">
        <v>270</v>
      </c>
    </row>
    <row r="32" spans="1:58" x14ac:dyDescent="0.25">
      <c r="A32" s="40" t="s">
        <v>17</v>
      </c>
      <c r="B32" s="40" t="s">
        <v>18</v>
      </c>
      <c r="C32" s="40" t="s">
        <v>19</v>
      </c>
      <c r="D32" s="40" t="s">
        <v>20</v>
      </c>
      <c r="E32" s="40" t="s">
        <v>21</v>
      </c>
      <c r="F32" s="40" t="s">
        <v>22</v>
      </c>
      <c r="G32" s="40" t="s">
        <v>23</v>
      </c>
      <c r="H32" s="40" t="s">
        <v>153</v>
      </c>
      <c r="I32" s="40" t="s">
        <v>157</v>
      </c>
      <c r="J32" s="40"/>
      <c r="K32" s="40"/>
      <c r="L32" s="40"/>
      <c r="M32" s="40"/>
      <c r="N32" s="40"/>
      <c r="O32" s="40">
        <v>0</v>
      </c>
      <c r="P32" s="40"/>
      <c r="Q32" s="41" t="s">
        <v>26</v>
      </c>
      <c r="AV32">
        <v>6</v>
      </c>
      <c r="AW32" t="s">
        <v>269</v>
      </c>
      <c r="AX32" s="34">
        <f>+AO2-SUM(AX33:AX37)</f>
        <v>2071.5521218129888</v>
      </c>
    </row>
    <row r="33" spans="1:50" x14ac:dyDescent="0.25">
      <c r="A33" s="40" t="s">
        <v>17</v>
      </c>
      <c r="B33" s="43" t="s">
        <v>18</v>
      </c>
      <c r="C33" s="40" t="s">
        <v>19</v>
      </c>
      <c r="D33" s="43" t="s">
        <v>20</v>
      </c>
      <c r="E33" s="43" t="s">
        <v>21</v>
      </c>
      <c r="F33" s="43" t="s">
        <v>22</v>
      </c>
      <c r="G33" s="43" t="s">
        <v>23</v>
      </c>
      <c r="H33" s="43" t="s">
        <v>240</v>
      </c>
      <c r="I33" s="43" t="s">
        <v>241</v>
      </c>
      <c r="J33" s="43"/>
      <c r="K33" s="43"/>
      <c r="L33" s="43"/>
      <c r="M33" s="43"/>
      <c r="N33" s="43"/>
      <c r="O33" s="43">
        <v>0</v>
      </c>
      <c r="P33" s="43"/>
      <c r="Q33" s="41" t="s">
        <v>26</v>
      </c>
      <c r="T33" s="19" t="s">
        <v>244</v>
      </c>
      <c r="U33" t="s">
        <v>246</v>
      </c>
      <c r="V33" t="s">
        <v>247</v>
      </c>
      <c r="W33" t="s">
        <v>248</v>
      </c>
      <c r="X33" t="s">
        <v>249</v>
      </c>
      <c r="Y33" t="s">
        <v>250</v>
      </c>
      <c r="Z33" t="s">
        <v>251</v>
      </c>
      <c r="AA33" t="s">
        <v>252</v>
      </c>
      <c r="AV33">
        <v>5</v>
      </c>
      <c r="AW33" t="str">
        <f>+VLOOKUP(AX33,$AZ$2:$BF$28,7,)</f>
        <v>Minerales no metálicos</v>
      </c>
      <c r="AX33" s="29">
        <f>+LARGE($AZ$2:$AZ$28,AV33)</f>
        <v>874.50094123656436</v>
      </c>
    </row>
    <row r="34" spans="1:50" x14ac:dyDescent="0.25">
      <c r="A34" s="40" t="s">
        <v>17</v>
      </c>
      <c r="B34" s="43" t="s">
        <v>18</v>
      </c>
      <c r="C34" s="40" t="s">
        <v>19</v>
      </c>
      <c r="D34" s="43"/>
      <c r="E34" s="43" t="s">
        <v>21</v>
      </c>
      <c r="F34" s="43" t="s">
        <v>22</v>
      </c>
      <c r="G34" s="43" t="s">
        <v>23</v>
      </c>
      <c r="H34" s="43" t="s">
        <v>240</v>
      </c>
      <c r="I34" s="43" t="s">
        <v>242</v>
      </c>
      <c r="J34" s="43"/>
      <c r="K34" s="43"/>
      <c r="L34" s="43"/>
      <c r="M34" s="43"/>
      <c r="N34" s="43"/>
      <c r="O34" s="43">
        <v>0.21896421844936692</v>
      </c>
      <c r="P34" s="43"/>
      <c r="Q34" s="41" t="s">
        <v>26</v>
      </c>
      <c r="T34" s="20" t="s">
        <v>187</v>
      </c>
      <c r="U34" s="21">
        <v>135.67763128743076</v>
      </c>
      <c r="V34" s="21">
        <v>109.38750030309093</v>
      </c>
      <c r="W34" s="21">
        <v>2.6667975585474273</v>
      </c>
      <c r="X34" s="21">
        <v>46.273338831401396</v>
      </c>
      <c r="Y34" s="21">
        <v>64.41169732502135</v>
      </c>
      <c r="Z34" s="21">
        <v>825.77779098049859</v>
      </c>
      <c r="AA34" s="21">
        <v>1.8011616207953567</v>
      </c>
      <c r="AB34" t="str">
        <f t="shared" ref="AB34:AB65" si="5">+T34</f>
        <v>Accesorios, aparatos eléctricos y equipos de generación eléctrica</v>
      </c>
      <c r="AV34">
        <v>4</v>
      </c>
      <c r="AW34" t="str">
        <f>+VLOOKUP(AX34,$AZ$2:$BF$28,7,)</f>
        <v>Petróleo y petroquímica</v>
      </c>
      <c r="AX34" s="29">
        <f>+LARGE($AZ$2:$AZ$28,AV34)</f>
        <v>954.44172490927099</v>
      </c>
    </row>
    <row r="35" spans="1:50" x14ac:dyDescent="0.25">
      <c r="A35" s="40" t="s">
        <v>17</v>
      </c>
      <c r="B35" s="40" t="s">
        <v>18</v>
      </c>
      <c r="C35" s="40" t="s">
        <v>19</v>
      </c>
      <c r="D35" s="40" t="s">
        <v>20</v>
      </c>
      <c r="E35" s="40" t="s">
        <v>21</v>
      </c>
      <c r="F35" s="40" t="s">
        <v>35</v>
      </c>
      <c r="G35" s="40" t="s">
        <v>36</v>
      </c>
      <c r="H35" s="40" t="s">
        <v>139</v>
      </c>
      <c r="I35" s="40" t="s">
        <v>141</v>
      </c>
      <c r="J35" s="40">
        <v>50.80630620000003</v>
      </c>
      <c r="K35" s="40">
        <v>40.548512978219989</v>
      </c>
      <c r="L35" s="40">
        <v>0</v>
      </c>
      <c r="M35" s="40">
        <v>101.14871491999986</v>
      </c>
      <c r="N35" s="40">
        <v>1.8619446799999981</v>
      </c>
      <c r="O35" s="40">
        <v>6.5263385199999933</v>
      </c>
      <c r="P35" s="40">
        <v>0</v>
      </c>
      <c r="Q35" s="41" t="s">
        <v>26</v>
      </c>
      <c r="T35" s="20" t="s">
        <v>140</v>
      </c>
      <c r="U35" s="21">
        <v>241.25158885153741</v>
      </c>
      <c r="V35" s="21">
        <v>24.125158885153741</v>
      </c>
      <c r="W35" s="21"/>
      <c r="X35" s="21"/>
      <c r="Y35" s="21"/>
      <c r="Z35" s="21"/>
      <c r="AA35" s="21"/>
      <c r="AB35" t="str">
        <f t="shared" si="5"/>
        <v>Actividades de la construcción</v>
      </c>
      <c r="AV35">
        <v>3</v>
      </c>
      <c r="AW35" t="str">
        <f>+VLOOKUP(AX35,$AZ$2:$BF$28,7,)</f>
        <v>Metalúrgica (incluye la siderúrgica) </v>
      </c>
      <c r="AX35" s="29">
        <f>+LARGE($AZ$2:$AZ$28,AV35)</f>
        <v>1125.807295745499</v>
      </c>
    </row>
    <row r="36" spans="1:50" x14ac:dyDescent="0.25">
      <c r="A36" s="40" t="s">
        <v>17</v>
      </c>
      <c r="B36" s="40" t="s">
        <v>18</v>
      </c>
      <c r="C36" s="40" t="s">
        <v>19</v>
      </c>
      <c r="D36" s="40" t="s">
        <v>20</v>
      </c>
      <c r="E36" s="40" t="s">
        <v>21</v>
      </c>
      <c r="F36" s="40" t="s">
        <v>35</v>
      </c>
      <c r="G36" s="40" t="s">
        <v>36</v>
      </c>
      <c r="H36" s="40" t="s">
        <v>153</v>
      </c>
      <c r="I36" s="40" t="s">
        <v>154</v>
      </c>
      <c r="J36" s="40">
        <v>48.324001090810206</v>
      </c>
      <c r="K36" s="40">
        <v>7.492873313350052</v>
      </c>
      <c r="L36" s="40"/>
      <c r="M36" s="40"/>
      <c r="N36" s="40"/>
      <c r="O36" s="40"/>
      <c r="P36" s="40"/>
      <c r="Q36" s="41" t="s">
        <v>26</v>
      </c>
      <c r="T36" s="20" t="s">
        <v>150</v>
      </c>
      <c r="U36" s="21"/>
      <c r="V36" s="21"/>
      <c r="W36" s="21"/>
      <c r="X36" s="21"/>
      <c r="Y36" s="21"/>
      <c r="Z36" s="21">
        <v>5102.3317742818781</v>
      </c>
      <c r="AA36" s="21"/>
      <c r="AB36" t="str">
        <f t="shared" si="5"/>
        <v>Aguas Residuales</v>
      </c>
      <c r="AV36">
        <v>2</v>
      </c>
      <c r="AW36" t="str">
        <f>+VLOOKUP(AX36,$AZ$2:$BF$28,7,)</f>
        <v>Generación de energía eléctrica</v>
      </c>
      <c r="AX36" s="29">
        <f>+LARGE($AZ$2:$AZ$28,AV36)</f>
        <v>1187.8721105673478</v>
      </c>
    </row>
    <row r="37" spans="1:50" x14ac:dyDescent="0.25">
      <c r="A37" s="40" t="s">
        <v>17</v>
      </c>
      <c r="B37" s="40" t="s">
        <v>18</v>
      </c>
      <c r="C37" s="40" t="s">
        <v>19</v>
      </c>
      <c r="D37" s="40" t="s">
        <v>20</v>
      </c>
      <c r="E37" s="40" t="s">
        <v>21</v>
      </c>
      <c r="F37" s="40" t="s">
        <v>35</v>
      </c>
      <c r="G37" s="40" t="s">
        <v>36</v>
      </c>
      <c r="H37" s="40" t="s">
        <v>24</v>
      </c>
      <c r="I37" s="40" t="s">
        <v>126</v>
      </c>
      <c r="J37" s="40">
        <v>13.931175906433502</v>
      </c>
      <c r="K37" s="40">
        <v>13.588630557479757</v>
      </c>
      <c r="L37" s="40">
        <v>0.78430556429963183</v>
      </c>
      <c r="M37" s="40">
        <v>119.64240311648521</v>
      </c>
      <c r="N37" s="40">
        <v>68.389852019980864</v>
      </c>
      <c r="O37" s="40">
        <v>37.509164173389969</v>
      </c>
      <c r="P37" s="40">
        <v>0.66895785175391032</v>
      </c>
      <c r="Q37" s="41" t="s">
        <v>26</v>
      </c>
      <c r="T37" s="20" t="s">
        <v>190</v>
      </c>
      <c r="U37" s="21">
        <v>80.136889169203329</v>
      </c>
      <c r="V37" s="21">
        <v>33.305638497958569</v>
      </c>
      <c r="W37" s="21">
        <v>119.39113412655303</v>
      </c>
      <c r="X37" s="21">
        <v>133.73400171792133</v>
      </c>
      <c r="Y37" s="21">
        <v>177.67915544503987</v>
      </c>
      <c r="Z37" s="21">
        <v>11.536954357428666</v>
      </c>
      <c r="AA37" s="21">
        <v>5.0072702701584975</v>
      </c>
      <c r="AB37" t="str">
        <f t="shared" si="5"/>
        <v>Alimentos y Bebidas</v>
      </c>
      <c r="AV37">
        <v>1</v>
      </c>
      <c r="AW37" t="str">
        <f>+VLOOKUP(AX37,$AZ$2:$BF$28,7,)</f>
        <v>Extracción/Beneficio minerales no metálicos</v>
      </c>
      <c r="AX37" s="29">
        <f>+LARGE($AZ$2:$AZ$28,AV37)</f>
        <v>1754.1123366442912</v>
      </c>
    </row>
    <row r="38" spans="1:50" x14ac:dyDescent="0.25">
      <c r="A38" s="40" t="s">
        <v>17</v>
      </c>
      <c r="B38" s="40" t="s">
        <v>18</v>
      </c>
      <c r="C38" s="40" t="s">
        <v>19</v>
      </c>
      <c r="D38" s="40" t="s">
        <v>20</v>
      </c>
      <c r="E38" s="40" t="s">
        <v>21</v>
      </c>
      <c r="F38" s="40" t="s">
        <v>35</v>
      </c>
      <c r="G38" s="40" t="s">
        <v>36</v>
      </c>
      <c r="H38" s="40" t="s">
        <v>143</v>
      </c>
      <c r="I38" s="40" t="s">
        <v>147</v>
      </c>
      <c r="J38" s="40">
        <v>3.5023992000000002</v>
      </c>
      <c r="K38" s="40">
        <v>0.39997398864</v>
      </c>
      <c r="L38" s="40"/>
      <c r="M38" s="40"/>
      <c r="N38" s="40"/>
      <c r="O38" s="40"/>
      <c r="P38" s="40"/>
      <c r="Q38" s="41" t="s">
        <v>26</v>
      </c>
      <c r="T38" s="20" t="s">
        <v>191</v>
      </c>
      <c r="U38" s="21">
        <v>1.2692764020795998E-4</v>
      </c>
      <c r="V38" s="21">
        <v>9.8727592870681861E-5</v>
      </c>
      <c r="W38" s="21">
        <v>2.2080631557409023E-4</v>
      </c>
      <c r="X38" s="21">
        <v>1.1749886966235686E-3</v>
      </c>
      <c r="Y38" s="21">
        <v>1.9272816941682742E-3</v>
      </c>
      <c r="Z38" s="21">
        <v>0.61477211857982461</v>
      </c>
      <c r="AA38" s="21">
        <v>6.7788402249397821E-5</v>
      </c>
      <c r="AB38" t="str">
        <f t="shared" si="5"/>
        <v>Almacenamiento de combustibles</v>
      </c>
    </row>
    <row r="39" spans="1:50" x14ac:dyDescent="0.25">
      <c r="A39" s="40" t="s">
        <v>17</v>
      </c>
      <c r="B39" s="43" t="s">
        <v>18</v>
      </c>
      <c r="C39" s="40" t="s">
        <v>19</v>
      </c>
      <c r="D39" s="43" t="s">
        <v>20</v>
      </c>
      <c r="E39" s="43" t="s">
        <v>21</v>
      </c>
      <c r="F39" s="43" t="s">
        <v>35</v>
      </c>
      <c r="G39" s="43" t="s">
        <v>36</v>
      </c>
      <c r="H39" s="43" t="s">
        <v>24</v>
      </c>
      <c r="I39" s="43" t="s">
        <v>239</v>
      </c>
      <c r="J39" s="43">
        <v>2.0166205838416027</v>
      </c>
      <c r="K39" s="43">
        <v>1.3717565830547964</v>
      </c>
      <c r="L39" s="43">
        <v>0.1893760209145624</v>
      </c>
      <c r="M39" s="43">
        <v>13.810457138428017</v>
      </c>
      <c r="N39" s="43">
        <v>33.768762444293117</v>
      </c>
      <c r="O39" s="43">
        <v>0.75643675945654332</v>
      </c>
      <c r="P39" s="43">
        <v>0.67880421135453284</v>
      </c>
      <c r="Q39" s="41" t="s">
        <v>26</v>
      </c>
      <c r="T39" s="20" t="s">
        <v>144</v>
      </c>
      <c r="U39" s="21"/>
      <c r="V39" s="21"/>
      <c r="W39" s="21"/>
      <c r="X39" s="21"/>
      <c r="Y39" s="21"/>
      <c r="Z39" s="21"/>
      <c r="AA39" s="21">
        <v>216.78048414160318</v>
      </c>
      <c r="AB39" t="str">
        <f t="shared" si="5"/>
        <v>Aplicación de fertilizantes</v>
      </c>
      <c r="AE39" s="15" t="s">
        <v>253</v>
      </c>
      <c r="AF39" s="15" t="s">
        <v>260</v>
      </c>
      <c r="AG39" s="15" t="s">
        <v>261</v>
      </c>
      <c r="AI39" s="15" t="s">
        <v>256</v>
      </c>
      <c r="AJ39" s="15" t="s">
        <v>260</v>
      </c>
      <c r="AK39" s="15" t="s">
        <v>261</v>
      </c>
    </row>
    <row r="40" spans="1:50" x14ac:dyDescent="0.25">
      <c r="A40" s="40" t="s">
        <v>17</v>
      </c>
      <c r="B40" s="43" t="s">
        <v>18</v>
      </c>
      <c r="C40" s="40" t="s">
        <v>19</v>
      </c>
      <c r="D40" s="43" t="s">
        <v>20</v>
      </c>
      <c r="E40" s="43" t="s">
        <v>21</v>
      </c>
      <c r="F40" s="43" t="s">
        <v>35</v>
      </c>
      <c r="G40" s="43" t="s">
        <v>36</v>
      </c>
      <c r="H40" s="40" t="s">
        <v>24</v>
      </c>
      <c r="I40" s="40" t="s">
        <v>238</v>
      </c>
      <c r="J40" s="43">
        <v>0.763708346206315</v>
      </c>
      <c r="K40" s="43">
        <v>0.763708346206315</v>
      </c>
      <c r="L40" s="43">
        <v>8.9372448314922651E-2</v>
      </c>
      <c r="M40" s="43">
        <v>6.5487133683760419</v>
      </c>
      <c r="N40" s="43">
        <v>10.857550960129299</v>
      </c>
      <c r="O40" s="43">
        <v>0.6529804111910178</v>
      </c>
      <c r="P40" s="43">
        <v>6.606720335254045E-3</v>
      </c>
      <c r="Q40" s="41" t="s">
        <v>26</v>
      </c>
      <c r="T40" s="20" t="s">
        <v>145</v>
      </c>
      <c r="U40" s="21"/>
      <c r="V40" s="21"/>
      <c r="W40" s="21"/>
      <c r="X40" s="21"/>
      <c r="Y40" s="21"/>
      <c r="Z40" s="21">
        <v>2.4516902197095067</v>
      </c>
      <c r="AA40" s="21"/>
      <c r="AB40" t="str">
        <f t="shared" si="5"/>
        <v>Aplicación de plaguicidas</v>
      </c>
      <c r="AC40" s="21"/>
      <c r="AE40" s="18">
        <v>1</v>
      </c>
      <c r="AF40" s="15" t="str">
        <f>+VLOOKUP(AG40,$U$34:$AB$109,8,)</f>
        <v>Extracción/Beneficio minerales no metálicos</v>
      </c>
      <c r="AG40" s="18">
        <f>+LARGE($U$34:$U$109,AE40)</f>
        <v>1754.1123366442916</v>
      </c>
      <c r="AI40" s="18">
        <v>1</v>
      </c>
      <c r="AJ40" s="15" t="str">
        <f>+VLOOKUP(AK40,$X$34:$AB$109,5,)</f>
        <v>Autos Particulares</v>
      </c>
      <c r="AK40" s="18">
        <f>+LARGE($X$34:$X$109,AI40)</f>
        <v>115032.40864934807</v>
      </c>
    </row>
    <row r="41" spans="1:50" x14ac:dyDescent="0.25">
      <c r="A41" s="40" t="s">
        <v>17</v>
      </c>
      <c r="B41" s="40" t="s">
        <v>18</v>
      </c>
      <c r="C41" s="40" t="s">
        <v>19</v>
      </c>
      <c r="D41" s="40" t="s">
        <v>20</v>
      </c>
      <c r="E41" s="40" t="s">
        <v>21</v>
      </c>
      <c r="F41" s="40" t="s">
        <v>35</v>
      </c>
      <c r="G41" s="40" t="s">
        <v>36</v>
      </c>
      <c r="H41" s="40" t="s">
        <v>149</v>
      </c>
      <c r="I41" s="40" t="s">
        <v>151</v>
      </c>
      <c r="J41" s="40">
        <v>0.60897638326965786</v>
      </c>
      <c r="K41" s="40">
        <v>0.557694161520634</v>
      </c>
      <c r="L41" s="40">
        <v>1.6025694296569946E-2</v>
      </c>
      <c r="M41" s="40">
        <v>1.3621840152084452</v>
      </c>
      <c r="N41" s="40">
        <v>9.6154165779419654E-2</v>
      </c>
      <c r="O41" s="40">
        <v>0.13711584040145244</v>
      </c>
      <c r="P41" s="40"/>
      <c r="Q41" s="41" t="s">
        <v>26</v>
      </c>
      <c r="T41" s="20" t="s">
        <v>241</v>
      </c>
      <c r="U41" s="21"/>
      <c r="V41" s="21"/>
      <c r="W41" s="21"/>
      <c r="X41" s="21"/>
      <c r="Y41" s="21"/>
      <c r="Z41" s="21">
        <v>2408.6177290041555</v>
      </c>
      <c r="AA41" s="21"/>
      <c r="AB41" t="str">
        <f t="shared" si="5"/>
        <v>Artes gráficas</v>
      </c>
      <c r="AE41" s="18">
        <v>2</v>
      </c>
      <c r="AF41" s="15" t="str">
        <f t="shared" ref="AF41:AF48" si="6">+VLOOKUP(AG41,$U$34:$AB$109,8,)</f>
        <v>Generación de energía eléctrica</v>
      </c>
      <c r="AG41" s="18">
        <f>+LARGE($U$34:$U$109,AE41)</f>
        <v>1187.8721105673478</v>
      </c>
      <c r="AI41" s="18">
        <v>2</v>
      </c>
      <c r="AJ41" s="15" t="str">
        <f t="shared" ref="AJ41:AJ48" si="7">+VLOOKUP(AK41,$X$34:$AB$109,5,)</f>
        <v>Pickup y Veh&lt;3.8Ton</v>
      </c>
      <c r="AK41" s="18">
        <f t="shared" ref="AK41:AK48" si="8">+LARGE($X$34:$X$109,AI41)</f>
        <v>73910.924882874257</v>
      </c>
    </row>
    <row r="42" spans="1:50" x14ac:dyDescent="0.25">
      <c r="A42" s="40" t="s">
        <v>17</v>
      </c>
      <c r="B42" s="40" t="s">
        <v>18</v>
      </c>
      <c r="C42" s="40" t="s">
        <v>19</v>
      </c>
      <c r="D42" s="40" t="s">
        <v>20</v>
      </c>
      <c r="E42" s="40" t="s">
        <v>21</v>
      </c>
      <c r="F42" s="40" t="s">
        <v>35</v>
      </c>
      <c r="G42" s="40" t="s">
        <v>36</v>
      </c>
      <c r="H42" s="40" t="s">
        <v>153</v>
      </c>
      <c r="I42" s="40" t="s">
        <v>158</v>
      </c>
      <c r="J42" s="40">
        <v>0.50892952841295036</v>
      </c>
      <c r="K42" s="40">
        <v>0.47525744241209367</v>
      </c>
      <c r="L42" s="40">
        <v>0</v>
      </c>
      <c r="M42" s="40">
        <v>8.0813006402056402</v>
      </c>
      <c r="N42" s="40">
        <v>0.19241192000489618</v>
      </c>
      <c r="O42" s="40">
        <v>0.50123305161275455</v>
      </c>
      <c r="P42" s="40">
        <v>0</v>
      </c>
      <c r="Q42" s="41" t="s">
        <v>26</v>
      </c>
      <c r="T42" s="20" t="s">
        <v>141</v>
      </c>
      <c r="U42" s="21">
        <v>386.60877840000006</v>
      </c>
      <c r="V42" s="21">
        <v>308.55246604103985</v>
      </c>
      <c r="W42" s="21">
        <v>0</v>
      </c>
      <c r="X42" s="21">
        <v>769.68754543999978</v>
      </c>
      <c r="Y42" s="21">
        <v>14.16840176</v>
      </c>
      <c r="Z42" s="21">
        <v>49.661940639999997</v>
      </c>
      <c r="AA42" s="21">
        <v>0</v>
      </c>
      <c r="AB42" t="str">
        <f t="shared" si="5"/>
        <v>Asados al carbón</v>
      </c>
      <c r="AE42" s="18">
        <v>3</v>
      </c>
      <c r="AF42" s="15" t="str">
        <f t="shared" si="6"/>
        <v>Metalúrgica (incluye la siderúrgica) </v>
      </c>
      <c r="AG42" s="18">
        <f t="shared" ref="AG42:AG48" si="9">+LARGE($U$34:$U$109,AE42)</f>
        <v>1125.807295745499</v>
      </c>
      <c r="AI42" s="18">
        <v>3</v>
      </c>
      <c r="AJ42" s="15" t="str">
        <f t="shared" si="7"/>
        <v>Camionetas Particulares</v>
      </c>
      <c r="AK42" s="18">
        <f t="shared" si="8"/>
        <v>33671.762428038906</v>
      </c>
    </row>
    <row r="43" spans="1:50" x14ac:dyDescent="0.25">
      <c r="A43" s="40" t="s">
        <v>17</v>
      </c>
      <c r="B43" s="40" t="s">
        <v>18</v>
      </c>
      <c r="C43" s="40" t="s">
        <v>19</v>
      </c>
      <c r="D43" s="40" t="s">
        <v>20</v>
      </c>
      <c r="E43" s="40" t="s">
        <v>21</v>
      </c>
      <c r="F43" s="40" t="s">
        <v>35</v>
      </c>
      <c r="G43" s="40" t="s">
        <v>36</v>
      </c>
      <c r="H43" s="40" t="s">
        <v>143</v>
      </c>
      <c r="I43" s="40" t="s">
        <v>148</v>
      </c>
      <c r="J43" s="40">
        <v>0.38101727999999996</v>
      </c>
      <c r="K43" s="40">
        <v>8.4471530975999992E-2</v>
      </c>
      <c r="L43" s="40"/>
      <c r="M43" s="40"/>
      <c r="N43" s="40"/>
      <c r="O43" s="40"/>
      <c r="P43" s="40"/>
      <c r="Q43" s="41" t="s">
        <v>26</v>
      </c>
      <c r="T43" s="20" t="s">
        <v>128</v>
      </c>
      <c r="U43" s="21"/>
      <c r="V43" s="21"/>
      <c r="W43" s="21"/>
      <c r="X43" s="21"/>
      <c r="Y43" s="21"/>
      <c r="Z43" s="21">
        <v>18.190669906615867</v>
      </c>
      <c r="AA43" s="21"/>
      <c r="AB43" t="str">
        <f t="shared" si="5"/>
        <v>Asfaltado</v>
      </c>
      <c r="AE43" s="18">
        <v>4</v>
      </c>
      <c r="AF43" s="15" t="str">
        <f t="shared" si="6"/>
        <v>Petróleo y petroquímica</v>
      </c>
      <c r="AG43" s="18">
        <f t="shared" si="9"/>
        <v>954.44172490927099</v>
      </c>
      <c r="AI43" s="18">
        <v>4</v>
      </c>
      <c r="AJ43" s="15" t="str">
        <f t="shared" si="7"/>
        <v>Tractocamiones</v>
      </c>
      <c r="AK43" s="18">
        <f t="shared" si="8"/>
        <v>26849.059073774668</v>
      </c>
      <c r="AW43" t="s">
        <v>255</v>
      </c>
    </row>
    <row r="44" spans="1:50" x14ac:dyDescent="0.25">
      <c r="A44" s="40" t="s">
        <v>17</v>
      </c>
      <c r="B44" s="40" t="s">
        <v>18</v>
      </c>
      <c r="C44" s="40" t="s">
        <v>19</v>
      </c>
      <c r="D44" s="40" t="s">
        <v>20</v>
      </c>
      <c r="E44" s="40" t="s">
        <v>21</v>
      </c>
      <c r="F44" s="40" t="s">
        <v>35</v>
      </c>
      <c r="G44" s="40" t="s">
        <v>36</v>
      </c>
      <c r="H44" s="40" t="s">
        <v>24</v>
      </c>
      <c r="I44" s="40" t="s">
        <v>25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1" t="s">
        <v>26</v>
      </c>
      <c r="T44" s="20" t="s">
        <v>178</v>
      </c>
      <c r="U44" s="21">
        <v>359.88698329728999</v>
      </c>
      <c r="V44" s="21">
        <v>330.49168227027673</v>
      </c>
      <c r="W44" s="21">
        <v>5.5838888040574259</v>
      </c>
      <c r="X44" s="21">
        <v>9051.8677626177159</v>
      </c>
      <c r="Y44" s="21">
        <v>5051.11600466032</v>
      </c>
      <c r="Z44" s="21">
        <v>6441.3539574615352</v>
      </c>
      <c r="AA44" s="21">
        <v>9.9369830086559983</v>
      </c>
      <c r="AB44" t="str">
        <f t="shared" si="5"/>
        <v>Autobús</v>
      </c>
      <c r="AE44" s="18">
        <v>5</v>
      </c>
      <c r="AF44" s="15" t="str">
        <f t="shared" si="6"/>
        <v>Minerales no metálicos</v>
      </c>
      <c r="AG44" s="18">
        <f t="shared" si="9"/>
        <v>874.5009412365647</v>
      </c>
      <c r="AI44" s="18">
        <v>5</v>
      </c>
      <c r="AJ44" s="15" t="str">
        <f t="shared" si="7"/>
        <v>Veh&gt;3.8Ton</v>
      </c>
      <c r="AK44" s="18">
        <f t="shared" si="8"/>
        <v>23949.45493361582</v>
      </c>
      <c r="AW44" t="s">
        <v>268</v>
      </c>
      <c r="AX44" t="s">
        <v>271</v>
      </c>
    </row>
    <row r="45" spans="1:50" x14ac:dyDescent="0.25">
      <c r="A45" s="40" t="s">
        <v>17</v>
      </c>
      <c r="B45" s="40" t="s">
        <v>18</v>
      </c>
      <c r="C45" s="40" t="s">
        <v>19</v>
      </c>
      <c r="D45" s="40" t="s">
        <v>20</v>
      </c>
      <c r="E45" s="40" t="s">
        <v>21</v>
      </c>
      <c r="F45" s="40" t="s">
        <v>35</v>
      </c>
      <c r="G45" s="40" t="s">
        <v>36</v>
      </c>
      <c r="H45" s="40" t="s">
        <v>139</v>
      </c>
      <c r="I45" s="40" t="s">
        <v>140</v>
      </c>
      <c r="J45" s="40">
        <v>0</v>
      </c>
      <c r="K45" s="40">
        <v>0</v>
      </c>
      <c r="L45" s="40"/>
      <c r="M45" s="40"/>
      <c r="N45" s="40"/>
      <c r="O45" s="40"/>
      <c r="P45" s="40"/>
      <c r="Q45" s="41" t="s">
        <v>26</v>
      </c>
      <c r="T45" s="20" t="s">
        <v>229</v>
      </c>
      <c r="U45" s="21">
        <v>788.49014735591368</v>
      </c>
      <c r="V45" s="21">
        <v>382.72122187138984</v>
      </c>
      <c r="W45" s="21">
        <v>2.1594323848639991</v>
      </c>
      <c r="X45" s="21">
        <v>1024.0974452916707</v>
      </c>
      <c r="Y45" s="21">
        <v>546.07835236159997</v>
      </c>
      <c r="Z45" s="21">
        <v>3110.9833546755599</v>
      </c>
      <c r="AA45" s="21">
        <v>11.359269021923293</v>
      </c>
      <c r="AB45" t="str">
        <f t="shared" si="5"/>
        <v>Automotriz</v>
      </c>
      <c r="AE45" s="18">
        <v>6</v>
      </c>
      <c r="AF45" s="15" t="str">
        <f t="shared" si="6"/>
        <v>Autos Particulares</v>
      </c>
      <c r="AG45" s="18">
        <f t="shared" si="9"/>
        <v>836.88912143541256</v>
      </c>
      <c r="AI45" s="18">
        <v>6</v>
      </c>
      <c r="AJ45" s="15" t="str">
        <f t="shared" si="7"/>
        <v>Taxi</v>
      </c>
      <c r="AK45" s="18">
        <f t="shared" si="8"/>
        <v>20312.711740649433</v>
      </c>
      <c r="AV45">
        <v>6</v>
      </c>
      <c r="AW45" t="s">
        <v>269</v>
      </c>
      <c r="AX45" s="29">
        <f>+AQ2-SUM(AX46:AX50)</f>
        <v>227.997068469027</v>
      </c>
    </row>
    <row r="46" spans="1:50" x14ac:dyDescent="0.25">
      <c r="A46" s="40" t="s">
        <v>17</v>
      </c>
      <c r="B46" s="40" t="s">
        <v>18</v>
      </c>
      <c r="C46" s="40" t="s">
        <v>19</v>
      </c>
      <c r="D46" s="40" t="s">
        <v>20</v>
      </c>
      <c r="E46" s="40" t="s">
        <v>21</v>
      </c>
      <c r="F46" s="40" t="s">
        <v>35</v>
      </c>
      <c r="G46" s="40" t="s">
        <v>36</v>
      </c>
      <c r="H46" s="40" t="s">
        <v>149</v>
      </c>
      <c r="I46" s="40" t="s">
        <v>152</v>
      </c>
      <c r="J46" s="40">
        <v>0</v>
      </c>
      <c r="K46" s="40">
        <v>0</v>
      </c>
      <c r="L46" s="40">
        <v>0</v>
      </c>
      <c r="M46" s="40">
        <v>0</v>
      </c>
      <c r="N46" s="40"/>
      <c r="O46" s="40">
        <v>0</v>
      </c>
      <c r="P46" s="40"/>
      <c r="Q46" s="41" t="s">
        <v>26</v>
      </c>
      <c r="T46" s="20" t="s">
        <v>174</v>
      </c>
      <c r="U46" s="21">
        <v>836.88912143541256</v>
      </c>
      <c r="V46" s="21">
        <v>739.27325150419108</v>
      </c>
      <c r="W46" s="21">
        <v>44.301715257327622</v>
      </c>
      <c r="X46" s="21">
        <v>115032.40864934807</v>
      </c>
      <c r="Y46" s="21">
        <v>30640.937902659971</v>
      </c>
      <c r="Z46" s="21">
        <v>10138.396918611861</v>
      </c>
      <c r="AA46" s="21">
        <v>168.64821109376339</v>
      </c>
      <c r="AB46" t="str">
        <f t="shared" si="5"/>
        <v>Autos Particulares</v>
      </c>
      <c r="AE46" s="18">
        <v>7</v>
      </c>
      <c r="AF46" s="15" t="str">
        <f t="shared" si="6"/>
        <v>Automotriz</v>
      </c>
      <c r="AG46" s="18">
        <f t="shared" si="9"/>
        <v>788.49014735591368</v>
      </c>
      <c r="AI46" s="18">
        <v>7</v>
      </c>
      <c r="AJ46" s="15" t="str">
        <f t="shared" si="7"/>
        <v>Motocicletas</v>
      </c>
      <c r="AK46" s="18">
        <f t="shared" si="8"/>
        <v>18770.535730404132</v>
      </c>
      <c r="AV46">
        <v>5</v>
      </c>
      <c r="AW46" t="str">
        <f>+VLOOKUP(AX46,$BB$2:$BF$28,5,)</f>
        <v>Alimentos y Bebidas</v>
      </c>
      <c r="AX46" s="29">
        <f>+LARGE($BB$2:$BB$28,AV46)</f>
        <v>119.39113412655303</v>
      </c>
    </row>
    <row r="47" spans="1:50" x14ac:dyDescent="0.25">
      <c r="A47" s="40" t="s">
        <v>17</v>
      </c>
      <c r="B47" s="40" t="s">
        <v>18</v>
      </c>
      <c r="C47" s="40" t="s">
        <v>19</v>
      </c>
      <c r="D47" s="40" t="s">
        <v>20</v>
      </c>
      <c r="E47" s="40" t="s">
        <v>21</v>
      </c>
      <c r="F47" s="40" t="s">
        <v>35</v>
      </c>
      <c r="G47" s="40" t="s">
        <v>36</v>
      </c>
      <c r="H47" s="40" t="s">
        <v>153</v>
      </c>
      <c r="I47" s="40" t="s">
        <v>156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1" t="s">
        <v>137</v>
      </c>
      <c r="T47" s="20" t="s">
        <v>154</v>
      </c>
      <c r="U47" s="21">
        <v>629.18482629613004</v>
      </c>
      <c r="V47" s="21">
        <v>97.55819236200621</v>
      </c>
      <c r="W47" s="21"/>
      <c r="X47" s="21"/>
      <c r="Y47" s="21"/>
      <c r="Z47" s="21"/>
      <c r="AA47" s="21"/>
      <c r="AB47" t="str">
        <f t="shared" si="5"/>
        <v>Caminos pavimentados y sin pavimentar</v>
      </c>
      <c r="AE47" s="18">
        <v>8</v>
      </c>
      <c r="AF47" s="15" t="str">
        <f t="shared" si="6"/>
        <v>Tractocamiones</v>
      </c>
      <c r="AG47" s="18">
        <f t="shared" si="9"/>
        <v>669.55319321243917</v>
      </c>
      <c r="AI47" s="18">
        <v>8</v>
      </c>
      <c r="AJ47" s="15" t="str">
        <f t="shared" si="7"/>
        <v>Autobús</v>
      </c>
      <c r="AK47" s="18">
        <f t="shared" si="8"/>
        <v>9051.8677626177159</v>
      </c>
      <c r="AV47">
        <v>4</v>
      </c>
      <c r="AW47" t="str">
        <f t="shared" ref="AW47:AW50" si="10">+VLOOKUP(AX47,$BB$2:$BF$28,5,)</f>
        <v>Química</v>
      </c>
      <c r="AX47" s="29">
        <f t="shared" ref="AX47:AX50" si="11">+LARGE($BB$2:$BB$28,AV47)</f>
        <v>152.85956809836352</v>
      </c>
    </row>
    <row r="48" spans="1:50" x14ac:dyDescent="0.25">
      <c r="A48" s="40" t="s">
        <v>17</v>
      </c>
      <c r="B48" s="40" t="s">
        <v>18</v>
      </c>
      <c r="C48" s="40" t="s">
        <v>19</v>
      </c>
      <c r="D48" s="40" t="s">
        <v>20</v>
      </c>
      <c r="E48" s="40" t="s">
        <v>21</v>
      </c>
      <c r="F48" s="40" t="s">
        <v>35</v>
      </c>
      <c r="G48" s="40" t="s">
        <v>36</v>
      </c>
      <c r="H48" s="40" t="s">
        <v>153</v>
      </c>
      <c r="I48" s="40" t="s">
        <v>159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1" t="s">
        <v>26</v>
      </c>
      <c r="T48" s="20" t="s">
        <v>176</v>
      </c>
      <c r="U48" s="21">
        <v>150.40427129702337</v>
      </c>
      <c r="V48" s="21">
        <v>133.40857634391486</v>
      </c>
      <c r="W48" s="21">
        <v>17.172156883414605</v>
      </c>
      <c r="X48" s="21">
        <v>33671.762428038906</v>
      </c>
      <c r="Y48" s="21">
        <v>7524.482079309656</v>
      </c>
      <c r="Z48" s="21">
        <v>3665.8218859106642</v>
      </c>
      <c r="AA48" s="21">
        <v>52.465415112346562</v>
      </c>
      <c r="AB48" t="str">
        <f t="shared" si="5"/>
        <v>Camionetas Particulares</v>
      </c>
      <c r="AE48" s="18">
        <v>9</v>
      </c>
      <c r="AF48" s="15" t="str">
        <f t="shared" si="6"/>
        <v>Caminos pavimentados y sin pavimentar</v>
      </c>
      <c r="AG48" s="18">
        <f t="shared" si="9"/>
        <v>629.18482629613004</v>
      </c>
      <c r="AI48" s="18">
        <v>9</v>
      </c>
      <c r="AJ48" s="15" t="str">
        <f t="shared" si="7"/>
        <v>Generación de energía eléctrica</v>
      </c>
      <c r="AK48" s="18">
        <f t="shared" si="8"/>
        <v>6532.8035000000018</v>
      </c>
      <c r="AV48">
        <v>3</v>
      </c>
      <c r="AW48" t="str">
        <f t="shared" si="10"/>
        <v>Vidrio</v>
      </c>
      <c r="AX48" s="29">
        <f t="shared" si="11"/>
        <v>473.27574762164801</v>
      </c>
    </row>
    <row r="49" spans="1:50" x14ac:dyDescent="0.25">
      <c r="A49" s="40" t="s">
        <v>17</v>
      </c>
      <c r="B49" s="43" t="s">
        <v>18</v>
      </c>
      <c r="C49" s="40" t="s">
        <v>19</v>
      </c>
      <c r="D49" s="43" t="s">
        <v>20</v>
      </c>
      <c r="E49" s="43" t="s">
        <v>21</v>
      </c>
      <c r="F49" s="43" t="s">
        <v>35</v>
      </c>
      <c r="G49" s="43" t="s">
        <v>36</v>
      </c>
      <c r="H49" s="43" t="s">
        <v>143</v>
      </c>
      <c r="I49" s="43" t="s">
        <v>243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1" t="s">
        <v>26</v>
      </c>
      <c r="T49" s="20" t="s">
        <v>230</v>
      </c>
      <c r="U49" s="21">
        <v>45.390877388002437</v>
      </c>
      <c r="V49" s="21">
        <v>41.414444902012377</v>
      </c>
      <c r="W49" s="21">
        <v>2.0869887180760327</v>
      </c>
      <c r="X49" s="21">
        <v>582.87874299663292</v>
      </c>
      <c r="Y49" s="21">
        <v>518.63636447350177</v>
      </c>
      <c r="Z49" s="21">
        <v>177.53516825339454</v>
      </c>
      <c r="AA49" s="21">
        <v>10.719400000001027</v>
      </c>
      <c r="AB49" t="str">
        <f t="shared" si="5"/>
        <v>Celulosa y papel </v>
      </c>
      <c r="AE49" s="18">
        <v>10</v>
      </c>
      <c r="AF49" s="15" t="s">
        <v>262</v>
      </c>
      <c r="AG49" s="18">
        <f>+U110-SUM(AG40:AG48)</f>
        <v>4107.5031551000538</v>
      </c>
      <c r="AI49" s="18">
        <v>10</v>
      </c>
      <c r="AJ49" s="15" t="s">
        <v>262</v>
      </c>
      <c r="AK49" s="18">
        <f>+X110-SUM(AK40:AK48)</f>
        <v>14887.588731354917</v>
      </c>
      <c r="AV49">
        <v>2</v>
      </c>
      <c r="AW49" t="str">
        <f t="shared" si="10"/>
        <v>Cemento y cal</v>
      </c>
      <c r="AX49" s="29">
        <f t="shared" si="11"/>
        <v>1793.0997499999999</v>
      </c>
    </row>
    <row r="50" spans="1:50" x14ac:dyDescent="0.25">
      <c r="A50" s="40" t="s">
        <v>17</v>
      </c>
      <c r="B50" s="40" t="s">
        <v>18</v>
      </c>
      <c r="C50" s="40" t="s">
        <v>19</v>
      </c>
      <c r="D50" s="40" t="s">
        <v>20</v>
      </c>
      <c r="E50" s="40" t="s">
        <v>21</v>
      </c>
      <c r="F50" s="40" t="s">
        <v>35</v>
      </c>
      <c r="G50" s="40" t="s">
        <v>36</v>
      </c>
      <c r="H50" s="40" t="s">
        <v>127</v>
      </c>
      <c r="I50" s="40" t="s">
        <v>128</v>
      </c>
      <c r="J50" s="40"/>
      <c r="K50" s="40"/>
      <c r="L50" s="40"/>
      <c r="M50" s="40"/>
      <c r="N50" s="40"/>
      <c r="O50" s="40">
        <v>1.7772030173413882</v>
      </c>
      <c r="P50" s="40"/>
      <c r="Q50" s="41" t="s">
        <v>26</v>
      </c>
      <c r="T50" s="20" t="s">
        <v>237</v>
      </c>
      <c r="U50" s="21">
        <v>224.45829459819228</v>
      </c>
      <c r="V50" s="21">
        <v>140.36404365142906</v>
      </c>
      <c r="W50" s="21">
        <v>1793.0997500000001</v>
      </c>
      <c r="X50" s="21">
        <v>2169.213399012162</v>
      </c>
      <c r="Y50" s="21">
        <v>2163.743026089981</v>
      </c>
      <c r="Z50" s="21">
        <v>69.153400000000005</v>
      </c>
      <c r="AA50" s="21">
        <v>6.6256871740264884</v>
      </c>
      <c r="AB50" t="str">
        <f t="shared" si="5"/>
        <v>Cemento y cal</v>
      </c>
      <c r="AG50" s="23">
        <f>+SUM(AG40:AG49)</f>
        <v>12928.354852502924</v>
      </c>
      <c r="AK50" s="23">
        <f>+SUM(AK40:AK49)</f>
        <v>342969.11743267789</v>
      </c>
      <c r="AV50">
        <v>1</v>
      </c>
      <c r="AW50" t="str">
        <f t="shared" si="10"/>
        <v>Petróleo y petroquímica</v>
      </c>
      <c r="AX50" s="29">
        <f t="shared" si="11"/>
        <v>8728.4941672250916</v>
      </c>
    </row>
    <row r="51" spans="1:50" x14ac:dyDescent="0.25">
      <c r="A51" s="40" t="s">
        <v>17</v>
      </c>
      <c r="B51" s="40" t="s">
        <v>18</v>
      </c>
      <c r="C51" s="40" t="s">
        <v>19</v>
      </c>
      <c r="D51" s="40" t="s">
        <v>20</v>
      </c>
      <c r="E51" s="40" t="s">
        <v>21</v>
      </c>
      <c r="F51" s="40" t="s">
        <v>35</v>
      </c>
      <c r="G51" s="40" t="s">
        <v>36</v>
      </c>
      <c r="H51" s="40" t="s">
        <v>127</v>
      </c>
      <c r="I51" s="40" t="s">
        <v>129</v>
      </c>
      <c r="J51" s="40"/>
      <c r="K51" s="40"/>
      <c r="L51" s="40"/>
      <c r="M51" s="40"/>
      <c r="N51" s="40"/>
      <c r="O51" s="40">
        <v>1.2506316290571045</v>
      </c>
      <c r="P51" s="40"/>
      <c r="Q51" s="41" t="s">
        <v>26</v>
      </c>
      <c r="T51" s="20" t="s">
        <v>177</v>
      </c>
      <c r="U51" s="21">
        <v>1.4119053065452427</v>
      </c>
      <c r="V51" s="21">
        <v>1.2513862360224597</v>
      </c>
      <c r="W51" s="21">
        <v>0.1076552865519198</v>
      </c>
      <c r="X51" s="21">
        <v>200.54635037918078</v>
      </c>
      <c r="Y51" s="21">
        <v>51.107861407858437</v>
      </c>
      <c r="Z51" s="21">
        <v>17.624268271041117</v>
      </c>
      <c r="AA51" s="21">
        <v>0.39872990353697751</v>
      </c>
      <c r="AB51" t="str">
        <f t="shared" si="5"/>
        <v>Combi</v>
      </c>
      <c r="AG51" s="23">
        <f>+AG50-U110</f>
        <v>0</v>
      </c>
      <c r="AK51" s="23">
        <f>+AK50-X110</f>
        <v>0</v>
      </c>
    </row>
    <row r="52" spans="1:50" x14ac:dyDescent="0.25">
      <c r="A52" s="40" t="s">
        <v>17</v>
      </c>
      <c r="B52" s="40" t="s">
        <v>18</v>
      </c>
      <c r="C52" s="40" t="s">
        <v>19</v>
      </c>
      <c r="D52" s="40" t="s">
        <v>20</v>
      </c>
      <c r="E52" s="40" t="s">
        <v>21</v>
      </c>
      <c r="F52" s="40" t="s">
        <v>35</v>
      </c>
      <c r="G52" s="40" t="s">
        <v>36</v>
      </c>
      <c r="H52" s="40" t="s">
        <v>127</v>
      </c>
      <c r="I52" s="40" t="s">
        <v>130</v>
      </c>
      <c r="J52" s="40"/>
      <c r="K52" s="40"/>
      <c r="L52" s="40"/>
      <c r="M52" s="40"/>
      <c r="N52" s="40"/>
      <c r="O52" s="40">
        <v>2865.1256199573622</v>
      </c>
      <c r="P52" s="40"/>
      <c r="Q52" s="41" t="s">
        <v>26</v>
      </c>
      <c r="T52" s="20" t="s">
        <v>25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t="str">
        <f t="shared" si="5"/>
        <v>Combustión Agrícola</v>
      </c>
    </row>
    <row r="53" spans="1:50" x14ac:dyDescent="0.25">
      <c r="A53" s="40" t="s">
        <v>17</v>
      </c>
      <c r="B53" s="40" t="s">
        <v>18</v>
      </c>
      <c r="C53" s="40" t="s">
        <v>19</v>
      </c>
      <c r="D53" s="40" t="s">
        <v>20</v>
      </c>
      <c r="E53" s="40" t="s">
        <v>21</v>
      </c>
      <c r="F53" s="40" t="s">
        <v>35</v>
      </c>
      <c r="G53" s="40" t="s">
        <v>36</v>
      </c>
      <c r="H53" s="40" t="s">
        <v>127</v>
      </c>
      <c r="I53" s="40" t="s">
        <v>131</v>
      </c>
      <c r="J53" s="40"/>
      <c r="K53" s="40"/>
      <c r="L53" s="40"/>
      <c r="M53" s="40"/>
      <c r="N53" s="40"/>
      <c r="O53" s="40">
        <v>59.479827549028094</v>
      </c>
      <c r="P53" s="40"/>
      <c r="Q53" s="41" t="s">
        <v>26</v>
      </c>
      <c r="T53" s="20" t="s">
        <v>238</v>
      </c>
      <c r="U53" s="21">
        <v>10.441334713310047</v>
      </c>
      <c r="V53" s="21">
        <v>10.441334713310047</v>
      </c>
      <c r="W53" s="21">
        <v>1.2218900731405855</v>
      </c>
      <c r="X53" s="21">
        <v>89.533273481170383</v>
      </c>
      <c r="Y53" s="21">
        <v>148.44321697501104</v>
      </c>
      <c r="Z53" s="21">
        <v>8.9274748251060352</v>
      </c>
      <c r="AA53" s="21">
        <v>9.0326338215745747E-2</v>
      </c>
      <c r="AB53" t="str">
        <f t="shared" si="5"/>
        <v>Combustión Comercial</v>
      </c>
    </row>
    <row r="54" spans="1:50" x14ac:dyDescent="0.25">
      <c r="A54" s="40" t="s">
        <v>17</v>
      </c>
      <c r="B54" s="40" t="s">
        <v>18</v>
      </c>
      <c r="C54" s="40" t="s">
        <v>19</v>
      </c>
      <c r="D54" s="40" t="s">
        <v>20</v>
      </c>
      <c r="E54" s="40" t="s">
        <v>21</v>
      </c>
      <c r="F54" s="40" t="s">
        <v>35</v>
      </c>
      <c r="G54" s="40" t="s">
        <v>36</v>
      </c>
      <c r="H54" s="40" t="s">
        <v>127</v>
      </c>
      <c r="I54" s="40" t="s">
        <v>132</v>
      </c>
      <c r="J54" s="40"/>
      <c r="K54" s="40"/>
      <c r="L54" s="40"/>
      <c r="M54" s="40"/>
      <c r="N54" s="40"/>
      <c r="O54" s="40">
        <v>682.87064245932879</v>
      </c>
      <c r="P54" s="40"/>
      <c r="Q54" s="41" t="s">
        <v>26</v>
      </c>
      <c r="T54" s="20" t="s">
        <v>126</v>
      </c>
      <c r="U54" s="21">
        <v>211.62082785528187</v>
      </c>
      <c r="V54" s="21">
        <v>205.15253919311473</v>
      </c>
      <c r="W54" s="21">
        <v>9.1592217261291964</v>
      </c>
      <c r="X54" s="21">
        <v>1794.0833691474088</v>
      </c>
      <c r="Y54" s="21">
        <v>570.33057510239951</v>
      </c>
      <c r="Z54" s="21">
        <v>679.061010182465</v>
      </c>
      <c r="AA54" s="21">
        <v>11.645796917369571</v>
      </c>
      <c r="AB54" t="str">
        <f t="shared" si="5"/>
        <v>Combustión Doméstica</v>
      </c>
    </row>
    <row r="55" spans="1:50" x14ac:dyDescent="0.25">
      <c r="A55" s="40" t="s">
        <v>17</v>
      </c>
      <c r="B55" s="40" t="s">
        <v>18</v>
      </c>
      <c r="C55" s="40" t="s">
        <v>19</v>
      </c>
      <c r="D55" s="40" t="s">
        <v>20</v>
      </c>
      <c r="E55" s="40" t="s">
        <v>21</v>
      </c>
      <c r="F55" s="40" t="s">
        <v>35</v>
      </c>
      <c r="G55" s="40" t="s">
        <v>36</v>
      </c>
      <c r="H55" s="40" t="s">
        <v>127</v>
      </c>
      <c r="I55" s="40" t="s">
        <v>133</v>
      </c>
      <c r="J55" s="40"/>
      <c r="K55" s="40"/>
      <c r="L55" s="40"/>
      <c r="M55" s="40"/>
      <c r="N55" s="40"/>
      <c r="O55" s="40">
        <v>597.71153388063976</v>
      </c>
      <c r="P55" s="40"/>
      <c r="Q55" s="41" t="s">
        <v>26</v>
      </c>
      <c r="T55" s="20" t="s">
        <v>239</v>
      </c>
      <c r="U55" s="21">
        <v>12.309217208598524</v>
      </c>
      <c r="V55" s="21">
        <v>8.3730424421139791</v>
      </c>
      <c r="W55" s="21">
        <v>1.1559291788526849</v>
      </c>
      <c r="X55" s="21">
        <v>84.297422147260477</v>
      </c>
      <c r="Y55" s="21">
        <v>206.1205935925413</v>
      </c>
      <c r="Z55" s="21">
        <v>4.617201892773271</v>
      </c>
      <c r="AA55" s="21">
        <v>4.1433418594574167</v>
      </c>
      <c r="AB55" t="str">
        <f t="shared" si="5"/>
        <v>Combustión Industrial</v>
      </c>
      <c r="AE55" s="15" t="s">
        <v>254</v>
      </c>
      <c r="AF55" s="15" t="s">
        <v>260</v>
      </c>
      <c r="AG55" s="15" t="s">
        <v>261</v>
      </c>
      <c r="AI55" s="15" t="s">
        <v>257</v>
      </c>
      <c r="AJ55" s="15" t="s">
        <v>260</v>
      </c>
      <c r="AK55" s="15" t="s">
        <v>261</v>
      </c>
    </row>
    <row r="56" spans="1:50" x14ac:dyDescent="0.25">
      <c r="A56" s="40" t="s">
        <v>17</v>
      </c>
      <c r="B56" s="40" t="s">
        <v>18</v>
      </c>
      <c r="C56" s="40" t="s">
        <v>19</v>
      </c>
      <c r="D56" s="40" t="s">
        <v>20</v>
      </c>
      <c r="E56" s="40" t="s">
        <v>21</v>
      </c>
      <c r="F56" s="40" t="s">
        <v>35</v>
      </c>
      <c r="G56" s="40" t="s">
        <v>36</v>
      </c>
      <c r="H56" s="40" t="s">
        <v>127</v>
      </c>
      <c r="I56" s="40" t="s">
        <v>134</v>
      </c>
      <c r="J56" s="40"/>
      <c r="K56" s="40"/>
      <c r="L56" s="40"/>
      <c r="M56" s="40"/>
      <c r="N56" s="40"/>
      <c r="O56" s="40">
        <v>1633.3549999999991</v>
      </c>
      <c r="P56" s="40"/>
      <c r="Q56" s="41" t="s">
        <v>26</v>
      </c>
      <c r="T56" s="20" t="s">
        <v>147</v>
      </c>
      <c r="U56" s="21">
        <v>31.595120400000003</v>
      </c>
      <c r="V56" s="21">
        <v>3.6081627496799995</v>
      </c>
      <c r="W56" s="21"/>
      <c r="X56" s="21"/>
      <c r="Y56" s="21"/>
      <c r="Z56" s="21"/>
      <c r="AA56" s="21"/>
      <c r="AB56" t="str">
        <f t="shared" si="5"/>
        <v>Corrales de engorda</v>
      </c>
      <c r="AE56" s="18">
        <v>1</v>
      </c>
      <c r="AF56" s="15" t="str">
        <f>+VLOOKUP(AG56,$V$34:$AB$109,7,)</f>
        <v>Generación de energía eléctrica</v>
      </c>
      <c r="AG56" s="18">
        <f>+LARGE($V$34:$V$109,AE56)</f>
        <v>1184.0818480673481</v>
      </c>
      <c r="AI56" s="18">
        <v>1</v>
      </c>
      <c r="AJ56" s="15" t="str">
        <f>+VLOOKUP(AK56,$Y$34:$AB$109,4,)</f>
        <v>Autos Particulares</v>
      </c>
      <c r="AK56" s="18">
        <f>+LARGE($Y$34:$Y$109,AI56)</f>
        <v>30640.937902659971</v>
      </c>
    </row>
    <row r="57" spans="1:50" x14ac:dyDescent="0.25">
      <c r="A57" s="40" t="s">
        <v>17</v>
      </c>
      <c r="B57" s="40" t="s">
        <v>18</v>
      </c>
      <c r="C57" s="40" t="s">
        <v>19</v>
      </c>
      <c r="D57" s="40" t="s">
        <v>20</v>
      </c>
      <c r="E57" s="40" t="s">
        <v>21</v>
      </c>
      <c r="F57" s="40" t="s">
        <v>35</v>
      </c>
      <c r="G57" s="40" t="s">
        <v>36</v>
      </c>
      <c r="H57" s="40" t="s">
        <v>135</v>
      </c>
      <c r="I57" s="40" t="s">
        <v>136</v>
      </c>
      <c r="J57" s="40"/>
      <c r="K57" s="40"/>
      <c r="L57" s="40"/>
      <c r="M57" s="40"/>
      <c r="N57" s="40"/>
      <c r="O57" s="40">
        <v>2145.244942185243</v>
      </c>
      <c r="P57" s="40"/>
      <c r="Q57" s="41" t="s">
        <v>137</v>
      </c>
      <c r="T57" s="20" t="s">
        <v>166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t="str">
        <f t="shared" si="5"/>
        <v>cruces fronterizos</v>
      </c>
      <c r="AE57" s="18">
        <v>2</v>
      </c>
      <c r="AF57" s="15" t="str">
        <f t="shared" ref="AF57:AF64" si="12">+VLOOKUP(AG57,$V$34:$AB$109,7,)</f>
        <v>Extracción/Beneficio minerales no metálicos</v>
      </c>
      <c r="AG57" s="18">
        <f t="shared" ref="AG57:AG64" si="13">+LARGE($V$34:$V$109,AE57)</f>
        <v>1029.889899343834</v>
      </c>
      <c r="AI57" s="18">
        <v>2</v>
      </c>
      <c r="AJ57" s="15" t="str">
        <f t="shared" ref="AJ57:AJ64" si="14">+VLOOKUP(AK57,$Y$34:$AB$109,4,)</f>
        <v>Pickup y Veh&lt;3.8Ton</v>
      </c>
      <c r="AK57" s="18">
        <f t="shared" ref="AK57:AK64" si="15">+LARGE($Y$34:$Y$109,AI57)</f>
        <v>15622.35409374956</v>
      </c>
      <c r="AW57" t="s">
        <v>257</v>
      </c>
    </row>
    <row r="58" spans="1:50" x14ac:dyDescent="0.25">
      <c r="A58" s="40" t="s">
        <v>17</v>
      </c>
      <c r="B58" s="40" t="s">
        <v>18</v>
      </c>
      <c r="C58" s="40" t="s">
        <v>19</v>
      </c>
      <c r="D58" s="40" t="s">
        <v>20</v>
      </c>
      <c r="E58" s="40" t="s">
        <v>21</v>
      </c>
      <c r="F58" s="40" t="s">
        <v>35</v>
      </c>
      <c r="G58" s="40" t="s">
        <v>36</v>
      </c>
      <c r="H58" s="40" t="s">
        <v>135</v>
      </c>
      <c r="I58" s="40" t="s">
        <v>138</v>
      </c>
      <c r="J58" s="40"/>
      <c r="K58" s="40"/>
      <c r="L58" s="40"/>
      <c r="M58" s="40"/>
      <c r="N58" s="40"/>
      <c r="O58" s="40">
        <v>217.29391082820982</v>
      </c>
      <c r="P58" s="40"/>
      <c r="Q58" s="41" t="s">
        <v>137</v>
      </c>
      <c r="T58" s="20" t="s">
        <v>203</v>
      </c>
      <c r="U58" s="21">
        <v>15.480543752896869</v>
      </c>
      <c r="V58" s="21">
        <v>10.91631827909687</v>
      </c>
      <c r="W58" s="21">
        <v>21.381032599343815</v>
      </c>
      <c r="X58" s="21">
        <v>0.48309384754233953</v>
      </c>
      <c r="Y58" s="21">
        <v>2.5046650834843893</v>
      </c>
      <c r="Z58" s="21">
        <v>2.318173243970488E-2</v>
      </c>
      <c r="AA58" s="21">
        <v>2.8670496E-2</v>
      </c>
      <c r="AB58" t="str">
        <f t="shared" si="5"/>
        <v>Cuero, piel y materiales sucedáneos</v>
      </c>
      <c r="AE58" s="18">
        <v>3</v>
      </c>
      <c r="AF58" s="15" t="str">
        <f t="shared" si="12"/>
        <v>Metalúrgica (incluye la siderúrgica) </v>
      </c>
      <c r="AG58" s="18">
        <f t="shared" si="13"/>
        <v>848.44900606778776</v>
      </c>
      <c r="AI58" s="18">
        <v>3</v>
      </c>
      <c r="AJ58" s="15" t="str">
        <f t="shared" si="14"/>
        <v>Tractocamiones</v>
      </c>
      <c r="AK58" s="18">
        <f t="shared" si="15"/>
        <v>11799.061755443883</v>
      </c>
      <c r="AW58" t="s">
        <v>268</v>
      </c>
      <c r="AX58" t="s">
        <v>272</v>
      </c>
    </row>
    <row r="59" spans="1:50" x14ac:dyDescent="0.25">
      <c r="A59" s="40" t="s">
        <v>17</v>
      </c>
      <c r="B59" s="40" t="s">
        <v>18</v>
      </c>
      <c r="C59" s="40" t="s">
        <v>19</v>
      </c>
      <c r="D59" s="40" t="s">
        <v>20</v>
      </c>
      <c r="E59" s="40" t="s">
        <v>21</v>
      </c>
      <c r="F59" s="40" t="s">
        <v>35</v>
      </c>
      <c r="G59" s="40" t="s">
        <v>36</v>
      </c>
      <c r="H59" s="40" t="s">
        <v>139</v>
      </c>
      <c r="I59" s="40" t="s">
        <v>142</v>
      </c>
      <c r="J59" s="40"/>
      <c r="K59" s="40"/>
      <c r="L59" s="40"/>
      <c r="M59" s="40"/>
      <c r="N59" s="40"/>
      <c r="O59" s="40">
        <v>8.4985298402400744</v>
      </c>
      <c r="P59" s="40"/>
      <c r="Q59" s="41" t="s">
        <v>26</v>
      </c>
      <c r="T59" s="20" t="s">
        <v>210</v>
      </c>
      <c r="U59" s="21">
        <v>3.2672198306100668</v>
      </c>
      <c r="V59" s="21">
        <v>1.3860815353674629</v>
      </c>
      <c r="W59" s="21">
        <v>0.67995137641339509</v>
      </c>
      <c r="X59" s="21">
        <v>4.927466749190522</v>
      </c>
      <c r="Y59" s="21">
        <v>6.5005055640555849</v>
      </c>
      <c r="Z59" s="21">
        <v>1.7660290550572557</v>
      </c>
      <c r="AA59" s="21">
        <v>5.3161809345260769E-2</v>
      </c>
      <c r="AB59" t="str">
        <f t="shared" si="5"/>
        <v>Derivados del petróleo y carbón</v>
      </c>
      <c r="AE59" s="18">
        <v>4</v>
      </c>
      <c r="AF59" s="15" t="str">
        <f t="shared" si="12"/>
        <v>Autos Particulares</v>
      </c>
      <c r="AG59" s="18">
        <f t="shared" si="13"/>
        <v>739.27325150419108</v>
      </c>
      <c r="AI59" s="18">
        <v>4</v>
      </c>
      <c r="AJ59" s="15" t="str">
        <f t="shared" si="14"/>
        <v>Generación de energía eléctrica</v>
      </c>
      <c r="AK59" s="18">
        <f t="shared" si="15"/>
        <v>10093.044317801279</v>
      </c>
      <c r="AV59">
        <v>6</v>
      </c>
      <c r="AW59" t="s">
        <v>262</v>
      </c>
      <c r="AX59" s="29">
        <f>+AS2-SUM(AX60:AX64)</f>
        <v>4360.6041179273379</v>
      </c>
    </row>
    <row r="60" spans="1:50" x14ac:dyDescent="0.25">
      <c r="A60" s="40" t="s">
        <v>17</v>
      </c>
      <c r="B60" s="40" t="s">
        <v>18</v>
      </c>
      <c r="C60" s="40" t="s">
        <v>19</v>
      </c>
      <c r="D60" s="40" t="s">
        <v>20</v>
      </c>
      <c r="E60" s="40" t="s">
        <v>21</v>
      </c>
      <c r="F60" s="40" t="s">
        <v>35</v>
      </c>
      <c r="G60" s="40" t="s">
        <v>36</v>
      </c>
      <c r="H60" s="40" t="s">
        <v>143</v>
      </c>
      <c r="I60" s="40" t="s">
        <v>144</v>
      </c>
      <c r="J60" s="40"/>
      <c r="K60" s="40"/>
      <c r="L60" s="40"/>
      <c r="M60" s="40"/>
      <c r="N60" s="40"/>
      <c r="O60" s="40"/>
      <c r="P60" s="40">
        <v>4.2833310524999994E-2</v>
      </c>
      <c r="Q60" s="41" t="s">
        <v>26</v>
      </c>
      <c r="T60" s="20" t="s">
        <v>164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t="str">
        <f t="shared" si="5"/>
        <v>Embarcaciones marinas</v>
      </c>
      <c r="AE60" s="18">
        <v>5</v>
      </c>
      <c r="AF60" s="15" t="str">
        <f t="shared" si="12"/>
        <v>Tractocamiones</v>
      </c>
      <c r="AG60" s="18">
        <f t="shared" si="13"/>
        <v>615.96359376593114</v>
      </c>
      <c r="AI60" s="18">
        <v>5</v>
      </c>
      <c r="AJ60" s="15" t="str">
        <f t="shared" si="14"/>
        <v>Taxi</v>
      </c>
      <c r="AK60" s="18">
        <f t="shared" si="15"/>
        <v>9982.8174150524846</v>
      </c>
      <c r="AV60">
        <v>5</v>
      </c>
      <c r="AW60" t="str">
        <f>+VLOOKUP(AX60,$BD$2:$BF$28,3,)</f>
        <v>Cemento y cal</v>
      </c>
      <c r="AX60" s="29">
        <f>+LARGE($BD$2:$BD$28,AV60)</f>
        <v>2163.743026089981</v>
      </c>
    </row>
    <row r="61" spans="1:50" x14ac:dyDescent="0.25">
      <c r="A61" s="40" t="s">
        <v>17</v>
      </c>
      <c r="B61" s="40" t="s">
        <v>18</v>
      </c>
      <c r="C61" s="40" t="s">
        <v>19</v>
      </c>
      <c r="D61" s="40" t="s">
        <v>20</v>
      </c>
      <c r="E61" s="40" t="s">
        <v>21</v>
      </c>
      <c r="F61" s="40" t="s">
        <v>35</v>
      </c>
      <c r="G61" s="40" t="s">
        <v>36</v>
      </c>
      <c r="H61" s="40" t="s">
        <v>143</v>
      </c>
      <c r="I61" s="40" t="s">
        <v>145</v>
      </c>
      <c r="J61" s="40"/>
      <c r="K61" s="40"/>
      <c r="L61" s="40"/>
      <c r="M61" s="40"/>
      <c r="N61" s="40"/>
      <c r="O61" s="40">
        <v>3.802459130484239E-4</v>
      </c>
      <c r="P61" s="40"/>
      <c r="Q61" s="41" t="s">
        <v>26</v>
      </c>
      <c r="T61" s="20" t="s">
        <v>155</v>
      </c>
      <c r="U61" s="21"/>
      <c r="V61" s="21"/>
      <c r="W61" s="21"/>
      <c r="X61" s="21"/>
      <c r="Y61" s="21"/>
      <c r="Z61" s="21"/>
      <c r="AA61" s="21">
        <v>4914.331951411119</v>
      </c>
      <c r="AB61" t="str">
        <f t="shared" si="5"/>
        <v>Emisiones domésticas de amoniaco</v>
      </c>
      <c r="AE61" s="18">
        <v>6</v>
      </c>
      <c r="AF61" s="15" t="str">
        <f t="shared" si="12"/>
        <v>Minerales no metálicos</v>
      </c>
      <c r="AG61" s="18">
        <f t="shared" si="13"/>
        <v>551.83555789656464</v>
      </c>
      <c r="AI61" s="18">
        <v>6</v>
      </c>
      <c r="AJ61" s="15" t="str">
        <f t="shared" si="14"/>
        <v>Camionetas Particulares</v>
      </c>
      <c r="AK61" s="18">
        <f t="shared" si="15"/>
        <v>7524.482079309656</v>
      </c>
      <c r="AV61">
        <v>4</v>
      </c>
      <c r="AW61" t="str">
        <f t="shared" ref="AW61:AW64" si="16">+VLOOKUP(AX61,$BD$2:$BF$28,3,)</f>
        <v>Metalúrgica (incluye la siderúrgica) </v>
      </c>
      <c r="AX61" s="29">
        <f t="shared" ref="AX61:AX64" si="17">+LARGE($BD$2:$BD$28,AV61)</f>
        <v>2344.8560035169594</v>
      </c>
    </row>
    <row r="62" spans="1:50" x14ac:dyDescent="0.25">
      <c r="A62" s="40" t="s">
        <v>17</v>
      </c>
      <c r="B62" s="40" t="s">
        <v>18</v>
      </c>
      <c r="C62" s="40" t="s">
        <v>19</v>
      </c>
      <c r="D62" s="40" t="s">
        <v>20</v>
      </c>
      <c r="E62" s="40" t="s">
        <v>21</v>
      </c>
      <c r="F62" s="40" t="s">
        <v>35</v>
      </c>
      <c r="G62" s="40" t="s">
        <v>36</v>
      </c>
      <c r="H62" s="40" t="s">
        <v>143</v>
      </c>
      <c r="I62" s="40" t="s">
        <v>146</v>
      </c>
      <c r="J62" s="40"/>
      <c r="K62" s="40"/>
      <c r="L62" s="40"/>
      <c r="M62" s="40"/>
      <c r="N62" s="40"/>
      <c r="O62" s="40"/>
      <c r="P62" s="40">
        <v>143.22319000000002</v>
      </c>
      <c r="Q62" s="41" t="s">
        <v>26</v>
      </c>
      <c r="T62" s="20" t="s">
        <v>146</v>
      </c>
      <c r="U62" s="21"/>
      <c r="V62" s="21"/>
      <c r="W62" s="21"/>
      <c r="X62" s="21"/>
      <c r="Y62" s="21"/>
      <c r="Z62" s="21"/>
      <c r="AA62" s="21">
        <v>4709.4235200000003</v>
      </c>
      <c r="AB62" t="str">
        <f t="shared" si="5"/>
        <v>Emisiones Ganaderas</v>
      </c>
      <c r="AE62" s="18">
        <v>7</v>
      </c>
      <c r="AF62" s="15" t="str">
        <f t="shared" si="12"/>
        <v>Petróleo y petroquímica</v>
      </c>
      <c r="AG62" s="18">
        <f t="shared" si="13"/>
        <v>520.7719045212782</v>
      </c>
      <c r="AI62" s="18">
        <v>7</v>
      </c>
      <c r="AJ62" s="15" t="str">
        <f t="shared" si="14"/>
        <v>Veh&gt;3.8Ton</v>
      </c>
      <c r="AK62" s="18">
        <f t="shared" si="15"/>
        <v>7297.2106410936531</v>
      </c>
      <c r="AV62">
        <v>3</v>
      </c>
      <c r="AW62" t="str">
        <f t="shared" si="16"/>
        <v>Vidrio</v>
      </c>
      <c r="AX62" s="29">
        <f t="shared" si="17"/>
        <v>3364.7033730106659</v>
      </c>
    </row>
    <row r="63" spans="1:50" x14ac:dyDescent="0.25">
      <c r="A63" s="40" t="s">
        <v>17</v>
      </c>
      <c r="B63" s="40" t="s">
        <v>18</v>
      </c>
      <c r="C63" s="40" t="s">
        <v>19</v>
      </c>
      <c r="D63" s="40" t="s">
        <v>20</v>
      </c>
      <c r="E63" s="40" t="s">
        <v>21</v>
      </c>
      <c r="F63" s="40" t="s">
        <v>35</v>
      </c>
      <c r="G63" s="40" t="s">
        <v>36</v>
      </c>
      <c r="H63" s="40" t="s">
        <v>149</v>
      </c>
      <c r="I63" s="40" t="s">
        <v>150</v>
      </c>
      <c r="J63" s="40"/>
      <c r="K63" s="40"/>
      <c r="L63" s="40"/>
      <c r="M63" s="40"/>
      <c r="N63" s="40"/>
      <c r="O63" s="40">
        <v>629.0076456706247</v>
      </c>
      <c r="P63" s="40"/>
      <c r="Q63" s="41" t="s">
        <v>26</v>
      </c>
      <c r="T63" s="20" t="s">
        <v>165</v>
      </c>
      <c r="U63" s="21">
        <v>28.670999999999999</v>
      </c>
      <c r="V63" s="21">
        <v>28.577999999999999</v>
      </c>
      <c r="W63" s="21">
        <v>126.084</v>
      </c>
      <c r="X63" s="21">
        <v>2529.4369999999999</v>
      </c>
      <c r="Y63" s="21">
        <v>1019.591</v>
      </c>
      <c r="Z63" s="21">
        <v>1135.8119999999999</v>
      </c>
      <c r="AA63" s="21">
        <v>0</v>
      </c>
      <c r="AB63" t="str">
        <f t="shared" si="5"/>
        <v>Equipos en Aeropuertos</v>
      </c>
      <c r="AE63" s="18">
        <v>8</v>
      </c>
      <c r="AF63" s="15" t="str">
        <f t="shared" si="12"/>
        <v>Pickup y Veh&lt;3.8Ton</v>
      </c>
      <c r="AG63" s="18">
        <f t="shared" si="13"/>
        <v>421.71873023914986</v>
      </c>
      <c r="AI63" s="18">
        <v>8</v>
      </c>
      <c r="AJ63" s="15" t="str">
        <f t="shared" si="14"/>
        <v>Autobús</v>
      </c>
      <c r="AK63" s="18">
        <f t="shared" si="15"/>
        <v>5051.11600466032</v>
      </c>
      <c r="AV63">
        <v>2</v>
      </c>
      <c r="AW63" t="str">
        <f t="shared" si="16"/>
        <v>Petróleo y petroquímica</v>
      </c>
      <c r="AX63" s="29">
        <f t="shared" si="17"/>
        <v>3391.5350698103011</v>
      </c>
    </row>
    <row r="64" spans="1:50" x14ac:dyDescent="0.25">
      <c r="A64" s="40" t="s">
        <v>17</v>
      </c>
      <c r="B64" s="40" t="s">
        <v>18</v>
      </c>
      <c r="C64" s="40" t="s">
        <v>19</v>
      </c>
      <c r="D64" s="40" t="s">
        <v>20</v>
      </c>
      <c r="E64" s="40" t="s">
        <v>21</v>
      </c>
      <c r="F64" s="40" t="s">
        <v>35</v>
      </c>
      <c r="G64" s="40" t="s">
        <v>36</v>
      </c>
      <c r="H64" s="40" t="s">
        <v>153</v>
      </c>
      <c r="I64" s="40" t="s">
        <v>155</v>
      </c>
      <c r="J64" s="40"/>
      <c r="K64" s="40"/>
      <c r="L64" s="40"/>
      <c r="M64" s="40"/>
      <c r="N64" s="40"/>
      <c r="O64" s="40"/>
      <c r="P64" s="40">
        <v>632.81235817903939</v>
      </c>
      <c r="Q64" s="41" t="s">
        <v>26</v>
      </c>
      <c r="T64" s="20" t="s">
        <v>157</v>
      </c>
      <c r="U64" s="21"/>
      <c r="V64" s="21"/>
      <c r="W64" s="21"/>
      <c r="X64" s="21"/>
      <c r="Y64" s="21"/>
      <c r="Z64" s="21">
        <v>3.7651600000000016</v>
      </c>
      <c r="AA64" s="21"/>
      <c r="AB64" t="str">
        <f t="shared" si="5"/>
        <v>Esterilizacción de material hospitalario</v>
      </c>
      <c r="AE64" s="18">
        <v>9</v>
      </c>
      <c r="AF64" s="15" t="str">
        <f t="shared" si="12"/>
        <v>Automotriz</v>
      </c>
      <c r="AG64" s="18">
        <f t="shared" si="13"/>
        <v>382.72122187138984</v>
      </c>
      <c r="AI64" s="18">
        <v>9</v>
      </c>
      <c r="AJ64" s="15" t="str">
        <f t="shared" si="14"/>
        <v>Petróleo y petroquímica</v>
      </c>
      <c r="AK64" s="18">
        <f t="shared" si="15"/>
        <v>3391.5350698103011</v>
      </c>
      <c r="AV64">
        <v>1</v>
      </c>
      <c r="AW64" t="str">
        <f t="shared" si="16"/>
        <v>Generación de energía eléctrica</v>
      </c>
      <c r="AX64" s="29">
        <f t="shared" si="17"/>
        <v>10093.044317801283</v>
      </c>
    </row>
    <row r="65" spans="1:37" x14ac:dyDescent="0.25">
      <c r="A65" s="40" t="s">
        <v>17</v>
      </c>
      <c r="B65" s="40" t="s">
        <v>18</v>
      </c>
      <c r="C65" s="40" t="s">
        <v>19</v>
      </c>
      <c r="D65" s="40" t="s">
        <v>20</v>
      </c>
      <c r="E65" s="40" t="s">
        <v>21</v>
      </c>
      <c r="F65" s="40" t="s">
        <v>35</v>
      </c>
      <c r="G65" s="40" t="s">
        <v>36</v>
      </c>
      <c r="H65" s="40" t="s">
        <v>153</v>
      </c>
      <c r="I65" s="40" t="s">
        <v>157</v>
      </c>
      <c r="J65" s="40"/>
      <c r="K65" s="40"/>
      <c r="L65" s="40"/>
      <c r="M65" s="40"/>
      <c r="N65" s="40"/>
      <c r="O65" s="40">
        <v>0.15858</v>
      </c>
      <c r="P65" s="40"/>
      <c r="Q65" s="41" t="s">
        <v>26</v>
      </c>
      <c r="T65" s="20" t="s">
        <v>184</v>
      </c>
      <c r="U65" s="21">
        <v>1754.1123366442916</v>
      </c>
      <c r="V65" s="21">
        <v>1029.889899343834</v>
      </c>
      <c r="W65" s="21">
        <v>5.0997563456779815</v>
      </c>
      <c r="X65" s="21">
        <v>52.312945769465173</v>
      </c>
      <c r="Y65" s="21">
        <v>88.187892705015742</v>
      </c>
      <c r="Z65" s="21">
        <v>3.3063106527238584</v>
      </c>
      <c r="AA65" s="21">
        <v>2.3815842492388981</v>
      </c>
      <c r="AB65" t="str">
        <f t="shared" si="5"/>
        <v>Extracción/Beneficio minerales no metálicos</v>
      </c>
      <c r="AE65" s="18">
        <v>10</v>
      </c>
      <c r="AF65" s="15" t="s">
        <v>262</v>
      </c>
      <c r="AG65" s="18">
        <f>+V110-SUM(AG56:AG64)</f>
        <v>2637.3315675700251</v>
      </c>
      <c r="AI65" s="18">
        <v>10</v>
      </c>
      <c r="AJ65" s="15" t="s">
        <v>262</v>
      </c>
      <c r="AK65" s="18">
        <f>+Y110-SUM(AK56:AK64)</f>
        <v>16907.608555076979</v>
      </c>
    </row>
    <row r="66" spans="1:37" x14ac:dyDescent="0.25">
      <c r="A66" s="40" t="s">
        <v>17</v>
      </c>
      <c r="B66" s="43" t="s">
        <v>18</v>
      </c>
      <c r="C66" s="40" t="s">
        <v>19</v>
      </c>
      <c r="D66" s="43" t="s">
        <v>20</v>
      </c>
      <c r="E66" s="43" t="s">
        <v>21</v>
      </c>
      <c r="F66" s="43" t="s">
        <v>35</v>
      </c>
      <c r="G66" s="43" t="s">
        <v>36</v>
      </c>
      <c r="H66" s="43" t="s">
        <v>240</v>
      </c>
      <c r="I66" s="43" t="s">
        <v>241</v>
      </c>
      <c r="J66" s="43"/>
      <c r="K66" s="43"/>
      <c r="L66" s="43"/>
      <c r="M66" s="43"/>
      <c r="N66" s="43"/>
      <c r="O66" s="43">
        <v>258.95253312481799</v>
      </c>
      <c r="P66" s="43"/>
      <c r="Q66" s="41" t="s">
        <v>26</v>
      </c>
      <c r="T66" s="20" t="s">
        <v>231</v>
      </c>
      <c r="U66" s="21">
        <v>1187.8721105673478</v>
      </c>
      <c r="V66" s="21">
        <v>1184.0818480673481</v>
      </c>
      <c r="W66" s="21">
        <v>53.322300000000006</v>
      </c>
      <c r="X66" s="21">
        <v>6532.8035000000018</v>
      </c>
      <c r="Y66" s="21">
        <v>10093.044317801279</v>
      </c>
      <c r="Z66" s="21">
        <v>384.59879999999998</v>
      </c>
      <c r="AA66" s="21">
        <v>92.09729999999999</v>
      </c>
      <c r="AB66" t="str">
        <f t="shared" ref="AB66:AB97" si="18">+T66</f>
        <v>Generación de energía eléctrica</v>
      </c>
      <c r="AG66" s="23">
        <f>+SUM(AG56:AG65)</f>
        <v>8932.0365808474999</v>
      </c>
      <c r="AK66" s="23">
        <f>+SUM(AK56:AK65)</f>
        <v>118310.16783465809</v>
      </c>
    </row>
    <row r="67" spans="1:37" x14ac:dyDescent="0.25">
      <c r="A67" s="40" t="s">
        <v>17</v>
      </c>
      <c r="B67" s="43" t="s">
        <v>18</v>
      </c>
      <c r="C67" s="40" t="s">
        <v>19</v>
      </c>
      <c r="D67" s="43"/>
      <c r="E67" s="43" t="s">
        <v>21</v>
      </c>
      <c r="F67" s="43" t="s">
        <v>35</v>
      </c>
      <c r="G67" s="43" t="s">
        <v>36</v>
      </c>
      <c r="H67" s="43" t="s">
        <v>240</v>
      </c>
      <c r="I67" s="43" t="s">
        <v>242</v>
      </c>
      <c r="J67" s="43"/>
      <c r="K67" s="43"/>
      <c r="L67" s="43"/>
      <c r="M67" s="43"/>
      <c r="N67" s="43"/>
      <c r="O67" s="43">
        <v>3.2007283394093498</v>
      </c>
      <c r="P67" s="43"/>
      <c r="Q67" s="41" t="s">
        <v>26</v>
      </c>
      <c r="T67" s="20" t="s">
        <v>192</v>
      </c>
      <c r="U67" s="21">
        <v>9.2880297878129736E-2</v>
      </c>
      <c r="V67" s="21">
        <v>7.7629219818958137E-2</v>
      </c>
      <c r="W67" s="21">
        <v>1.2309205341108865E-2</v>
      </c>
      <c r="X67" s="21">
        <v>5.0912464544000002E-2</v>
      </c>
      <c r="Y67" s="21">
        <v>0.11309589152000002</v>
      </c>
      <c r="Z67" s="21">
        <v>147.58870861433928</v>
      </c>
      <c r="AA67" s="21">
        <v>1.7328488236686393E-3</v>
      </c>
      <c r="AB67" t="str">
        <f t="shared" si="18"/>
        <v>Impresión</v>
      </c>
      <c r="AG67" s="23">
        <f>+AG66-V110</f>
        <v>0</v>
      </c>
      <c r="AK67" s="23">
        <f>+AK66-Y110</f>
        <v>0</v>
      </c>
    </row>
    <row r="68" spans="1:37" x14ac:dyDescent="0.25">
      <c r="A68" s="40" t="s">
        <v>17</v>
      </c>
      <c r="B68" s="40" t="s">
        <v>18</v>
      </c>
      <c r="C68" s="40" t="s">
        <v>19</v>
      </c>
      <c r="D68" s="40" t="s">
        <v>20</v>
      </c>
      <c r="E68" s="40" t="s">
        <v>21</v>
      </c>
      <c r="F68" s="40" t="s">
        <v>41</v>
      </c>
      <c r="G68" s="40" t="s">
        <v>42</v>
      </c>
      <c r="H68" s="40" t="s">
        <v>153</v>
      </c>
      <c r="I68" s="40" t="s">
        <v>154</v>
      </c>
      <c r="J68" s="40">
        <v>252.67475721493125</v>
      </c>
      <c r="K68" s="40">
        <v>39.178460031386003</v>
      </c>
      <c r="L68" s="40"/>
      <c r="M68" s="40"/>
      <c r="N68" s="40"/>
      <c r="O68" s="40"/>
      <c r="P68" s="40"/>
      <c r="Q68" s="41" t="s">
        <v>26</v>
      </c>
      <c r="T68" s="20" t="s">
        <v>158</v>
      </c>
      <c r="U68" s="21">
        <v>4.0463796582452316</v>
      </c>
      <c r="V68" s="21">
        <v>3.7786607772649226</v>
      </c>
      <c r="W68" s="21">
        <v>0</v>
      </c>
      <c r="X68" s="21">
        <v>64.252531435273994</v>
      </c>
      <c r="Y68" s="21">
        <v>1.5298221770303333</v>
      </c>
      <c r="Z68" s="21">
        <v>3.9851867711640185</v>
      </c>
      <c r="AA68" s="21">
        <v>0</v>
      </c>
      <c r="AB68" t="str">
        <f t="shared" si="18"/>
        <v>Incendios en construcciones</v>
      </c>
    </row>
    <row r="69" spans="1:37" x14ac:dyDescent="0.25">
      <c r="A69" s="40" t="s">
        <v>17</v>
      </c>
      <c r="B69" s="40" t="s">
        <v>18</v>
      </c>
      <c r="C69" s="40" t="s">
        <v>19</v>
      </c>
      <c r="D69" s="40" t="s">
        <v>20</v>
      </c>
      <c r="E69" s="40" t="s">
        <v>21</v>
      </c>
      <c r="F69" s="40" t="s">
        <v>41</v>
      </c>
      <c r="G69" s="40" t="s">
        <v>42</v>
      </c>
      <c r="H69" s="40" t="s">
        <v>143</v>
      </c>
      <c r="I69" s="40" t="s">
        <v>148</v>
      </c>
      <c r="J69" s="40">
        <v>146.92951344102795</v>
      </c>
      <c r="K69" s="40">
        <v>32.574273129875891</v>
      </c>
      <c r="L69" s="40"/>
      <c r="M69" s="40"/>
      <c r="N69" s="40"/>
      <c r="O69" s="40"/>
      <c r="P69" s="40"/>
      <c r="Q69" s="41" t="s">
        <v>26</v>
      </c>
      <c r="T69" s="20" t="s">
        <v>156</v>
      </c>
      <c r="U69" s="21">
        <v>7.0616030989505738</v>
      </c>
      <c r="V69" s="21">
        <v>5.9925157771971014</v>
      </c>
      <c r="W69" s="21">
        <v>0.6470791684297339</v>
      </c>
      <c r="X69" s="21">
        <v>70.109621205517257</v>
      </c>
      <c r="Y69" s="21">
        <v>2.0819068897304485</v>
      </c>
      <c r="Z69" s="21">
        <v>4.8952945785553776</v>
      </c>
      <c r="AA69" s="21">
        <v>0.70334692220623274</v>
      </c>
      <c r="AB69" t="str">
        <f t="shared" si="18"/>
        <v>Incendios Forestales</v>
      </c>
    </row>
    <row r="70" spans="1:37" x14ac:dyDescent="0.25">
      <c r="A70" s="40" t="s">
        <v>17</v>
      </c>
      <c r="B70" s="40" t="s">
        <v>18</v>
      </c>
      <c r="C70" s="40" t="s">
        <v>19</v>
      </c>
      <c r="D70" s="40" t="s">
        <v>20</v>
      </c>
      <c r="E70" s="40" t="s">
        <v>21</v>
      </c>
      <c r="F70" s="40" t="s">
        <v>41</v>
      </c>
      <c r="G70" s="40" t="s">
        <v>42</v>
      </c>
      <c r="H70" s="40" t="s">
        <v>24</v>
      </c>
      <c r="I70" s="40" t="s">
        <v>126</v>
      </c>
      <c r="J70" s="40">
        <v>8.2943279768750884</v>
      </c>
      <c r="K70" s="40">
        <v>8.0160031032564802</v>
      </c>
      <c r="L70" s="40">
        <v>0.30493792779856049</v>
      </c>
      <c r="M70" s="40">
        <v>69.86204320990845</v>
      </c>
      <c r="N70" s="40">
        <v>13.164489602320304</v>
      </c>
      <c r="O70" s="40">
        <v>28.758508010425537</v>
      </c>
      <c r="P70" s="40">
        <v>0.48559429462697051</v>
      </c>
      <c r="Q70" s="41" t="s">
        <v>26</v>
      </c>
      <c r="T70" s="20" t="s">
        <v>193</v>
      </c>
      <c r="U70" s="21">
        <v>1.3415643133731638</v>
      </c>
      <c r="V70" s="21">
        <v>0.95555187682878517</v>
      </c>
      <c r="W70" s="21">
        <v>5.3385431342539418E-2</v>
      </c>
      <c r="X70" s="21">
        <v>0.36162980842089931</v>
      </c>
      <c r="Y70" s="21">
        <v>0.72823640921310639</v>
      </c>
      <c r="Z70" s="21">
        <v>2.139957563902767</v>
      </c>
      <c r="AA70" s="21">
        <v>8.2929352428876713E-3</v>
      </c>
      <c r="AB70" t="str">
        <f t="shared" si="18"/>
        <v>Industria de la madera</v>
      </c>
      <c r="AE70" s="15" t="s">
        <v>255</v>
      </c>
      <c r="AF70" s="15" t="s">
        <v>260</v>
      </c>
      <c r="AG70" s="15" t="s">
        <v>261</v>
      </c>
      <c r="AI70" s="15" t="s">
        <v>258</v>
      </c>
      <c r="AJ70" s="15" t="s">
        <v>260</v>
      </c>
      <c r="AK70" s="15" t="s">
        <v>261</v>
      </c>
    </row>
    <row r="71" spans="1:37" x14ac:dyDescent="0.25">
      <c r="A71" s="40" t="s">
        <v>17</v>
      </c>
      <c r="B71" s="40" t="s">
        <v>18</v>
      </c>
      <c r="C71" s="40" t="s">
        <v>19</v>
      </c>
      <c r="D71" s="40" t="s">
        <v>20</v>
      </c>
      <c r="E71" s="40" t="s">
        <v>21</v>
      </c>
      <c r="F71" s="40" t="s">
        <v>41</v>
      </c>
      <c r="G71" s="40" t="s">
        <v>42</v>
      </c>
      <c r="H71" s="40" t="s">
        <v>139</v>
      </c>
      <c r="I71" s="40" t="s">
        <v>141</v>
      </c>
      <c r="J71" s="40">
        <v>6.4438100999999985</v>
      </c>
      <c r="K71" s="40">
        <v>5.1428048408099984</v>
      </c>
      <c r="L71" s="40">
        <v>0</v>
      </c>
      <c r="M71" s="40">
        <v>12.828783659999999</v>
      </c>
      <c r="N71" s="40">
        <v>0.23615214000000004</v>
      </c>
      <c r="O71" s="40">
        <v>0.82774145999999982</v>
      </c>
      <c r="P71" s="40">
        <v>0</v>
      </c>
      <c r="Q71" s="41" t="s">
        <v>26</v>
      </c>
      <c r="T71" s="20" t="s">
        <v>194</v>
      </c>
      <c r="U71" s="21">
        <v>1.4297632047905739</v>
      </c>
      <c r="V71" s="21">
        <v>1.0920587479858401</v>
      </c>
      <c r="W71" s="21">
        <v>6.2666556158594816E-2</v>
      </c>
      <c r="X71" s="21">
        <v>6.6409595519923474</v>
      </c>
      <c r="Y71" s="21">
        <v>8.3403548201111111</v>
      </c>
      <c r="Z71" s="21">
        <v>1.1833431438317976</v>
      </c>
      <c r="AA71" s="21">
        <v>0.25466268025318517</v>
      </c>
      <c r="AB71" t="str">
        <f t="shared" si="18"/>
        <v>Industria textil</v>
      </c>
      <c r="AE71" s="18">
        <v>1</v>
      </c>
      <c r="AF71" s="15" t="str">
        <f>+VLOOKUP(AG71,$W$34:$AB$109,6,)</f>
        <v>Petróleo y petroquímica</v>
      </c>
      <c r="AG71" s="18">
        <f>+LARGE($W$34:$W$109,AE71)</f>
        <v>8728.4941672250916</v>
      </c>
      <c r="AI71" s="18">
        <v>1</v>
      </c>
      <c r="AJ71" s="15" t="str">
        <f>+VLOOKUP(AK71,$Z$34:$AB$109,3,)</f>
        <v>Tractocamiones</v>
      </c>
      <c r="AK71" s="18">
        <f>+LARGE($Z$34:$Z$109,AI71)</f>
        <v>22149.271180686039</v>
      </c>
    </row>
    <row r="72" spans="1:37" x14ac:dyDescent="0.25">
      <c r="A72" s="40" t="s">
        <v>17</v>
      </c>
      <c r="B72" s="40" t="s">
        <v>18</v>
      </c>
      <c r="C72" s="40" t="s">
        <v>19</v>
      </c>
      <c r="D72" s="40" t="s">
        <v>20</v>
      </c>
      <c r="E72" s="40" t="s">
        <v>21</v>
      </c>
      <c r="F72" s="40" t="s">
        <v>41</v>
      </c>
      <c r="G72" s="40" t="s">
        <v>42</v>
      </c>
      <c r="H72" s="40" t="s">
        <v>143</v>
      </c>
      <c r="I72" s="40" t="s">
        <v>147</v>
      </c>
      <c r="J72" s="40">
        <v>6.3782604000000003</v>
      </c>
      <c r="K72" s="40">
        <v>0.72839733767999992</v>
      </c>
      <c r="L72" s="40"/>
      <c r="M72" s="40"/>
      <c r="N72" s="40"/>
      <c r="O72" s="40"/>
      <c r="P72" s="40"/>
      <c r="Q72" s="41" t="s">
        <v>26</v>
      </c>
      <c r="T72" s="20" t="s">
        <v>148</v>
      </c>
      <c r="U72" s="21">
        <v>314.33783929555716</v>
      </c>
      <c r="V72" s="21">
        <v>69.688698971825062</v>
      </c>
      <c r="W72" s="21"/>
      <c r="X72" s="21"/>
      <c r="Y72" s="21"/>
      <c r="Z72" s="21"/>
      <c r="AA72" s="21"/>
      <c r="AB72" t="str">
        <f t="shared" si="18"/>
        <v>Labranza</v>
      </c>
      <c r="AE72" s="18">
        <v>2</v>
      </c>
      <c r="AF72" s="15" t="str">
        <f t="shared" ref="AF72:AF79" si="19">+VLOOKUP(AG72,$W$34:$AB$109,6,)</f>
        <v>Cemento y cal</v>
      </c>
      <c r="AG72" s="18">
        <f t="shared" ref="AG72:AG79" si="20">+LARGE($W$34:$W$109,AE72)</f>
        <v>1793.0997500000001</v>
      </c>
      <c r="AI72" s="18">
        <v>2</v>
      </c>
      <c r="AJ72" s="15" t="str">
        <f t="shared" ref="AJ72:AJ79" si="21">+VLOOKUP(AK72,$Z$34:$AB$109,3,)</f>
        <v>Manejo y Distribución de gas L.P.</v>
      </c>
      <c r="AK72" s="18">
        <f t="shared" ref="AK72:AK79" si="22">+LARGE($Z$34:$Z$109,AI72)</f>
        <v>15628.79654820874</v>
      </c>
    </row>
    <row r="73" spans="1:37" x14ac:dyDescent="0.25">
      <c r="A73" s="40" t="s">
        <v>17</v>
      </c>
      <c r="B73" s="40" t="s">
        <v>18</v>
      </c>
      <c r="C73" s="40" t="s">
        <v>19</v>
      </c>
      <c r="D73" s="40" t="s">
        <v>20</v>
      </c>
      <c r="E73" s="40" t="s">
        <v>21</v>
      </c>
      <c r="F73" s="40" t="s">
        <v>41</v>
      </c>
      <c r="G73" s="40" t="s">
        <v>42</v>
      </c>
      <c r="H73" s="40" t="s">
        <v>149</v>
      </c>
      <c r="I73" s="40" t="s">
        <v>151</v>
      </c>
      <c r="J73" s="40">
        <v>4.1943602868952032</v>
      </c>
      <c r="K73" s="40">
        <v>3.841150999577712</v>
      </c>
      <c r="L73" s="40">
        <v>0.11037790228671586</v>
      </c>
      <c r="M73" s="40">
        <v>9.3821216943708503</v>
      </c>
      <c r="N73" s="40">
        <v>0.66226741372029518</v>
      </c>
      <c r="O73" s="40">
        <v>0.94439333196514086</v>
      </c>
      <c r="P73" s="40"/>
      <c r="Q73" s="41" t="s">
        <v>26</v>
      </c>
      <c r="T73" s="20" t="s">
        <v>159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t="str">
        <f t="shared" si="18"/>
        <v>Ladrilleras</v>
      </c>
      <c r="AE73" s="18">
        <v>3</v>
      </c>
      <c r="AF73" s="15" t="str">
        <f t="shared" si="19"/>
        <v>Vidrio</v>
      </c>
      <c r="AG73" s="18">
        <f t="shared" si="20"/>
        <v>473.27574762164801</v>
      </c>
      <c r="AI73" s="18">
        <v>3</v>
      </c>
      <c r="AJ73" s="15" t="str">
        <f t="shared" si="21"/>
        <v>Veh&gt;3.8Ton</v>
      </c>
      <c r="AK73" s="18">
        <f t="shared" si="22"/>
        <v>13515.259906582241</v>
      </c>
    </row>
    <row r="74" spans="1:37" x14ac:dyDescent="0.25">
      <c r="A74" s="40" t="s">
        <v>17</v>
      </c>
      <c r="B74" s="43" t="s">
        <v>18</v>
      </c>
      <c r="C74" s="40" t="s">
        <v>19</v>
      </c>
      <c r="D74" s="43" t="s">
        <v>20</v>
      </c>
      <c r="E74" s="43" t="s">
        <v>21</v>
      </c>
      <c r="F74" s="43" t="s">
        <v>41</v>
      </c>
      <c r="G74" s="43" t="s">
        <v>42</v>
      </c>
      <c r="H74" s="43" t="s">
        <v>143</v>
      </c>
      <c r="I74" s="43" t="s">
        <v>243</v>
      </c>
      <c r="J74" s="43">
        <v>2.9695714268828253</v>
      </c>
      <c r="K74" s="43">
        <v>2.8215691869129249</v>
      </c>
      <c r="L74" s="43">
        <v>0.20115672720044811</v>
      </c>
      <c r="M74" s="43">
        <v>28.684591891797446</v>
      </c>
      <c r="N74" s="43">
        <v>1.0794350408945228</v>
      </c>
      <c r="O74" s="43">
        <v>2.3264783481091849</v>
      </c>
      <c r="P74" s="43">
        <v>0.5741188659409282</v>
      </c>
      <c r="Q74" s="41" t="s">
        <v>26</v>
      </c>
      <c r="T74" s="20" t="s">
        <v>129</v>
      </c>
      <c r="U74" s="21"/>
      <c r="V74" s="21"/>
      <c r="W74" s="21"/>
      <c r="X74" s="21"/>
      <c r="Y74" s="21"/>
      <c r="Z74" s="21">
        <v>21.558815698823771</v>
      </c>
      <c r="AA74" s="21"/>
      <c r="AB74" t="str">
        <f t="shared" si="18"/>
        <v>Lavado en Seco</v>
      </c>
      <c r="AE74" s="18">
        <v>4</v>
      </c>
      <c r="AF74" s="15" t="str">
        <f t="shared" si="19"/>
        <v>Química</v>
      </c>
      <c r="AG74" s="18">
        <f t="shared" si="20"/>
        <v>152.85956809836352</v>
      </c>
      <c r="AI74" s="18">
        <v>4</v>
      </c>
      <c r="AJ74" s="15" t="str">
        <f t="shared" si="21"/>
        <v>Limpieza de superficies industriales</v>
      </c>
      <c r="AK74" s="18">
        <f t="shared" si="22"/>
        <v>12517.563893268747</v>
      </c>
    </row>
    <row r="75" spans="1:37" x14ac:dyDescent="0.25">
      <c r="A75" s="40" t="s">
        <v>17</v>
      </c>
      <c r="B75" s="43" t="s">
        <v>18</v>
      </c>
      <c r="C75" s="40" t="s">
        <v>19</v>
      </c>
      <c r="D75" s="43" t="s">
        <v>20</v>
      </c>
      <c r="E75" s="43" t="s">
        <v>21</v>
      </c>
      <c r="F75" s="43" t="s">
        <v>41</v>
      </c>
      <c r="G75" s="43" t="s">
        <v>42</v>
      </c>
      <c r="H75" s="40" t="s">
        <v>24</v>
      </c>
      <c r="I75" s="40" t="s">
        <v>238</v>
      </c>
      <c r="J75" s="43">
        <v>0.20630918597219833</v>
      </c>
      <c r="K75" s="43">
        <v>0.20630918597219833</v>
      </c>
      <c r="L75" s="43">
        <v>2.41431917718141E-2</v>
      </c>
      <c r="M75" s="43">
        <v>1.7690781185072013</v>
      </c>
      <c r="N75" s="43">
        <v>2.9330732227336416</v>
      </c>
      <c r="O75" s="43">
        <v>0.17639699468757258</v>
      </c>
      <c r="P75" s="43">
        <v>1.7847481975062911E-3</v>
      </c>
      <c r="Q75" s="41" t="s">
        <v>26</v>
      </c>
      <c r="T75" s="20" t="s">
        <v>130</v>
      </c>
      <c r="U75" s="21"/>
      <c r="V75" s="21"/>
      <c r="W75" s="21"/>
      <c r="X75" s="21"/>
      <c r="Y75" s="21"/>
      <c r="Z75" s="21">
        <v>12517.563893268747</v>
      </c>
      <c r="AA75" s="21"/>
      <c r="AB75" t="str">
        <f t="shared" si="18"/>
        <v>Limpieza de superficies industriales</v>
      </c>
      <c r="AE75" s="18">
        <v>5</v>
      </c>
      <c r="AF75" s="15" t="str">
        <f t="shared" si="19"/>
        <v>Equipos en Aeropuertos</v>
      </c>
      <c r="AG75" s="18">
        <f t="shared" si="20"/>
        <v>126.084</v>
      </c>
      <c r="AI75" s="18">
        <v>5</v>
      </c>
      <c r="AJ75" s="15" t="str">
        <f t="shared" si="21"/>
        <v>Uso doméstico de solventes</v>
      </c>
      <c r="AK75" s="18">
        <f t="shared" si="22"/>
        <v>12428.404449999996</v>
      </c>
    </row>
    <row r="76" spans="1:37" x14ac:dyDescent="0.25">
      <c r="A76" s="40" t="s">
        <v>17</v>
      </c>
      <c r="B76" s="43" t="s">
        <v>18</v>
      </c>
      <c r="C76" s="40" t="s">
        <v>19</v>
      </c>
      <c r="D76" s="43" t="s">
        <v>20</v>
      </c>
      <c r="E76" s="43" t="s">
        <v>21</v>
      </c>
      <c r="F76" s="43" t="s">
        <v>41</v>
      </c>
      <c r="G76" s="43" t="s">
        <v>42</v>
      </c>
      <c r="H76" s="43" t="s">
        <v>24</v>
      </c>
      <c r="I76" s="43" t="s">
        <v>239</v>
      </c>
      <c r="J76" s="43">
        <v>0.19598780589318812</v>
      </c>
      <c r="K76" s="43">
        <v>0.13331588752322451</v>
      </c>
      <c r="L76" s="43">
        <v>1.8404746596964644E-2</v>
      </c>
      <c r="M76" s="43">
        <v>1.3421866337326958</v>
      </c>
      <c r="N76" s="43">
        <v>3.281859618122958</v>
      </c>
      <c r="O76" s="43">
        <v>7.3515257143921847E-2</v>
      </c>
      <c r="P76" s="43">
        <v>6.5970440389435378E-2</v>
      </c>
      <c r="Q76" s="41" t="s">
        <v>26</v>
      </c>
      <c r="T76" s="20" t="s">
        <v>168</v>
      </c>
      <c r="U76" s="21">
        <v>2.9213869534745647</v>
      </c>
      <c r="V76" s="21">
        <v>2.6328549086869533</v>
      </c>
      <c r="W76" s="21">
        <v>0.7694187861002969</v>
      </c>
      <c r="X76" s="21">
        <v>12.106323712546859</v>
      </c>
      <c r="Y76" s="21">
        <v>114.9800198478631</v>
      </c>
      <c r="Z76" s="21">
        <v>6.6723035357135112</v>
      </c>
      <c r="AA76" s="21">
        <v>0</v>
      </c>
      <c r="AB76" t="str">
        <f t="shared" si="18"/>
        <v>Locomotoras de patio</v>
      </c>
      <c r="AE76" s="18">
        <v>6</v>
      </c>
      <c r="AF76" s="15" t="str">
        <f t="shared" si="19"/>
        <v>Alimentos y Bebidas</v>
      </c>
      <c r="AG76" s="18">
        <f t="shared" si="20"/>
        <v>119.39113412655303</v>
      </c>
      <c r="AI76" s="18">
        <v>6</v>
      </c>
      <c r="AJ76" s="15" t="str">
        <f t="shared" si="21"/>
        <v>Autos Particulares</v>
      </c>
      <c r="AK76" s="18">
        <f t="shared" si="22"/>
        <v>10138.396918611861</v>
      </c>
    </row>
    <row r="77" spans="1:37" x14ac:dyDescent="0.25">
      <c r="A77" s="40" t="s">
        <v>17</v>
      </c>
      <c r="B77" s="40" t="s">
        <v>18</v>
      </c>
      <c r="C77" s="40" t="s">
        <v>19</v>
      </c>
      <c r="D77" s="40" t="s">
        <v>20</v>
      </c>
      <c r="E77" s="40" t="s">
        <v>21</v>
      </c>
      <c r="F77" s="40" t="s">
        <v>41</v>
      </c>
      <c r="G77" s="40" t="s">
        <v>42</v>
      </c>
      <c r="H77" s="40" t="s">
        <v>153</v>
      </c>
      <c r="I77" s="40" t="s">
        <v>158</v>
      </c>
      <c r="J77" s="40">
        <v>8.7396962438416007E-2</v>
      </c>
      <c r="K77" s="40">
        <v>8.1614554715647464E-2</v>
      </c>
      <c r="L77" s="40">
        <v>0</v>
      </c>
      <c r="M77" s="40">
        <v>1.3877778534644507</v>
      </c>
      <c r="N77" s="40">
        <v>3.3042329844391691E-2</v>
      </c>
      <c r="O77" s="40">
        <v>8.6075269244640346E-2</v>
      </c>
      <c r="P77" s="40">
        <v>0</v>
      </c>
      <c r="Q77" s="41" t="s">
        <v>26</v>
      </c>
      <c r="T77" s="20" t="s">
        <v>169</v>
      </c>
      <c r="U77" s="21">
        <v>21.538314322462167</v>
      </c>
      <c r="V77" s="21">
        <v>19.347977272720257</v>
      </c>
      <c r="W77" s="21">
        <v>7.7878650657490329</v>
      </c>
      <c r="X77" s="21">
        <v>85.544830331587022</v>
      </c>
      <c r="Y77" s="21">
        <v>867.98189865606025</v>
      </c>
      <c r="Z77" s="21">
        <v>32.124943396214761</v>
      </c>
      <c r="AA77" s="21">
        <v>0</v>
      </c>
      <c r="AB77" t="str">
        <f t="shared" si="18"/>
        <v>Locomotoras de recorrido</v>
      </c>
      <c r="AE77" s="18">
        <v>7</v>
      </c>
      <c r="AF77" s="15" t="str">
        <f t="shared" si="19"/>
        <v>Metalúrgica (incluye la siderúrgica) </v>
      </c>
      <c r="AG77" s="18">
        <f t="shared" si="20"/>
        <v>76.543591602761097</v>
      </c>
      <c r="AI77" s="18">
        <v>7</v>
      </c>
      <c r="AJ77" s="15" t="str">
        <f t="shared" si="21"/>
        <v>Pickup y Veh&lt;3.8Ton</v>
      </c>
      <c r="AK77" s="18">
        <f t="shared" si="22"/>
        <v>8358.5765487135086</v>
      </c>
    </row>
    <row r="78" spans="1:37" x14ac:dyDescent="0.25">
      <c r="A78" s="40" t="s">
        <v>17</v>
      </c>
      <c r="B78" s="40" t="s">
        <v>18</v>
      </c>
      <c r="C78" s="40" t="s">
        <v>19</v>
      </c>
      <c r="D78" s="40" t="s">
        <v>20</v>
      </c>
      <c r="E78" s="40" t="s">
        <v>21</v>
      </c>
      <c r="F78" s="40" t="s">
        <v>41</v>
      </c>
      <c r="G78" s="40" t="s">
        <v>42</v>
      </c>
      <c r="H78" s="40" t="s">
        <v>24</v>
      </c>
      <c r="I78" s="40" t="s">
        <v>25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1" t="s">
        <v>26</v>
      </c>
      <c r="T78" s="20" t="s">
        <v>195</v>
      </c>
      <c r="U78" s="21">
        <v>0.82377505626896774</v>
      </c>
      <c r="V78" s="21">
        <v>0.58464189153884227</v>
      </c>
      <c r="W78" s="21">
        <v>0.49387804924163942</v>
      </c>
      <c r="X78" s="21">
        <v>1.087923078557268</v>
      </c>
      <c r="Y78" s="21">
        <v>4.2843928122353532</v>
      </c>
      <c r="Z78" s="21">
        <v>61.850768291739897</v>
      </c>
      <c r="AA78" s="21">
        <v>7.296955109196375E-2</v>
      </c>
      <c r="AB78" t="str">
        <f t="shared" si="18"/>
        <v>Manejo de desechos y remediación</v>
      </c>
      <c r="AE78" s="18">
        <v>8</v>
      </c>
      <c r="AF78" s="15" t="str">
        <f t="shared" si="19"/>
        <v>Generación de energía eléctrica</v>
      </c>
      <c r="AG78" s="18">
        <f t="shared" si="20"/>
        <v>53.322300000000006</v>
      </c>
      <c r="AI78" s="18">
        <v>8</v>
      </c>
      <c r="AJ78" s="15" t="str">
        <f t="shared" si="21"/>
        <v>Autobús</v>
      </c>
      <c r="AK78" s="18">
        <f t="shared" si="22"/>
        <v>6441.3539574615352</v>
      </c>
    </row>
    <row r="79" spans="1:37" x14ac:dyDescent="0.25">
      <c r="A79" s="40" t="s">
        <v>17</v>
      </c>
      <c r="B79" s="40" t="s">
        <v>18</v>
      </c>
      <c r="C79" s="40" t="s">
        <v>19</v>
      </c>
      <c r="D79" s="40" t="s">
        <v>20</v>
      </c>
      <c r="E79" s="40" t="s">
        <v>21</v>
      </c>
      <c r="F79" s="40" t="s">
        <v>41</v>
      </c>
      <c r="G79" s="40" t="s">
        <v>42</v>
      </c>
      <c r="H79" s="40" t="s">
        <v>139</v>
      </c>
      <c r="I79" s="40" t="s">
        <v>140</v>
      </c>
      <c r="J79" s="40">
        <v>0</v>
      </c>
      <c r="K79" s="40">
        <v>0</v>
      </c>
      <c r="L79" s="40"/>
      <c r="M79" s="40"/>
      <c r="N79" s="40"/>
      <c r="O79" s="40"/>
      <c r="P79" s="40"/>
      <c r="Q79" s="41" t="s">
        <v>26</v>
      </c>
      <c r="T79" s="20" t="s">
        <v>138</v>
      </c>
      <c r="U79" s="21"/>
      <c r="V79" s="21"/>
      <c r="W79" s="21"/>
      <c r="X79" s="21"/>
      <c r="Y79" s="21"/>
      <c r="Z79" s="21">
        <v>1892.371739476868</v>
      </c>
      <c r="AA79" s="21"/>
      <c r="AB79" t="str">
        <f t="shared" si="18"/>
        <v>Manejo y distribución de Combustibles</v>
      </c>
      <c r="AE79" s="18">
        <v>9</v>
      </c>
      <c r="AF79" s="15" t="str">
        <f t="shared" si="19"/>
        <v>Minerales no metálicos</v>
      </c>
      <c r="AG79" s="18">
        <f t="shared" si="20"/>
        <v>52.85233197177736</v>
      </c>
      <c r="AI79" s="18">
        <v>9</v>
      </c>
      <c r="AJ79" s="15" t="str">
        <f t="shared" si="21"/>
        <v>Recubrimiento de superficies arquitectónicas</v>
      </c>
      <c r="AK79" s="18">
        <f t="shared" si="22"/>
        <v>5196.614639131938</v>
      </c>
    </row>
    <row r="80" spans="1:37" x14ac:dyDescent="0.25">
      <c r="A80" s="40" t="s">
        <v>17</v>
      </c>
      <c r="B80" s="40" t="s">
        <v>18</v>
      </c>
      <c r="C80" s="40" t="s">
        <v>19</v>
      </c>
      <c r="D80" s="40" t="s">
        <v>20</v>
      </c>
      <c r="E80" s="40" t="s">
        <v>21</v>
      </c>
      <c r="F80" s="40" t="s">
        <v>41</v>
      </c>
      <c r="G80" s="40" t="s">
        <v>42</v>
      </c>
      <c r="H80" s="40" t="s">
        <v>149</v>
      </c>
      <c r="I80" s="40" t="s">
        <v>152</v>
      </c>
      <c r="J80" s="40">
        <v>0</v>
      </c>
      <c r="K80" s="40">
        <v>0</v>
      </c>
      <c r="L80" s="40">
        <v>0</v>
      </c>
      <c r="M80" s="40">
        <v>1.8453032683837118</v>
      </c>
      <c r="N80" s="40"/>
      <c r="O80" s="40">
        <v>97.846122642109165</v>
      </c>
      <c r="P80" s="40"/>
      <c r="Q80" s="41" t="s">
        <v>26</v>
      </c>
      <c r="T80" s="20" t="s">
        <v>136</v>
      </c>
      <c r="U80" s="21"/>
      <c r="V80" s="21"/>
      <c r="W80" s="21"/>
      <c r="X80" s="21"/>
      <c r="Y80" s="21"/>
      <c r="Z80" s="21">
        <v>15628.79654820874</v>
      </c>
      <c r="AA80" s="21"/>
      <c r="AB80" t="str">
        <f t="shared" si="18"/>
        <v>Manejo y Distribución de gas L.P.</v>
      </c>
      <c r="AE80" s="18">
        <v>10</v>
      </c>
      <c r="AF80" s="15" t="s">
        <v>262</v>
      </c>
      <c r="AG80" s="18">
        <f>+W110-SUM(AG71:AG79)</f>
        <v>233.82956164977259</v>
      </c>
      <c r="AI80" s="18">
        <v>10</v>
      </c>
      <c r="AJ80" s="15" t="s">
        <v>262</v>
      </c>
      <c r="AK80" s="18">
        <f>+Z110-SUM(AK71:AK79)</f>
        <v>37801.93756557806</v>
      </c>
    </row>
    <row r="81" spans="1:37" x14ac:dyDescent="0.25">
      <c r="A81" s="40" t="s">
        <v>17</v>
      </c>
      <c r="B81" s="40" t="s">
        <v>18</v>
      </c>
      <c r="C81" s="40" t="s">
        <v>19</v>
      </c>
      <c r="D81" s="40" t="s">
        <v>20</v>
      </c>
      <c r="E81" s="40" t="s">
        <v>21</v>
      </c>
      <c r="F81" s="40" t="s">
        <v>41</v>
      </c>
      <c r="G81" s="40" t="s">
        <v>42</v>
      </c>
      <c r="H81" s="40" t="s">
        <v>153</v>
      </c>
      <c r="I81" s="40" t="s">
        <v>156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1" t="s">
        <v>137</v>
      </c>
      <c r="T81" s="20" t="s">
        <v>171</v>
      </c>
      <c r="U81" s="21">
        <v>71.826316218772348</v>
      </c>
      <c r="V81" s="21">
        <v>69.671526732209145</v>
      </c>
      <c r="W81" s="21">
        <v>30.629181878453529</v>
      </c>
      <c r="X81" s="21">
        <v>420.16450257229076</v>
      </c>
      <c r="Y81" s="21">
        <v>872.80186367753629</v>
      </c>
      <c r="Z81" s="21">
        <v>86.712790798081855</v>
      </c>
      <c r="AA81" s="21">
        <v>0.26625646734777036</v>
      </c>
      <c r="AB81" t="str">
        <f t="shared" si="18"/>
        <v>Maquinaria Agrícola y de Construcción</v>
      </c>
      <c r="AG81" s="23">
        <f>+SUM(AG71:AG80)</f>
        <v>11809.752152295969</v>
      </c>
      <c r="AK81" s="23">
        <f>+SUM(AK71:AK80)</f>
        <v>144176.17560824266</v>
      </c>
    </row>
    <row r="82" spans="1:37" x14ac:dyDescent="0.25">
      <c r="A82" s="40" t="s">
        <v>17</v>
      </c>
      <c r="B82" s="40" t="s">
        <v>18</v>
      </c>
      <c r="C82" s="40" t="s">
        <v>19</v>
      </c>
      <c r="D82" s="40" t="s">
        <v>20</v>
      </c>
      <c r="E82" s="40" t="s">
        <v>21</v>
      </c>
      <c r="F82" s="40" t="s">
        <v>41</v>
      </c>
      <c r="G82" s="40" t="s">
        <v>42</v>
      </c>
      <c r="H82" s="40" t="s">
        <v>153</v>
      </c>
      <c r="I82" s="40" t="s">
        <v>159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1" t="s">
        <v>26</v>
      </c>
      <c r="T82" s="20" t="s">
        <v>196</v>
      </c>
      <c r="U82" s="21">
        <v>96.165865310173132</v>
      </c>
      <c r="V82" s="21">
        <v>77.24932844258538</v>
      </c>
      <c r="W82" s="21">
        <v>5.9153220037336176</v>
      </c>
      <c r="X82" s="21">
        <v>195.08155880999271</v>
      </c>
      <c r="Y82" s="21">
        <v>248.26687665359023</v>
      </c>
      <c r="Z82" s="21">
        <v>994.5330828205183</v>
      </c>
      <c r="AA82" s="21">
        <v>7.5574907613277285</v>
      </c>
      <c r="AB82" t="str">
        <f t="shared" si="18"/>
        <v>Metálico</v>
      </c>
      <c r="AG82" s="23">
        <f>+AG81-W110</f>
        <v>0</v>
      </c>
      <c r="AK82" s="23">
        <f>+AK81-Z110</f>
        <v>0</v>
      </c>
    </row>
    <row r="83" spans="1:37" x14ac:dyDescent="0.25">
      <c r="A83" s="40" t="s">
        <v>17</v>
      </c>
      <c r="B83" s="40" t="s">
        <v>18</v>
      </c>
      <c r="C83" s="40" t="s">
        <v>19</v>
      </c>
      <c r="D83" s="40" t="s">
        <v>20</v>
      </c>
      <c r="E83" s="40" t="s">
        <v>21</v>
      </c>
      <c r="F83" s="40" t="s">
        <v>41</v>
      </c>
      <c r="G83" s="40" t="s">
        <v>42</v>
      </c>
      <c r="H83" s="40" t="s">
        <v>127</v>
      </c>
      <c r="I83" s="40" t="s">
        <v>128</v>
      </c>
      <c r="J83" s="40"/>
      <c r="K83" s="40"/>
      <c r="L83" s="40"/>
      <c r="M83" s="40"/>
      <c r="N83" s="40"/>
      <c r="O83" s="40">
        <v>4.0638393168587337</v>
      </c>
      <c r="P83" s="40"/>
      <c r="Q83" s="41" t="s">
        <v>26</v>
      </c>
      <c r="T83" s="20" t="s">
        <v>228</v>
      </c>
      <c r="U83" s="21">
        <v>1125.807295745499</v>
      </c>
      <c r="V83" s="21">
        <v>848.44900606778776</v>
      </c>
      <c r="W83" s="21">
        <v>76.543591602761097</v>
      </c>
      <c r="X83" s="21">
        <v>1639.4321685377299</v>
      </c>
      <c r="Y83" s="21">
        <v>2344.8560035169598</v>
      </c>
      <c r="Z83" s="21">
        <v>709.30611426009364</v>
      </c>
      <c r="AA83" s="21">
        <v>59.052358374153371</v>
      </c>
      <c r="AB83" t="str">
        <f t="shared" si="18"/>
        <v>Metalúrgica (incluye la siderúrgica) </v>
      </c>
    </row>
    <row r="84" spans="1:37" x14ac:dyDescent="0.25">
      <c r="A84" s="40" t="s">
        <v>17</v>
      </c>
      <c r="B84" s="40" t="s">
        <v>18</v>
      </c>
      <c r="C84" s="40" t="s">
        <v>19</v>
      </c>
      <c r="D84" s="40" t="s">
        <v>20</v>
      </c>
      <c r="E84" s="40" t="s">
        <v>21</v>
      </c>
      <c r="F84" s="40" t="s">
        <v>41</v>
      </c>
      <c r="G84" s="40" t="s">
        <v>42</v>
      </c>
      <c r="H84" s="40" t="s">
        <v>127</v>
      </c>
      <c r="I84" s="40" t="s">
        <v>129</v>
      </c>
      <c r="J84" s="40"/>
      <c r="K84" s="40"/>
      <c r="L84" s="40"/>
      <c r="M84" s="40"/>
      <c r="N84" s="40"/>
      <c r="O84" s="40">
        <v>0.3110379181074665</v>
      </c>
      <c r="P84" s="40"/>
      <c r="Q84" s="41" t="s">
        <v>26</v>
      </c>
      <c r="T84" s="20" t="s">
        <v>197</v>
      </c>
      <c r="U84" s="21">
        <v>26.044065449884698</v>
      </c>
      <c r="V84" s="21">
        <v>14.625847708999068</v>
      </c>
      <c r="W84" s="21">
        <v>0.17935785450621247</v>
      </c>
      <c r="X84" s="21">
        <v>61.282149274713646</v>
      </c>
      <c r="Y84" s="21">
        <v>7.4743091012358178</v>
      </c>
      <c r="Z84" s="21">
        <v>923.69211642829384</v>
      </c>
      <c r="AA84" s="21">
        <v>0.22676903193174369</v>
      </c>
      <c r="AB84" t="str">
        <f t="shared" si="18"/>
        <v>Mezclas químicas</v>
      </c>
    </row>
    <row r="85" spans="1:37" x14ac:dyDescent="0.25">
      <c r="A85" s="40" t="s">
        <v>17</v>
      </c>
      <c r="B85" s="40" t="s">
        <v>18</v>
      </c>
      <c r="C85" s="40" t="s">
        <v>19</v>
      </c>
      <c r="D85" s="40" t="s">
        <v>20</v>
      </c>
      <c r="E85" s="40" t="s">
        <v>21</v>
      </c>
      <c r="F85" s="40" t="s">
        <v>41</v>
      </c>
      <c r="G85" s="40" t="s">
        <v>42</v>
      </c>
      <c r="H85" s="40" t="s">
        <v>127</v>
      </c>
      <c r="I85" s="40" t="s">
        <v>130</v>
      </c>
      <c r="J85" s="40"/>
      <c r="K85" s="40"/>
      <c r="L85" s="40"/>
      <c r="M85" s="40"/>
      <c r="N85" s="40"/>
      <c r="O85" s="40">
        <v>223.62511009465135</v>
      </c>
      <c r="P85" s="40"/>
      <c r="Q85" s="41" t="s">
        <v>26</v>
      </c>
      <c r="T85" s="20" t="s">
        <v>198</v>
      </c>
      <c r="U85" s="21">
        <v>874.5009412365647</v>
      </c>
      <c r="V85" s="21">
        <v>551.83555789656464</v>
      </c>
      <c r="W85" s="21">
        <v>52.85233197177736</v>
      </c>
      <c r="X85" s="21">
        <v>331.56579154551224</v>
      </c>
      <c r="Y85" s="21">
        <v>410.21698444613889</v>
      </c>
      <c r="Z85" s="21">
        <v>109.30033243692262</v>
      </c>
      <c r="AA85" s="21">
        <v>11.665050273976304</v>
      </c>
      <c r="AB85" t="str">
        <f t="shared" si="18"/>
        <v>Minerales no metálicos</v>
      </c>
    </row>
    <row r="86" spans="1:37" x14ac:dyDescent="0.25">
      <c r="A86" s="40" t="s">
        <v>17</v>
      </c>
      <c r="B86" s="40" t="s">
        <v>18</v>
      </c>
      <c r="C86" s="40" t="s">
        <v>19</v>
      </c>
      <c r="D86" s="40" t="s">
        <v>20</v>
      </c>
      <c r="E86" s="40" t="s">
        <v>21</v>
      </c>
      <c r="F86" s="40" t="s">
        <v>41</v>
      </c>
      <c r="G86" s="40" t="s">
        <v>42</v>
      </c>
      <c r="H86" s="40" t="s">
        <v>127</v>
      </c>
      <c r="I86" s="40" t="s">
        <v>131</v>
      </c>
      <c r="J86" s="40"/>
      <c r="K86" s="40"/>
      <c r="L86" s="40"/>
      <c r="M86" s="40"/>
      <c r="N86" s="40"/>
      <c r="O86" s="40">
        <v>19.437852140205269</v>
      </c>
      <c r="P86" s="40"/>
      <c r="Q86" s="41" t="s">
        <v>26</v>
      </c>
      <c r="T86" s="20" t="s">
        <v>173</v>
      </c>
      <c r="U86" s="21">
        <v>18.521886706161137</v>
      </c>
      <c r="V86" s="21">
        <v>16.255410683517642</v>
      </c>
      <c r="W86" s="21">
        <v>5.191825746675037</v>
      </c>
      <c r="X86" s="21">
        <v>18770.535730404132</v>
      </c>
      <c r="Y86" s="21">
        <v>793.58684706504062</v>
      </c>
      <c r="Z86" s="21">
        <v>1454.8083793819712</v>
      </c>
      <c r="AA86" s="21">
        <v>18.835012041129442</v>
      </c>
      <c r="AB86" t="str">
        <f t="shared" si="18"/>
        <v>Motocicletas</v>
      </c>
    </row>
    <row r="87" spans="1:37" x14ac:dyDescent="0.25">
      <c r="A87" s="40" t="s">
        <v>17</v>
      </c>
      <c r="B87" s="40" t="s">
        <v>18</v>
      </c>
      <c r="C87" s="40" t="s">
        <v>19</v>
      </c>
      <c r="D87" s="40" t="s">
        <v>20</v>
      </c>
      <c r="E87" s="40" t="s">
        <v>21</v>
      </c>
      <c r="F87" s="40" t="s">
        <v>41</v>
      </c>
      <c r="G87" s="40" t="s">
        <v>42</v>
      </c>
      <c r="H87" s="40" t="s">
        <v>127</v>
      </c>
      <c r="I87" s="40" t="s">
        <v>132</v>
      </c>
      <c r="J87" s="40"/>
      <c r="K87" s="40"/>
      <c r="L87" s="40"/>
      <c r="M87" s="40"/>
      <c r="N87" s="40"/>
      <c r="O87" s="40">
        <v>86.607768522082893</v>
      </c>
      <c r="P87" s="40"/>
      <c r="Q87" s="41" t="s">
        <v>26</v>
      </c>
      <c r="T87" s="20" t="s">
        <v>224</v>
      </c>
      <c r="U87" s="21">
        <v>7.9912978777208696E-2</v>
      </c>
      <c r="V87" s="21">
        <v>6.1744217327267856E-2</v>
      </c>
      <c r="W87" s="21">
        <v>1.5155286960675475E-3</v>
      </c>
      <c r="X87" s="21">
        <v>0.19332454544649186</v>
      </c>
      <c r="Y87" s="21">
        <v>0.23933076758561389</v>
      </c>
      <c r="Z87" s="21">
        <v>1.2309341902732413E-2</v>
      </c>
      <c r="AA87" s="21">
        <v>6.8288253478411961E-3</v>
      </c>
      <c r="AB87" t="str">
        <f t="shared" si="18"/>
        <v>Muebles, colchones y persianas</v>
      </c>
    </row>
    <row r="88" spans="1:37" x14ac:dyDescent="0.25">
      <c r="A88" s="40" t="s">
        <v>17</v>
      </c>
      <c r="B88" s="40" t="s">
        <v>18</v>
      </c>
      <c r="C88" s="40" t="s">
        <v>19</v>
      </c>
      <c r="D88" s="40" t="s">
        <v>20</v>
      </c>
      <c r="E88" s="40" t="s">
        <v>21</v>
      </c>
      <c r="F88" s="40" t="s">
        <v>41</v>
      </c>
      <c r="G88" s="40" t="s">
        <v>42</v>
      </c>
      <c r="H88" s="40" t="s">
        <v>127</v>
      </c>
      <c r="I88" s="40" t="s">
        <v>133</v>
      </c>
      <c r="J88" s="40"/>
      <c r="K88" s="40"/>
      <c r="L88" s="40"/>
      <c r="M88" s="40"/>
      <c r="N88" s="40"/>
      <c r="O88" s="40">
        <v>84.844451446506582</v>
      </c>
      <c r="P88" s="40"/>
      <c r="Q88" s="41" t="s">
        <v>26</v>
      </c>
      <c r="T88" s="20" t="s">
        <v>199</v>
      </c>
      <c r="U88" s="21">
        <v>13.003768347907048</v>
      </c>
      <c r="V88" s="21">
        <v>9.3292506411378202</v>
      </c>
      <c r="W88" s="21">
        <v>9.8292236725658802E-2</v>
      </c>
      <c r="X88" s="21">
        <v>4.3965136936488767</v>
      </c>
      <c r="Y88" s="21">
        <v>5.4702555414673526</v>
      </c>
      <c r="Z88" s="21">
        <v>7.7463324739613819</v>
      </c>
      <c r="AA88" s="21">
        <v>0.97061599831717726</v>
      </c>
      <c r="AB88" t="str">
        <f t="shared" si="18"/>
        <v>Otras Industrias</v>
      </c>
    </row>
    <row r="89" spans="1:37" x14ac:dyDescent="0.25">
      <c r="A89" s="40" t="s">
        <v>17</v>
      </c>
      <c r="B89" s="40" t="s">
        <v>18</v>
      </c>
      <c r="C89" s="40" t="s">
        <v>19</v>
      </c>
      <c r="D89" s="40" t="s">
        <v>20</v>
      </c>
      <c r="E89" s="40" t="s">
        <v>21</v>
      </c>
      <c r="F89" s="40" t="s">
        <v>41</v>
      </c>
      <c r="G89" s="40" t="s">
        <v>42</v>
      </c>
      <c r="H89" s="40" t="s">
        <v>127</v>
      </c>
      <c r="I89" s="40" t="s">
        <v>134</v>
      </c>
      <c r="J89" s="40"/>
      <c r="K89" s="40"/>
      <c r="L89" s="40"/>
      <c r="M89" s="40"/>
      <c r="N89" s="40"/>
      <c r="O89" s="40">
        <v>207.14959999999996</v>
      </c>
      <c r="P89" s="40"/>
      <c r="Q89" s="41" t="s">
        <v>26</v>
      </c>
      <c r="T89" s="20" t="s">
        <v>142</v>
      </c>
      <c r="U89" s="21"/>
      <c r="V89" s="21"/>
      <c r="W89" s="21"/>
      <c r="X89" s="21"/>
      <c r="Y89" s="21"/>
      <c r="Z89" s="21">
        <v>104.78039984846376</v>
      </c>
      <c r="AA89" s="21"/>
      <c r="AB89" t="str">
        <f t="shared" si="18"/>
        <v>Panificación</v>
      </c>
    </row>
    <row r="90" spans="1:37" x14ac:dyDescent="0.25">
      <c r="A90" s="40" t="s">
        <v>17</v>
      </c>
      <c r="B90" s="40" t="s">
        <v>18</v>
      </c>
      <c r="C90" s="40" t="s">
        <v>19</v>
      </c>
      <c r="D90" s="40" t="s">
        <v>20</v>
      </c>
      <c r="E90" s="40" t="s">
        <v>21</v>
      </c>
      <c r="F90" s="40" t="s">
        <v>41</v>
      </c>
      <c r="G90" s="40" t="s">
        <v>42</v>
      </c>
      <c r="H90" s="40" t="s">
        <v>135</v>
      </c>
      <c r="I90" s="40" t="s">
        <v>136</v>
      </c>
      <c r="J90" s="40"/>
      <c r="K90" s="40"/>
      <c r="L90" s="40"/>
      <c r="M90" s="40"/>
      <c r="N90" s="40"/>
      <c r="O90" s="40">
        <v>417.76889810395977</v>
      </c>
      <c r="P90" s="40"/>
      <c r="Q90" s="41" t="s">
        <v>137</v>
      </c>
      <c r="T90" s="20" t="s">
        <v>200</v>
      </c>
      <c r="U90" s="21">
        <v>27.945731307052032</v>
      </c>
      <c r="V90" s="21">
        <v>21.441485046748841</v>
      </c>
      <c r="W90" s="21">
        <v>7.7000838865581275E-2</v>
      </c>
      <c r="X90" s="21">
        <v>9.3713520020490755</v>
      </c>
      <c r="Y90" s="21">
        <v>11.826811475091954</v>
      </c>
      <c r="Z90" s="21">
        <v>1108.1658515400563</v>
      </c>
      <c r="AA90" s="21">
        <v>0.31798471623762542</v>
      </c>
      <c r="AB90" t="str">
        <f t="shared" si="18"/>
        <v xml:space="preserve">Papel y cartón </v>
      </c>
    </row>
    <row r="91" spans="1:37" x14ac:dyDescent="0.25">
      <c r="A91" s="40" t="s">
        <v>17</v>
      </c>
      <c r="B91" s="40" t="s">
        <v>18</v>
      </c>
      <c r="C91" s="40" t="s">
        <v>19</v>
      </c>
      <c r="D91" s="40" t="s">
        <v>20</v>
      </c>
      <c r="E91" s="40" t="s">
        <v>21</v>
      </c>
      <c r="F91" s="40" t="s">
        <v>41</v>
      </c>
      <c r="G91" s="40" t="s">
        <v>42</v>
      </c>
      <c r="H91" s="40" t="s">
        <v>135</v>
      </c>
      <c r="I91" s="40" t="s">
        <v>138</v>
      </c>
      <c r="J91" s="40"/>
      <c r="K91" s="40"/>
      <c r="L91" s="40"/>
      <c r="M91" s="40"/>
      <c r="N91" s="40"/>
      <c r="O91" s="40">
        <v>39.521834726788271</v>
      </c>
      <c r="P91" s="40"/>
      <c r="Q91" s="41" t="s">
        <v>137</v>
      </c>
      <c r="T91" s="20" t="s">
        <v>236</v>
      </c>
      <c r="U91" s="21">
        <v>954.44172490927099</v>
      </c>
      <c r="V91" s="21">
        <v>520.7719045212782</v>
      </c>
      <c r="W91" s="21">
        <v>8728.4941672250916</v>
      </c>
      <c r="X91" s="21">
        <v>1223.221780266063</v>
      </c>
      <c r="Y91" s="21">
        <v>3391.5350698103011</v>
      </c>
      <c r="Z91" s="21">
        <v>1334.1700409178545</v>
      </c>
      <c r="AA91" s="21">
        <v>52.312664450831662</v>
      </c>
      <c r="AB91" t="str">
        <f t="shared" si="18"/>
        <v>Petróleo y petroquímica</v>
      </c>
    </row>
    <row r="92" spans="1:37" x14ac:dyDescent="0.25">
      <c r="A92" s="40" t="s">
        <v>17</v>
      </c>
      <c r="B92" s="40" t="s">
        <v>18</v>
      </c>
      <c r="C92" s="40" t="s">
        <v>19</v>
      </c>
      <c r="D92" s="40" t="s">
        <v>20</v>
      </c>
      <c r="E92" s="40" t="s">
        <v>21</v>
      </c>
      <c r="F92" s="40" t="s">
        <v>41</v>
      </c>
      <c r="G92" s="40" t="s">
        <v>42</v>
      </c>
      <c r="H92" s="40" t="s">
        <v>139</v>
      </c>
      <c r="I92" s="40" t="s">
        <v>142</v>
      </c>
      <c r="J92" s="40"/>
      <c r="K92" s="40"/>
      <c r="L92" s="40"/>
      <c r="M92" s="40"/>
      <c r="N92" s="40"/>
      <c r="O92" s="40">
        <v>1.5869490610767705</v>
      </c>
      <c r="P92" s="40"/>
      <c r="Q92" s="41" t="s">
        <v>26</v>
      </c>
      <c r="T92" s="20" t="s">
        <v>181</v>
      </c>
      <c r="U92" s="21">
        <v>475.2256612306378</v>
      </c>
      <c r="V92" s="21">
        <v>421.71873023914986</v>
      </c>
      <c r="W92" s="21">
        <v>28.892705457022739</v>
      </c>
      <c r="X92" s="21">
        <v>73910.924882874257</v>
      </c>
      <c r="Y92" s="21">
        <v>15622.35409374956</v>
      </c>
      <c r="Z92" s="21">
        <v>8358.5765487135086</v>
      </c>
      <c r="AA92" s="21">
        <v>101.2206499543678</v>
      </c>
      <c r="AB92" t="str">
        <f t="shared" si="18"/>
        <v>Pickup y Veh&lt;3.8Ton</v>
      </c>
    </row>
    <row r="93" spans="1:37" x14ac:dyDescent="0.25">
      <c r="A93" s="40" t="s">
        <v>17</v>
      </c>
      <c r="B93" s="40" t="s">
        <v>18</v>
      </c>
      <c r="C93" s="40" t="s">
        <v>19</v>
      </c>
      <c r="D93" s="40" t="s">
        <v>20</v>
      </c>
      <c r="E93" s="40" t="s">
        <v>21</v>
      </c>
      <c r="F93" s="40" t="s">
        <v>41</v>
      </c>
      <c r="G93" s="40" t="s">
        <v>42</v>
      </c>
      <c r="H93" s="40" t="s">
        <v>143</v>
      </c>
      <c r="I93" s="40" t="s">
        <v>144</v>
      </c>
      <c r="J93" s="40"/>
      <c r="K93" s="40"/>
      <c r="L93" s="40"/>
      <c r="M93" s="40"/>
      <c r="N93" s="40"/>
      <c r="O93" s="40"/>
      <c r="P93" s="40">
        <v>185.55368618964621</v>
      </c>
      <c r="Q93" s="41" t="s">
        <v>26</v>
      </c>
      <c r="T93" s="20" t="s">
        <v>131</v>
      </c>
      <c r="U93" s="21"/>
      <c r="V93" s="21"/>
      <c r="W93" s="21"/>
      <c r="X93" s="21"/>
      <c r="Y93" s="21"/>
      <c r="Z93" s="21">
        <v>1037.2037902013544</v>
      </c>
      <c r="AA93" s="21"/>
      <c r="AB93" t="str">
        <f t="shared" si="18"/>
        <v>Pintado Automotriz</v>
      </c>
    </row>
    <row r="94" spans="1:37" x14ac:dyDescent="0.25">
      <c r="A94" s="40" t="s">
        <v>17</v>
      </c>
      <c r="B94" s="40" t="s">
        <v>18</v>
      </c>
      <c r="C94" s="40" t="s">
        <v>19</v>
      </c>
      <c r="D94" s="40" t="s">
        <v>20</v>
      </c>
      <c r="E94" s="40" t="s">
        <v>21</v>
      </c>
      <c r="F94" s="40" t="s">
        <v>41</v>
      </c>
      <c r="G94" s="40" t="s">
        <v>42</v>
      </c>
      <c r="H94" s="40" t="s">
        <v>143</v>
      </c>
      <c r="I94" s="40" t="s">
        <v>145</v>
      </c>
      <c r="J94" s="40"/>
      <c r="K94" s="40"/>
      <c r="L94" s="40"/>
      <c r="M94" s="40"/>
      <c r="N94" s="40"/>
      <c r="O94" s="40">
        <v>1.7419881349890756</v>
      </c>
      <c r="P94" s="40"/>
      <c r="Q94" s="41" t="s">
        <v>26</v>
      </c>
      <c r="T94" s="20" t="s">
        <v>242</v>
      </c>
      <c r="U94" s="21"/>
      <c r="V94" s="21"/>
      <c r="W94" s="21"/>
      <c r="X94" s="21"/>
      <c r="Y94" s="21"/>
      <c r="Z94" s="21">
        <v>32.761250186287477</v>
      </c>
      <c r="AA94" s="21"/>
      <c r="AB94" t="str">
        <f t="shared" si="18"/>
        <v>Pintura para señalización víal</v>
      </c>
    </row>
    <row r="95" spans="1:37" x14ac:dyDescent="0.25">
      <c r="A95" s="40" t="s">
        <v>17</v>
      </c>
      <c r="B95" s="40" t="s">
        <v>18</v>
      </c>
      <c r="C95" s="40" t="s">
        <v>19</v>
      </c>
      <c r="D95" s="40" t="s">
        <v>20</v>
      </c>
      <c r="E95" s="40" t="s">
        <v>21</v>
      </c>
      <c r="F95" s="40" t="s">
        <v>41</v>
      </c>
      <c r="G95" s="40" t="s">
        <v>42</v>
      </c>
      <c r="H95" s="40" t="s">
        <v>143</v>
      </c>
      <c r="I95" s="40" t="s">
        <v>146</v>
      </c>
      <c r="J95" s="40"/>
      <c r="K95" s="40"/>
      <c r="L95" s="40"/>
      <c r="M95" s="40"/>
      <c r="N95" s="40"/>
      <c r="O95" s="40"/>
      <c r="P95" s="40">
        <v>473.34028000000012</v>
      </c>
      <c r="Q95" s="41" t="s">
        <v>26</v>
      </c>
      <c r="T95" s="20" t="s">
        <v>232</v>
      </c>
      <c r="U95" s="21">
        <v>25.829311475851966</v>
      </c>
      <c r="V95" s="21">
        <v>13.012595793460981</v>
      </c>
      <c r="W95" s="21">
        <v>0.12689</v>
      </c>
      <c r="X95" s="21">
        <v>16.881329002399998</v>
      </c>
      <c r="Y95" s="21">
        <v>39.669959453819203</v>
      </c>
      <c r="Z95" s="21">
        <v>650.54704540203863</v>
      </c>
      <c r="AA95" s="21">
        <v>0.73740000000000006</v>
      </c>
      <c r="AB95" t="str">
        <f t="shared" si="18"/>
        <v>Pinturas y tintas</v>
      </c>
    </row>
    <row r="96" spans="1:37" x14ac:dyDescent="0.25">
      <c r="A96" s="40" t="s">
        <v>17</v>
      </c>
      <c r="B96" s="40" t="s">
        <v>18</v>
      </c>
      <c r="C96" s="40" t="s">
        <v>19</v>
      </c>
      <c r="D96" s="40" t="s">
        <v>20</v>
      </c>
      <c r="E96" s="40" t="s">
        <v>21</v>
      </c>
      <c r="F96" s="40" t="s">
        <v>41</v>
      </c>
      <c r="G96" s="40" t="s">
        <v>42</v>
      </c>
      <c r="H96" s="40" t="s">
        <v>149</v>
      </c>
      <c r="I96" s="40" t="s">
        <v>150</v>
      </c>
      <c r="J96" s="40"/>
      <c r="K96" s="40"/>
      <c r="L96" s="40"/>
      <c r="M96" s="40"/>
      <c r="N96" s="40"/>
      <c r="O96" s="40">
        <v>93.408492340733076</v>
      </c>
      <c r="P96" s="40"/>
      <c r="Q96" s="41" t="s">
        <v>26</v>
      </c>
      <c r="T96" s="20" t="s">
        <v>185</v>
      </c>
      <c r="U96" s="21">
        <v>56.726736642636141</v>
      </c>
      <c r="V96" s="21">
        <v>34.518553700934667</v>
      </c>
      <c r="W96" s="21">
        <v>0.3381974006398788</v>
      </c>
      <c r="X96" s="21">
        <v>31.453403042808681</v>
      </c>
      <c r="Y96" s="21">
        <v>40.63688995781942</v>
      </c>
      <c r="Z96" s="21">
        <v>941.81760073198393</v>
      </c>
      <c r="AA96" s="21">
        <v>1.0301090600839871</v>
      </c>
      <c r="AB96" t="str">
        <f t="shared" si="18"/>
        <v>Plástico y hule</v>
      </c>
    </row>
    <row r="97" spans="1:28" x14ac:dyDescent="0.25">
      <c r="A97" s="40" t="s">
        <v>17</v>
      </c>
      <c r="B97" s="40" t="s">
        <v>18</v>
      </c>
      <c r="C97" s="40" t="s">
        <v>19</v>
      </c>
      <c r="D97" s="40" t="s">
        <v>20</v>
      </c>
      <c r="E97" s="40" t="s">
        <v>21</v>
      </c>
      <c r="F97" s="40" t="s">
        <v>41</v>
      </c>
      <c r="G97" s="40" t="s">
        <v>42</v>
      </c>
      <c r="H97" s="40" t="s">
        <v>153</v>
      </c>
      <c r="I97" s="40" t="s">
        <v>155</v>
      </c>
      <c r="J97" s="40"/>
      <c r="K97" s="40"/>
      <c r="L97" s="40"/>
      <c r="M97" s="40"/>
      <c r="N97" s="40"/>
      <c r="O97" s="40"/>
      <c r="P97" s="40">
        <v>150.65446169570066</v>
      </c>
      <c r="Q97" s="41" t="s">
        <v>26</v>
      </c>
      <c r="T97" s="20" t="s">
        <v>151</v>
      </c>
      <c r="U97" s="21">
        <v>33.911843183721984</v>
      </c>
      <c r="V97" s="21">
        <v>31.056109020882229</v>
      </c>
      <c r="W97" s="21">
        <v>0.89241692588742039</v>
      </c>
      <c r="X97" s="21">
        <v>75.855438700430739</v>
      </c>
      <c r="Y97" s="21">
        <v>5.3545015553245214</v>
      </c>
      <c r="Z97" s="21">
        <v>7.6355192178927691</v>
      </c>
      <c r="AA97" s="21"/>
      <c r="AB97" t="str">
        <f t="shared" si="18"/>
        <v>Quema de Residuos</v>
      </c>
    </row>
    <row r="98" spans="1:28" x14ac:dyDescent="0.25">
      <c r="A98" s="40" t="s">
        <v>17</v>
      </c>
      <c r="B98" s="40" t="s">
        <v>18</v>
      </c>
      <c r="C98" s="40" t="s">
        <v>19</v>
      </c>
      <c r="D98" s="40" t="s">
        <v>20</v>
      </c>
      <c r="E98" s="40" t="s">
        <v>21</v>
      </c>
      <c r="F98" s="40" t="s">
        <v>41</v>
      </c>
      <c r="G98" s="40" t="s">
        <v>42</v>
      </c>
      <c r="H98" s="40" t="s">
        <v>153</v>
      </c>
      <c r="I98" s="40" t="s">
        <v>157</v>
      </c>
      <c r="J98" s="40"/>
      <c r="K98" s="40"/>
      <c r="L98" s="40"/>
      <c r="M98" s="40"/>
      <c r="N98" s="40"/>
      <c r="O98" s="40">
        <v>3.7720000000000004E-2</v>
      </c>
      <c r="P98" s="40"/>
      <c r="Q98" s="41" t="s">
        <v>26</v>
      </c>
      <c r="T98" s="20" t="s">
        <v>243</v>
      </c>
      <c r="U98" s="21">
        <v>7.1525549924742151</v>
      </c>
      <c r="V98" s="21">
        <v>6.808910495739136</v>
      </c>
      <c r="W98" s="21">
        <v>0.39016461206699693</v>
      </c>
      <c r="X98" s="21">
        <v>55.183751210843951</v>
      </c>
      <c r="Y98" s="21">
        <v>2.2991537115545722</v>
      </c>
      <c r="Z98" s="21">
        <v>4.343278146687485</v>
      </c>
      <c r="AA98" s="21">
        <v>1.1043011984122959</v>
      </c>
      <c r="AB98" t="str">
        <f t="shared" ref="AB98" si="23">+T98</f>
        <v>Quemas Agrícolas</v>
      </c>
    </row>
    <row r="99" spans="1:28" x14ac:dyDescent="0.25">
      <c r="A99" s="40" t="s">
        <v>17</v>
      </c>
      <c r="B99" s="43" t="s">
        <v>18</v>
      </c>
      <c r="C99" s="40" t="s">
        <v>19</v>
      </c>
      <c r="D99" s="43" t="s">
        <v>20</v>
      </c>
      <c r="E99" s="43" t="s">
        <v>21</v>
      </c>
      <c r="F99" s="43" t="s">
        <v>41</v>
      </c>
      <c r="G99" s="43" t="s">
        <v>42</v>
      </c>
      <c r="H99" s="43" t="s">
        <v>240</v>
      </c>
      <c r="I99" s="43" t="s">
        <v>241</v>
      </c>
      <c r="J99" s="43"/>
      <c r="K99" s="43"/>
      <c r="L99" s="43"/>
      <c r="M99" s="43"/>
      <c r="N99" s="43"/>
      <c r="O99" s="43">
        <v>11.041392595901499</v>
      </c>
      <c r="P99" s="43"/>
      <c r="Q99" s="41" t="s">
        <v>26</v>
      </c>
      <c r="T99" s="20" t="s">
        <v>233</v>
      </c>
      <c r="U99" s="21">
        <v>242.6141484298891</v>
      </c>
      <c r="V99" s="21">
        <v>157.68987264181081</v>
      </c>
      <c r="W99" s="21">
        <v>152.85956809836352</v>
      </c>
      <c r="X99" s="21">
        <v>484.9067963775417</v>
      </c>
      <c r="Y99" s="21">
        <v>2150.0047703580944</v>
      </c>
      <c r="Z99" s="21">
        <v>3521.362301132333</v>
      </c>
      <c r="AA99" s="21">
        <v>15.285319086825119</v>
      </c>
      <c r="AB99" t="str">
        <f t="shared" ref="AB99:AB109" si="24">+T99</f>
        <v>Química</v>
      </c>
    </row>
    <row r="100" spans="1:28" x14ac:dyDescent="0.25">
      <c r="A100" s="40" t="s">
        <v>17</v>
      </c>
      <c r="B100" s="43" t="s">
        <v>18</v>
      </c>
      <c r="C100" s="40" t="s">
        <v>19</v>
      </c>
      <c r="D100" s="43" t="s">
        <v>20</v>
      </c>
      <c r="E100" s="43" t="s">
        <v>21</v>
      </c>
      <c r="F100" s="43" t="s">
        <v>41</v>
      </c>
      <c r="G100" s="43" t="s">
        <v>42</v>
      </c>
      <c r="H100" s="43" t="s">
        <v>240</v>
      </c>
      <c r="I100" s="43" t="s">
        <v>242</v>
      </c>
      <c r="J100" s="43"/>
      <c r="K100" s="43"/>
      <c r="L100" s="43"/>
      <c r="M100" s="43"/>
      <c r="N100" s="43"/>
      <c r="O100" s="43">
        <v>7.3189419224225185</v>
      </c>
      <c r="P100" s="43"/>
      <c r="Q100" s="41" t="s">
        <v>26</v>
      </c>
      <c r="T100" s="20" t="s">
        <v>132</v>
      </c>
      <c r="U100" s="21"/>
      <c r="V100" s="21"/>
      <c r="W100" s="21"/>
      <c r="X100" s="21"/>
      <c r="Y100" s="21"/>
      <c r="Z100" s="21">
        <v>5196.614639131938</v>
      </c>
      <c r="AA100" s="21"/>
      <c r="AB100" t="str">
        <f t="shared" si="24"/>
        <v>Recubrimiento de superficies arquitectónicas</v>
      </c>
    </row>
    <row r="101" spans="1:28" x14ac:dyDescent="0.25">
      <c r="A101" s="40" t="s">
        <v>17</v>
      </c>
      <c r="B101" s="40" t="s">
        <v>18</v>
      </c>
      <c r="C101" s="40" t="s">
        <v>19</v>
      </c>
      <c r="D101" s="40" t="s">
        <v>20</v>
      </c>
      <c r="E101" s="40" t="s">
        <v>21</v>
      </c>
      <c r="F101" s="40" t="s">
        <v>47</v>
      </c>
      <c r="G101" s="40" t="s">
        <v>48</v>
      </c>
      <c r="H101" s="40" t="s">
        <v>139</v>
      </c>
      <c r="I101" s="40" t="s">
        <v>141</v>
      </c>
      <c r="J101" s="40">
        <v>3.6870541499999985</v>
      </c>
      <c r="K101" s="40">
        <v>2.9426379171150012</v>
      </c>
      <c r="L101" s="40">
        <v>0</v>
      </c>
      <c r="M101" s="40">
        <v>7.3404428900000038</v>
      </c>
      <c r="N101" s="40">
        <v>0.13512281000000004</v>
      </c>
      <c r="O101" s="40">
        <v>0.47362159000000015</v>
      </c>
      <c r="P101" s="40">
        <v>0</v>
      </c>
      <c r="Q101" s="41" t="s">
        <v>26</v>
      </c>
      <c r="T101" s="20" t="s">
        <v>133</v>
      </c>
      <c r="U101" s="21"/>
      <c r="V101" s="21"/>
      <c r="W101" s="21"/>
      <c r="X101" s="21"/>
      <c r="Y101" s="21"/>
      <c r="Z101" s="21">
        <v>2534.6698263670332</v>
      </c>
      <c r="AA101" s="21"/>
      <c r="AB101" t="str">
        <f t="shared" si="24"/>
        <v>Recubrimiento de superficies en la Industria</v>
      </c>
    </row>
    <row r="102" spans="1:28" x14ac:dyDescent="0.25">
      <c r="A102" s="40" t="s">
        <v>17</v>
      </c>
      <c r="B102" s="40" t="s">
        <v>18</v>
      </c>
      <c r="C102" s="40" t="s">
        <v>19</v>
      </c>
      <c r="D102" s="40" t="s">
        <v>20</v>
      </c>
      <c r="E102" s="40" t="s">
        <v>21</v>
      </c>
      <c r="F102" s="40" t="s">
        <v>47</v>
      </c>
      <c r="G102" s="40" t="s">
        <v>48</v>
      </c>
      <c r="H102" s="40" t="s">
        <v>24</v>
      </c>
      <c r="I102" s="40" t="s">
        <v>126</v>
      </c>
      <c r="J102" s="40">
        <v>2.9733092565292076</v>
      </c>
      <c r="K102" s="40">
        <v>2.875680766383673</v>
      </c>
      <c r="L102" s="40">
        <v>0.11398277545662196</v>
      </c>
      <c r="M102" s="40">
        <v>25.083308164001263</v>
      </c>
      <c r="N102" s="40">
        <v>5.5133635488357839</v>
      </c>
      <c r="O102" s="40">
        <v>10.123967523184843</v>
      </c>
      <c r="P102" s="40">
        <v>0.17155683351898635</v>
      </c>
      <c r="Q102" s="41" t="s">
        <v>26</v>
      </c>
      <c r="T102" s="20" t="s">
        <v>152</v>
      </c>
      <c r="U102" s="21">
        <v>0</v>
      </c>
      <c r="V102" s="21">
        <v>0</v>
      </c>
      <c r="W102" s="21">
        <v>0</v>
      </c>
      <c r="X102" s="21">
        <v>22.469002857312287</v>
      </c>
      <c r="Y102" s="21"/>
      <c r="Z102" s="21">
        <v>1191.4056875584113</v>
      </c>
      <c r="AA102" s="21"/>
      <c r="AB102" t="str">
        <f t="shared" si="24"/>
        <v>Rellenos Sanitarios</v>
      </c>
    </row>
    <row r="103" spans="1:28" x14ac:dyDescent="0.25">
      <c r="A103" s="40" t="s">
        <v>17</v>
      </c>
      <c r="B103" s="40" t="s">
        <v>18</v>
      </c>
      <c r="C103" s="40" t="s">
        <v>19</v>
      </c>
      <c r="D103" s="40" t="s">
        <v>20</v>
      </c>
      <c r="E103" s="40" t="s">
        <v>21</v>
      </c>
      <c r="F103" s="40" t="s">
        <v>47</v>
      </c>
      <c r="G103" s="40" t="s">
        <v>48</v>
      </c>
      <c r="H103" s="40" t="s">
        <v>143</v>
      </c>
      <c r="I103" s="40" t="s">
        <v>148</v>
      </c>
      <c r="J103" s="40">
        <v>1.8748469333333333</v>
      </c>
      <c r="K103" s="40">
        <v>0.41565356511999996</v>
      </c>
      <c r="L103" s="40"/>
      <c r="M103" s="40"/>
      <c r="N103" s="40"/>
      <c r="O103" s="40"/>
      <c r="P103" s="40"/>
      <c r="Q103" s="41" t="s">
        <v>26</v>
      </c>
      <c r="T103" s="20" t="s">
        <v>175</v>
      </c>
      <c r="U103" s="21">
        <v>46.695537444834969</v>
      </c>
      <c r="V103" s="21">
        <v>41.274548996112408</v>
      </c>
      <c r="W103" s="21">
        <v>8.1081109502685074</v>
      </c>
      <c r="X103" s="21">
        <v>20312.711740649433</v>
      </c>
      <c r="Y103" s="21">
        <v>9982.8174150524846</v>
      </c>
      <c r="Z103" s="21">
        <v>936.02651076324378</v>
      </c>
      <c r="AA103" s="21">
        <v>22.738911195702638</v>
      </c>
      <c r="AB103" t="str">
        <f t="shared" si="24"/>
        <v>Taxi</v>
      </c>
    </row>
    <row r="104" spans="1:28" x14ac:dyDescent="0.25">
      <c r="A104" s="40" t="s">
        <v>17</v>
      </c>
      <c r="B104" s="40" t="s">
        <v>18</v>
      </c>
      <c r="C104" s="40" t="s">
        <v>19</v>
      </c>
      <c r="D104" s="40" t="s">
        <v>20</v>
      </c>
      <c r="E104" s="40" t="s">
        <v>21</v>
      </c>
      <c r="F104" s="40" t="s">
        <v>47</v>
      </c>
      <c r="G104" s="40" t="s">
        <v>48</v>
      </c>
      <c r="H104" s="40" t="s">
        <v>143</v>
      </c>
      <c r="I104" s="40" t="s">
        <v>147</v>
      </c>
      <c r="J104" s="40">
        <v>1.4943708000000002</v>
      </c>
      <c r="K104" s="40">
        <v>0.17065714535999998</v>
      </c>
      <c r="L104" s="40"/>
      <c r="M104" s="40"/>
      <c r="N104" s="40"/>
      <c r="O104" s="40"/>
      <c r="P104" s="40"/>
      <c r="Q104" s="41" t="s">
        <v>26</v>
      </c>
      <c r="T104" s="20" t="s">
        <v>170</v>
      </c>
      <c r="U104" s="21">
        <v>0.13333417316242319</v>
      </c>
      <c r="V104" s="21">
        <v>0.12269698081646042</v>
      </c>
      <c r="W104" s="21">
        <v>8.2130737591041142E-3</v>
      </c>
      <c r="X104" s="21">
        <v>4.9854504971785225</v>
      </c>
      <c r="Y104" s="21">
        <v>3.3243721140848979</v>
      </c>
      <c r="Z104" s="21">
        <v>0.86110902299957071</v>
      </c>
      <c r="AA104" s="21">
        <v>5.3301861277886921E-2</v>
      </c>
      <c r="AB104" t="str">
        <f t="shared" si="24"/>
        <v>terminales de autobuses</v>
      </c>
    </row>
    <row r="105" spans="1:28" x14ac:dyDescent="0.25">
      <c r="A105" s="40" t="s">
        <v>17</v>
      </c>
      <c r="B105" s="40" t="s">
        <v>18</v>
      </c>
      <c r="C105" s="40" t="s">
        <v>19</v>
      </c>
      <c r="D105" s="40" t="s">
        <v>20</v>
      </c>
      <c r="E105" s="40" t="s">
        <v>21</v>
      </c>
      <c r="F105" s="40" t="s">
        <v>47</v>
      </c>
      <c r="G105" s="40" t="s">
        <v>48</v>
      </c>
      <c r="H105" s="40" t="s">
        <v>153</v>
      </c>
      <c r="I105" s="40" t="s">
        <v>154</v>
      </c>
      <c r="J105" s="40">
        <v>1.1595927863885267</v>
      </c>
      <c r="K105" s="40">
        <v>0.17980054729235048</v>
      </c>
      <c r="L105" s="40"/>
      <c r="M105" s="40"/>
      <c r="N105" s="40"/>
      <c r="O105" s="40"/>
      <c r="P105" s="40"/>
      <c r="Q105" s="41" t="s">
        <v>26</v>
      </c>
      <c r="T105" s="20" t="s">
        <v>180</v>
      </c>
      <c r="U105" s="21">
        <v>669.55319321243917</v>
      </c>
      <c r="V105" s="21">
        <v>615.96359376593114</v>
      </c>
      <c r="W105" s="21">
        <v>13.993421236617872</v>
      </c>
      <c r="X105" s="21">
        <v>26849.059073774668</v>
      </c>
      <c r="Y105" s="21">
        <v>11799.061755443883</v>
      </c>
      <c r="Z105" s="21">
        <v>22149.271180686039</v>
      </c>
      <c r="AA105" s="21">
        <v>33.140310611026145</v>
      </c>
      <c r="AB105" t="str">
        <f t="shared" si="24"/>
        <v>Tractocamiones</v>
      </c>
    </row>
    <row r="106" spans="1:28" x14ac:dyDescent="0.25">
      <c r="A106" s="40" t="s">
        <v>17</v>
      </c>
      <c r="B106" s="40" t="s">
        <v>18</v>
      </c>
      <c r="C106" s="40" t="s">
        <v>19</v>
      </c>
      <c r="D106" s="40" t="s">
        <v>20</v>
      </c>
      <c r="E106" s="40" t="s">
        <v>21</v>
      </c>
      <c r="F106" s="40" t="s">
        <v>47</v>
      </c>
      <c r="G106" s="40" t="s">
        <v>48</v>
      </c>
      <c r="H106" s="40" t="s">
        <v>149</v>
      </c>
      <c r="I106" s="40" t="s">
        <v>151</v>
      </c>
      <c r="J106" s="40">
        <v>0.42206303186098998</v>
      </c>
      <c r="K106" s="40">
        <v>0.3865208818095382</v>
      </c>
      <c r="L106" s="40">
        <v>1.1106921891078682E-2</v>
      </c>
      <c r="M106" s="40">
        <v>0.94408836074168812</v>
      </c>
      <c r="N106" s="40">
        <v>6.6641531346472105E-2</v>
      </c>
      <c r="O106" s="40">
        <v>9.5030823700069211E-2</v>
      </c>
      <c r="P106" s="40"/>
      <c r="Q106" s="41" t="s">
        <v>26</v>
      </c>
      <c r="T106" s="20" t="s">
        <v>234</v>
      </c>
      <c r="U106" s="21">
        <v>1.2988076470000001</v>
      </c>
      <c r="V106" s="21">
        <v>1.287205122</v>
      </c>
      <c r="W106" s="21">
        <v>3.8458499999999995</v>
      </c>
      <c r="X106" s="21">
        <v>15.812250000000001</v>
      </c>
      <c r="Y106" s="21">
        <v>29.331290000000003</v>
      </c>
      <c r="Z106" s="21">
        <v>5.7741564800000003</v>
      </c>
      <c r="AA106" s="21">
        <v>0</v>
      </c>
      <c r="AB106" t="str">
        <f t="shared" si="24"/>
        <v>Tratamiento de residuos peligrosos </v>
      </c>
    </row>
    <row r="107" spans="1:28" x14ac:dyDescent="0.25">
      <c r="A107" s="40" t="s">
        <v>17</v>
      </c>
      <c r="B107" s="43" t="s">
        <v>18</v>
      </c>
      <c r="C107" s="40" t="s">
        <v>19</v>
      </c>
      <c r="D107" s="43" t="s">
        <v>20</v>
      </c>
      <c r="E107" s="43" t="s">
        <v>21</v>
      </c>
      <c r="F107" s="43" t="s">
        <v>47</v>
      </c>
      <c r="G107" s="43" t="s">
        <v>48</v>
      </c>
      <c r="H107" s="43" t="s">
        <v>24</v>
      </c>
      <c r="I107" s="43" t="s">
        <v>239</v>
      </c>
      <c r="J107" s="43">
        <v>8.6001419680762997E-2</v>
      </c>
      <c r="K107" s="43">
        <v>5.8500351798656085E-2</v>
      </c>
      <c r="L107" s="43">
        <v>8.0761878474535503E-3</v>
      </c>
      <c r="M107" s="43">
        <v>0.58896498918133999</v>
      </c>
      <c r="N107" s="43">
        <v>1.4401129961389652</v>
      </c>
      <c r="O107" s="43">
        <v>3.225923395468442E-2</v>
      </c>
      <c r="P107" s="43">
        <v>2.8948492507480963E-2</v>
      </c>
      <c r="Q107" s="41" t="s">
        <v>26</v>
      </c>
      <c r="T107" s="20" t="s">
        <v>134</v>
      </c>
      <c r="U107" s="21"/>
      <c r="V107" s="21"/>
      <c r="W107" s="21"/>
      <c r="X107" s="21"/>
      <c r="Y107" s="21"/>
      <c r="Z107" s="21">
        <v>12428.404449999996</v>
      </c>
      <c r="AA107" s="21"/>
      <c r="AB107" t="str">
        <f t="shared" si="24"/>
        <v>Uso doméstico de solventes</v>
      </c>
    </row>
    <row r="108" spans="1:28" x14ac:dyDescent="0.25">
      <c r="A108" s="40" t="s">
        <v>17</v>
      </c>
      <c r="B108" s="43" t="s">
        <v>18</v>
      </c>
      <c r="C108" s="40" t="s">
        <v>19</v>
      </c>
      <c r="D108" s="43" t="s">
        <v>20</v>
      </c>
      <c r="E108" s="43" t="s">
        <v>21</v>
      </c>
      <c r="F108" s="43" t="s">
        <v>47</v>
      </c>
      <c r="G108" s="43" t="s">
        <v>48</v>
      </c>
      <c r="H108" s="40" t="s">
        <v>24</v>
      </c>
      <c r="I108" s="40" t="s">
        <v>238</v>
      </c>
      <c r="J108" s="43">
        <v>4.1041847392669917E-2</v>
      </c>
      <c r="K108" s="43">
        <v>4.1041847392669917E-2</v>
      </c>
      <c r="L108" s="43">
        <v>4.8028941978583871E-3</v>
      </c>
      <c r="M108" s="43">
        <v>0.3519292358376539</v>
      </c>
      <c r="N108" s="43">
        <v>0.58348707563211732</v>
      </c>
      <c r="O108" s="43">
        <v>3.5091304841213214E-2</v>
      </c>
      <c r="P108" s="43">
        <v>3.5504654245626651E-4</v>
      </c>
      <c r="Q108" s="41" t="s">
        <v>26</v>
      </c>
      <c r="T108" s="20" t="s">
        <v>179</v>
      </c>
      <c r="U108" s="21">
        <v>386.86749603493428</v>
      </c>
      <c r="V108" s="21">
        <v>355.50020625328091</v>
      </c>
      <c r="W108" s="21">
        <v>12.53785664478182</v>
      </c>
      <c r="X108" s="21">
        <v>23949.45493361582</v>
      </c>
      <c r="Y108" s="21">
        <v>7297.2106410936531</v>
      </c>
      <c r="Z108" s="21">
        <v>13515.259906582241</v>
      </c>
      <c r="AA108" s="21">
        <v>28.709191204309018</v>
      </c>
      <c r="AB108" t="str">
        <f t="shared" si="24"/>
        <v>Veh&gt;3.8Ton</v>
      </c>
    </row>
    <row r="109" spans="1:28" x14ac:dyDescent="0.25">
      <c r="A109" s="40" t="s">
        <v>17</v>
      </c>
      <c r="B109" s="40" t="s">
        <v>18</v>
      </c>
      <c r="C109" s="40" t="s">
        <v>19</v>
      </c>
      <c r="D109" s="40" t="s">
        <v>20</v>
      </c>
      <c r="E109" s="40" t="s">
        <v>21</v>
      </c>
      <c r="F109" s="40" t="s">
        <v>47</v>
      </c>
      <c r="G109" s="40" t="s">
        <v>48</v>
      </c>
      <c r="H109" s="40" t="s">
        <v>153</v>
      </c>
      <c r="I109" s="40" t="s">
        <v>158</v>
      </c>
      <c r="J109" s="40">
        <v>3.8069467841716748E-2</v>
      </c>
      <c r="K109" s="40">
        <v>3.5550693976952895E-2</v>
      </c>
      <c r="L109" s="40">
        <v>0</v>
      </c>
      <c r="M109" s="40">
        <v>0.60450572754332854</v>
      </c>
      <c r="N109" s="40">
        <v>1.4392993512936393E-2</v>
      </c>
      <c r="O109" s="40">
        <v>3.7493748101199299E-2</v>
      </c>
      <c r="P109" s="40">
        <v>0</v>
      </c>
      <c r="Q109" s="41" t="s">
        <v>26</v>
      </c>
      <c r="T109" s="20" t="s">
        <v>235</v>
      </c>
      <c r="U109" s="21">
        <v>285.25406104161624</v>
      </c>
      <c r="V109" s="21">
        <v>194.96101851541661</v>
      </c>
      <c r="W109" s="21">
        <v>473.27574762164801</v>
      </c>
      <c r="X109" s="21">
        <v>573.67086703072005</v>
      </c>
      <c r="Y109" s="21">
        <v>3364.7033730106664</v>
      </c>
      <c r="Z109" s="21">
        <v>247.75211208844001</v>
      </c>
      <c r="AA109" s="21">
        <v>22.75933774208935</v>
      </c>
      <c r="AB109" t="str">
        <f t="shared" si="24"/>
        <v>Vidrio</v>
      </c>
    </row>
    <row r="110" spans="1:28" x14ac:dyDescent="0.25">
      <c r="A110" s="40" t="s">
        <v>17</v>
      </c>
      <c r="B110" s="40" t="s">
        <v>18</v>
      </c>
      <c r="C110" s="40" t="s">
        <v>19</v>
      </c>
      <c r="D110" s="40" t="s">
        <v>20</v>
      </c>
      <c r="E110" s="40" t="s">
        <v>21</v>
      </c>
      <c r="F110" s="40" t="s">
        <v>47</v>
      </c>
      <c r="G110" s="40" t="s">
        <v>48</v>
      </c>
      <c r="H110" s="40" t="s">
        <v>24</v>
      </c>
      <c r="I110" s="40" t="s">
        <v>25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1" t="s">
        <v>26</v>
      </c>
      <c r="T110" s="20" t="s">
        <v>245</v>
      </c>
      <c r="U110" s="22">
        <v>12928.354852502924</v>
      </c>
      <c r="V110" s="22">
        <v>8932.0365808474999</v>
      </c>
      <c r="W110" s="22">
        <v>11809.752152295969</v>
      </c>
      <c r="X110" s="22">
        <v>342969.11743267789</v>
      </c>
      <c r="Y110" s="22">
        <v>118310.16783465809</v>
      </c>
      <c r="Z110" s="22">
        <v>144176.17560824266</v>
      </c>
      <c r="AA110" s="22">
        <v>10596.969200008272</v>
      </c>
    </row>
    <row r="111" spans="1:28" x14ac:dyDescent="0.25">
      <c r="A111" s="40" t="s">
        <v>17</v>
      </c>
      <c r="B111" s="40" t="s">
        <v>18</v>
      </c>
      <c r="C111" s="40" t="s">
        <v>19</v>
      </c>
      <c r="D111" s="40" t="s">
        <v>20</v>
      </c>
      <c r="E111" s="40" t="s">
        <v>21</v>
      </c>
      <c r="F111" s="40" t="s">
        <v>47</v>
      </c>
      <c r="G111" s="40" t="s">
        <v>48</v>
      </c>
      <c r="H111" s="40" t="s">
        <v>139</v>
      </c>
      <c r="I111" s="40" t="s">
        <v>140</v>
      </c>
      <c r="J111" s="40">
        <v>0</v>
      </c>
      <c r="K111" s="40">
        <v>0</v>
      </c>
      <c r="L111" s="40"/>
      <c r="M111" s="40"/>
      <c r="N111" s="40"/>
      <c r="O111" s="40"/>
      <c r="P111" s="40"/>
      <c r="Q111" s="41" t="s">
        <v>26</v>
      </c>
    </row>
    <row r="112" spans="1:28" x14ac:dyDescent="0.25">
      <c r="A112" s="40" t="s">
        <v>17</v>
      </c>
      <c r="B112" s="40" t="s">
        <v>18</v>
      </c>
      <c r="C112" s="40" t="s">
        <v>19</v>
      </c>
      <c r="D112" s="40" t="s">
        <v>20</v>
      </c>
      <c r="E112" s="40" t="s">
        <v>21</v>
      </c>
      <c r="F112" s="40" t="s">
        <v>47</v>
      </c>
      <c r="G112" s="40" t="s">
        <v>48</v>
      </c>
      <c r="H112" s="40" t="s">
        <v>149</v>
      </c>
      <c r="I112" s="40" t="s">
        <v>152</v>
      </c>
      <c r="J112" s="40">
        <v>0</v>
      </c>
      <c r="K112" s="40">
        <v>0</v>
      </c>
      <c r="L112" s="40">
        <v>0</v>
      </c>
      <c r="M112" s="40">
        <v>0</v>
      </c>
      <c r="N112" s="40"/>
      <c r="O112" s="40">
        <v>0</v>
      </c>
      <c r="P112" s="40"/>
      <c r="Q112" s="41" t="s">
        <v>26</v>
      </c>
    </row>
    <row r="113" spans="1:37" x14ac:dyDescent="0.25">
      <c r="A113" s="40" t="s">
        <v>17</v>
      </c>
      <c r="B113" s="40" t="s">
        <v>18</v>
      </c>
      <c r="C113" s="40" t="s">
        <v>19</v>
      </c>
      <c r="D113" s="40" t="s">
        <v>20</v>
      </c>
      <c r="E113" s="40" t="s">
        <v>21</v>
      </c>
      <c r="F113" s="40" t="s">
        <v>47</v>
      </c>
      <c r="G113" s="40" t="s">
        <v>48</v>
      </c>
      <c r="H113" s="40" t="s">
        <v>153</v>
      </c>
      <c r="I113" s="40" t="s">
        <v>156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1" t="s">
        <v>137</v>
      </c>
    </row>
    <row r="114" spans="1:37" x14ac:dyDescent="0.25">
      <c r="A114" s="40" t="s">
        <v>17</v>
      </c>
      <c r="B114" s="40" t="s">
        <v>18</v>
      </c>
      <c r="C114" s="40" t="s">
        <v>19</v>
      </c>
      <c r="D114" s="40" t="s">
        <v>20</v>
      </c>
      <c r="E114" s="40" t="s">
        <v>21</v>
      </c>
      <c r="F114" s="40" t="s">
        <v>47</v>
      </c>
      <c r="G114" s="40" t="s">
        <v>48</v>
      </c>
      <c r="H114" s="40" t="s">
        <v>153</v>
      </c>
      <c r="I114" s="40" t="s">
        <v>159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1" t="s">
        <v>26</v>
      </c>
      <c r="S114" s="30"/>
      <c r="T114" s="30"/>
      <c r="U114" s="30"/>
      <c r="V114" s="30"/>
      <c r="W114" s="30"/>
    </row>
    <row r="115" spans="1:37" ht="18.75" x14ac:dyDescent="0.3">
      <c r="A115" s="40" t="s">
        <v>17</v>
      </c>
      <c r="B115" s="43" t="s">
        <v>18</v>
      </c>
      <c r="C115" s="40" t="s">
        <v>19</v>
      </c>
      <c r="D115" s="43" t="s">
        <v>20</v>
      </c>
      <c r="E115" s="43" t="s">
        <v>21</v>
      </c>
      <c r="F115" s="43" t="s">
        <v>47</v>
      </c>
      <c r="G115" s="43" t="s">
        <v>48</v>
      </c>
      <c r="H115" s="43" t="s">
        <v>143</v>
      </c>
      <c r="I115" s="43" t="s">
        <v>243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1" t="s">
        <v>26</v>
      </c>
      <c r="S115" s="30"/>
      <c r="T115" s="30"/>
      <c r="U115" s="30"/>
      <c r="V115" s="30"/>
      <c r="W115" s="30"/>
      <c r="AB115" s="26"/>
    </row>
    <row r="116" spans="1:37" x14ac:dyDescent="0.25">
      <c r="A116" s="40" t="s">
        <v>17</v>
      </c>
      <c r="B116" s="40" t="s">
        <v>18</v>
      </c>
      <c r="C116" s="40" t="s">
        <v>19</v>
      </c>
      <c r="D116" s="40" t="s">
        <v>20</v>
      </c>
      <c r="E116" s="40" t="s">
        <v>21</v>
      </c>
      <c r="F116" s="40" t="s">
        <v>47</v>
      </c>
      <c r="G116" s="40" t="s">
        <v>48</v>
      </c>
      <c r="H116" s="40" t="s">
        <v>127</v>
      </c>
      <c r="I116" s="40" t="s">
        <v>128</v>
      </c>
      <c r="J116" s="40"/>
      <c r="K116" s="40"/>
      <c r="L116" s="40"/>
      <c r="M116" s="40"/>
      <c r="N116" s="40"/>
      <c r="O116" s="40">
        <v>0.2753013567473076</v>
      </c>
      <c r="P116" s="40"/>
      <c r="Q116" s="41" t="s">
        <v>26</v>
      </c>
      <c r="S116" s="30"/>
      <c r="T116" s="30"/>
      <c r="U116" s="30"/>
      <c r="V116" s="30"/>
      <c r="W116" s="30"/>
    </row>
    <row r="117" spans="1:37" x14ac:dyDescent="0.25">
      <c r="A117" s="40" t="s">
        <v>17</v>
      </c>
      <c r="B117" s="40" t="s">
        <v>18</v>
      </c>
      <c r="C117" s="40" t="s">
        <v>19</v>
      </c>
      <c r="D117" s="40" t="s">
        <v>20</v>
      </c>
      <c r="E117" s="40" t="s">
        <v>21</v>
      </c>
      <c r="F117" s="40" t="s">
        <v>47</v>
      </c>
      <c r="G117" s="40" t="s">
        <v>48</v>
      </c>
      <c r="H117" s="40" t="s">
        <v>127</v>
      </c>
      <c r="I117" s="40" t="s">
        <v>129</v>
      </c>
      <c r="J117" s="40"/>
      <c r="K117" s="40"/>
      <c r="L117" s="40"/>
      <c r="M117" s="40"/>
      <c r="N117" s="40"/>
      <c r="O117" s="40">
        <v>2.5919826508955548E-2</v>
      </c>
      <c r="P117" s="40"/>
      <c r="Q117" s="41" t="s">
        <v>26</v>
      </c>
      <c r="S117" s="30"/>
      <c r="T117" s="30"/>
      <c r="U117" s="30"/>
      <c r="V117" s="30"/>
      <c r="W117" s="30"/>
    </row>
    <row r="118" spans="1:37" x14ac:dyDescent="0.25">
      <c r="A118" s="40" t="s">
        <v>17</v>
      </c>
      <c r="B118" s="40" t="s">
        <v>18</v>
      </c>
      <c r="C118" s="40" t="s">
        <v>19</v>
      </c>
      <c r="D118" s="40" t="s">
        <v>20</v>
      </c>
      <c r="E118" s="40" t="s">
        <v>21</v>
      </c>
      <c r="F118" s="40" t="s">
        <v>47</v>
      </c>
      <c r="G118" s="40" t="s">
        <v>48</v>
      </c>
      <c r="H118" s="40" t="s">
        <v>127</v>
      </c>
      <c r="I118" s="40" t="s">
        <v>130</v>
      </c>
      <c r="J118" s="40"/>
      <c r="K118" s="40"/>
      <c r="L118" s="40"/>
      <c r="M118" s="40"/>
      <c r="N118" s="40"/>
      <c r="O118" s="40">
        <v>96.085311294621945</v>
      </c>
      <c r="P118" s="40"/>
      <c r="Q118" s="41" t="s">
        <v>26</v>
      </c>
      <c r="S118" s="30"/>
      <c r="T118" s="30"/>
      <c r="U118" s="30"/>
      <c r="V118" s="30"/>
      <c r="W118" s="30"/>
    </row>
    <row r="119" spans="1:37" x14ac:dyDescent="0.25">
      <c r="A119" s="40" t="s">
        <v>17</v>
      </c>
      <c r="B119" s="40" t="s">
        <v>18</v>
      </c>
      <c r="C119" s="40" t="s">
        <v>19</v>
      </c>
      <c r="D119" s="40" t="s">
        <v>20</v>
      </c>
      <c r="E119" s="40" t="s">
        <v>21</v>
      </c>
      <c r="F119" s="40" t="s">
        <v>47</v>
      </c>
      <c r="G119" s="40" t="s">
        <v>48</v>
      </c>
      <c r="H119" s="40" t="s">
        <v>127</v>
      </c>
      <c r="I119" s="40" t="s">
        <v>131</v>
      </c>
      <c r="J119" s="40"/>
      <c r="K119" s="40"/>
      <c r="L119" s="40"/>
      <c r="M119" s="40"/>
      <c r="N119" s="40"/>
      <c r="O119" s="40">
        <v>3.1100563424328422</v>
      </c>
      <c r="P119" s="40"/>
      <c r="Q119" s="41" t="s">
        <v>26</v>
      </c>
      <c r="S119" s="30"/>
      <c r="T119" s="30"/>
      <c r="U119" s="30"/>
      <c r="V119" s="30"/>
      <c r="W119" s="30"/>
    </row>
    <row r="120" spans="1:37" x14ac:dyDescent="0.25">
      <c r="A120" s="40" t="s">
        <v>17</v>
      </c>
      <c r="B120" s="40" t="s">
        <v>18</v>
      </c>
      <c r="C120" s="40" t="s">
        <v>19</v>
      </c>
      <c r="D120" s="40" t="s">
        <v>20</v>
      </c>
      <c r="E120" s="40" t="s">
        <v>21</v>
      </c>
      <c r="F120" s="40" t="s">
        <v>47</v>
      </c>
      <c r="G120" s="40" t="s">
        <v>48</v>
      </c>
      <c r="H120" s="40" t="s">
        <v>127</v>
      </c>
      <c r="I120" s="40" t="s">
        <v>132</v>
      </c>
      <c r="J120" s="40"/>
      <c r="K120" s="40"/>
      <c r="L120" s="40"/>
      <c r="M120" s="40"/>
      <c r="N120" s="40"/>
      <c r="O120" s="40">
        <v>49.532016491030383</v>
      </c>
      <c r="P120" s="40"/>
      <c r="Q120" s="41" t="s">
        <v>26</v>
      </c>
      <c r="S120" s="30"/>
      <c r="T120" s="30"/>
      <c r="U120" s="30"/>
      <c r="V120" s="30"/>
      <c r="W120" s="30"/>
    </row>
    <row r="121" spans="1:37" ht="18.75" x14ac:dyDescent="0.3">
      <c r="A121" s="40" t="s">
        <v>17</v>
      </c>
      <c r="B121" s="40" t="s">
        <v>18</v>
      </c>
      <c r="C121" s="40" t="s">
        <v>19</v>
      </c>
      <c r="D121" s="40" t="s">
        <v>20</v>
      </c>
      <c r="E121" s="40" t="s">
        <v>21</v>
      </c>
      <c r="F121" s="40" t="s">
        <v>47</v>
      </c>
      <c r="G121" s="40" t="s">
        <v>48</v>
      </c>
      <c r="H121" s="40" t="s">
        <v>127</v>
      </c>
      <c r="I121" s="40" t="s">
        <v>133</v>
      </c>
      <c r="J121" s="40"/>
      <c r="K121" s="40"/>
      <c r="L121" s="40"/>
      <c r="M121" s="40"/>
      <c r="N121" s="40"/>
      <c r="O121" s="40">
        <v>11.91352081610226</v>
      </c>
      <c r="P121" s="40"/>
      <c r="Q121" s="41" t="s">
        <v>26</v>
      </c>
      <c r="S121" s="30"/>
      <c r="T121" s="30"/>
      <c r="U121" s="30"/>
      <c r="V121" s="30"/>
      <c r="W121" s="30"/>
      <c r="AC121" s="26"/>
    </row>
    <row r="122" spans="1:37" x14ac:dyDescent="0.25">
      <c r="A122" s="40" t="s">
        <v>17</v>
      </c>
      <c r="B122" s="40" t="s">
        <v>18</v>
      </c>
      <c r="C122" s="40" t="s">
        <v>19</v>
      </c>
      <c r="D122" s="40" t="s">
        <v>20</v>
      </c>
      <c r="E122" s="40" t="s">
        <v>21</v>
      </c>
      <c r="F122" s="40" t="s">
        <v>47</v>
      </c>
      <c r="G122" s="40" t="s">
        <v>48</v>
      </c>
      <c r="H122" s="40" t="s">
        <v>127</v>
      </c>
      <c r="I122" s="40" t="s">
        <v>134</v>
      </c>
      <c r="J122" s="40"/>
      <c r="K122" s="40"/>
      <c r="L122" s="40"/>
      <c r="M122" s="40"/>
      <c r="N122" s="40"/>
      <c r="O122" s="40">
        <v>118.51675</v>
      </c>
      <c r="P122" s="40"/>
      <c r="Q122" s="41" t="s">
        <v>26</v>
      </c>
      <c r="S122" s="30"/>
      <c r="T122" s="30"/>
      <c r="U122" s="30"/>
      <c r="V122" s="30"/>
      <c r="W122" s="30"/>
    </row>
    <row r="123" spans="1:37" x14ac:dyDescent="0.25">
      <c r="A123" s="40" t="s">
        <v>17</v>
      </c>
      <c r="B123" s="40" t="s">
        <v>18</v>
      </c>
      <c r="C123" s="40" t="s">
        <v>19</v>
      </c>
      <c r="D123" s="40" t="s">
        <v>20</v>
      </c>
      <c r="E123" s="40" t="s">
        <v>21</v>
      </c>
      <c r="F123" s="40" t="s">
        <v>47</v>
      </c>
      <c r="G123" s="40" t="s">
        <v>48</v>
      </c>
      <c r="H123" s="40" t="s">
        <v>135</v>
      </c>
      <c r="I123" s="40" t="s">
        <v>136</v>
      </c>
      <c r="J123" s="40"/>
      <c r="K123" s="40"/>
      <c r="L123" s="40"/>
      <c r="M123" s="40"/>
      <c r="N123" s="40"/>
      <c r="O123" s="40">
        <v>138.88604000456752</v>
      </c>
      <c r="P123" s="40"/>
      <c r="Q123" s="41" t="s">
        <v>137</v>
      </c>
      <c r="S123" s="30"/>
      <c r="T123" s="30"/>
      <c r="U123" s="30"/>
      <c r="V123" s="30"/>
      <c r="W123" s="30"/>
    </row>
    <row r="124" spans="1:37" x14ac:dyDescent="0.25">
      <c r="A124" s="40" t="s">
        <v>17</v>
      </c>
      <c r="B124" s="40" t="s">
        <v>18</v>
      </c>
      <c r="C124" s="40" t="s">
        <v>19</v>
      </c>
      <c r="D124" s="40" t="s">
        <v>20</v>
      </c>
      <c r="E124" s="40" t="s">
        <v>21</v>
      </c>
      <c r="F124" s="40" t="s">
        <v>47</v>
      </c>
      <c r="G124" s="40" t="s">
        <v>48</v>
      </c>
      <c r="H124" s="40" t="s">
        <v>135</v>
      </c>
      <c r="I124" s="40" t="s">
        <v>138</v>
      </c>
      <c r="J124" s="40"/>
      <c r="K124" s="40"/>
      <c r="L124" s="40"/>
      <c r="M124" s="40"/>
      <c r="N124" s="40"/>
      <c r="O124" s="40">
        <v>11.282508305286308</v>
      </c>
      <c r="P124" s="40"/>
      <c r="Q124" s="41" t="s">
        <v>137</v>
      </c>
      <c r="S124" s="30"/>
      <c r="T124" s="30"/>
      <c r="U124" s="30"/>
      <c r="V124" s="30"/>
      <c r="W124" s="30"/>
    </row>
    <row r="125" spans="1:37" x14ac:dyDescent="0.25">
      <c r="A125" s="40" t="s">
        <v>17</v>
      </c>
      <c r="B125" s="40" t="s">
        <v>18</v>
      </c>
      <c r="C125" s="40" t="s">
        <v>19</v>
      </c>
      <c r="D125" s="40" t="s">
        <v>20</v>
      </c>
      <c r="E125" s="40" t="s">
        <v>21</v>
      </c>
      <c r="F125" s="40" t="s">
        <v>47</v>
      </c>
      <c r="G125" s="40" t="s">
        <v>48</v>
      </c>
      <c r="H125" s="40" t="s">
        <v>139</v>
      </c>
      <c r="I125" s="40" t="s">
        <v>142</v>
      </c>
      <c r="J125" s="40"/>
      <c r="K125" s="40"/>
      <c r="L125" s="40"/>
      <c r="M125" s="40"/>
      <c r="N125" s="40"/>
      <c r="O125" s="40">
        <v>0.66818907834811392</v>
      </c>
      <c r="P125" s="40"/>
      <c r="Q125" s="41" t="s">
        <v>26</v>
      </c>
      <c r="S125" s="30"/>
      <c r="T125" s="30"/>
      <c r="U125" s="30"/>
      <c r="V125" s="30"/>
      <c r="W125" s="30"/>
      <c r="AE125" s="25"/>
      <c r="AF125" s="25"/>
      <c r="AG125" s="25"/>
      <c r="AH125" s="25"/>
      <c r="AI125" s="25"/>
      <c r="AJ125" s="25"/>
      <c r="AK125" s="25"/>
    </row>
    <row r="126" spans="1:37" x14ac:dyDescent="0.25">
      <c r="A126" s="40" t="s">
        <v>17</v>
      </c>
      <c r="B126" s="40" t="s">
        <v>18</v>
      </c>
      <c r="C126" s="40" t="s">
        <v>19</v>
      </c>
      <c r="D126" s="40" t="s">
        <v>20</v>
      </c>
      <c r="E126" s="40" t="s">
        <v>21</v>
      </c>
      <c r="F126" s="40" t="s">
        <v>47</v>
      </c>
      <c r="G126" s="40" t="s">
        <v>48</v>
      </c>
      <c r="H126" s="40" t="s">
        <v>143</v>
      </c>
      <c r="I126" s="40" t="s">
        <v>144</v>
      </c>
      <c r="J126" s="40"/>
      <c r="K126" s="40"/>
      <c r="L126" s="40"/>
      <c r="M126" s="40"/>
      <c r="N126" s="40"/>
      <c r="O126" s="40"/>
      <c r="P126" s="40">
        <v>0.21076708353571427</v>
      </c>
      <c r="Q126" s="41" t="s">
        <v>26</v>
      </c>
      <c r="S126" s="30"/>
      <c r="T126" s="30"/>
      <c r="U126" s="30"/>
      <c r="V126" s="30"/>
      <c r="W126" s="30"/>
      <c r="AD126" s="20"/>
      <c r="AE126" s="27"/>
      <c r="AF126" s="27"/>
      <c r="AG126" s="27"/>
      <c r="AH126" s="27"/>
      <c r="AI126" s="27"/>
      <c r="AJ126" s="27"/>
      <c r="AK126" s="27"/>
    </row>
    <row r="127" spans="1:37" x14ac:dyDescent="0.25">
      <c r="A127" s="40" t="s">
        <v>17</v>
      </c>
      <c r="B127" s="40" t="s">
        <v>18</v>
      </c>
      <c r="C127" s="40" t="s">
        <v>19</v>
      </c>
      <c r="D127" s="40" t="s">
        <v>20</v>
      </c>
      <c r="E127" s="40" t="s">
        <v>21</v>
      </c>
      <c r="F127" s="40" t="s">
        <v>47</v>
      </c>
      <c r="G127" s="40" t="s">
        <v>48</v>
      </c>
      <c r="H127" s="40" t="s">
        <v>143</v>
      </c>
      <c r="I127" s="40" t="s">
        <v>145</v>
      </c>
      <c r="J127" s="40"/>
      <c r="K127" s="40"/>
      <c r="L127" s="40"/>
      <c r="M127" s="40"/>
      <c r="N127" s="40"/>
      <c r="O127" s="40">
        <v>1.8710513181747841E-3</v>
      </c>
      <c r="P127" s="40"/>
      <c r="Q127" s="41" t="s">
        <v>26</v>
      </c>
      <c r="S127" s="30"/>
      <c r="T127" s="30"/>
      <c r="U127" s="30"/>
      <c r="V127" s="30"/>
      <c r="W127" s="30"/>
      <c r="AD127" s="20"/>
      <c r="AE127" s="27"/>
      <c r="AF127" s="27"/>
      <c r="AG127" s="27"/>
      <c r="AH127" s="27"/>
      <c r="AI127" s="27"/>
      <c r="AJ127" s="27"/>
      <c r="AK127" s="27"/>
    </row>
    <row r="128" spans="1:37" x14ac:dyDescent="0.25">
      <c r="A128" s="40" t="s">
        <v>17</v>
      </c>
      <c r="B128" s="40" t="s">
        <v>18</v>
      </c>
      <c r="C128" s="40" t="s">
        <v>19</v>
      </c>
      <c r="D128" s="40" t="s">
        <v>20</v>
      </c>
      <c r="E128" s="40" t="s">
        <v>21</v>
      </c>
      <c r="F128" s="40" t="s">
        <v>47</v>
      </c>
      <c r="G128" s="40" t="s">
        <v>48</v>
      </c>
      <c r="H128" s="40" t="s">
        <v>143</v>
      </c>
      <c r="I128" s="40" t="s">
        <v>146</v>
      </c>
      <c r="J128" s="40"/>
      <c r="K128" s="40"/>
      <c r="L128" s="40"/>
      <c r="M128" s="40"/>
      <c r="N128" s="40"/>
      <c r="O128" s="40"/>
      <c r="P128" s="40">
        <v>13.797889999999999</v>
      </c>
      <c r="Q128" s="41" t="s">
        <v>26</v>
      </c>
      <c r="S128" s="30"/>
      <c r="T128" s="30"/>
      <c r="U128" s="30"/>
      <c r="V128" s="30"/>
      <c r="W128" s="30"/>
      <c r="AD128" s="20"/>
      <c r="AE128" s="27"/>
      <c r="AF128" s="27"/>
      <c r="AG128" s="27"/>
      <c r="AH128" s="27"/>
      <c r="AI128" s="27"/>
      <c r="AJ128" s="27"/>
      <c r="AK128" s="27"/>
    </row>
    <row r="129" spans="1:23" x14ac:dyDescent="0.25">
      <c r="A129" s="40" t="s">
        <v>17</v>
      </c>
      <c r="B129" s="40" t="s">
        <v>18</v>
      </c>
      <c r="C129" s="40" t="s">
        <v>19</v>
      </c>
      <c r="D129" s="40" t="s">
        <v>20</v>
      </c>
      <c r="E129" s="40" t="s">
        <v>21</v>
      </c>
      <c r="F129" s="40" t="s">
        <v>47</v>
      </c>
      <c r="G129" s="40" t="s">
        <v>48</v>
      </c>
      <c r="H129" s="40" t="s">
        <v>149</v>
      </c>
      <c r="I129" s="40" t="s">
        <v>150</v>
      </c>
      <c r="J129" s="40"/>
      <c r="K129" s="40"/>
      <c r="L129" s="40"/>
      <c r="M129" s="40"/>
      <c r="N129" s="40"/>
      <c r="O129" s="40">
        <v>2.5708759359834792</v>
      </c>
      <c r="P129" s="40"/>
      <c r="Q129" s="41" t="s">
        <v>26</v>
      </c>
      <c r="S129" s="30"/>
      <c r="T129" s="30"/>
      <c r="U129" s="30"/>
      <c r="V129" s="30"/>
      <c r="W129" s="30"/>
    </row>
    <row r="130" spans="1:23" x14ac:dyDescent="0.25">
      <c r="A130" s="40" t="s">
        <v>17</v>
      </c>
      <c r="B130" s="40" t="s">
        <v>18</v>
      </c>
      <c r="C130" s="40" t="s">
        <v>19</v>
      </c>
      <c r="D130" s="40" t="s">
        <v>20</v>
      </c>
      <c r="E130" s="40" t="s">
        <v>21</v>
      </c>
      <c r="F130" s="40" t="s">
        <v>47</v>
      </c>
      <c r="G130" s="40" t="s">
        <v>48</v>
      </c>
      <c r="H130" s="40" t="s">
        <v>153</v>
      </c>
      <c r="I130" s="40" t="s">
        <v>155</v>
      </c>
      <c r="J130" s="40"/>
      <c r="K130" s="40"/>
      <c r="L130" s="40"/>
      <c r="M130" s="40"/>
      <c r="N130" s="40"/>
      <c r="O130" s="40"/>
      <c r="P130" s="40">
        <v>54.924383850230711</v>
      </c>
      <c r="Q130" s="41" t="s">
        <v>26</v>
      </c>
      <c r="S130" s="30"/>
      <c r="T130" s="30"/>
      <c r="U130" s="30"/>
      <c r="V130" s="30"/>
      <c r="W130" s="30"/>
    </row>
    <row r="131" spans="1:23" x14ac:dyDescent="0.25">
      <c r="A131" s="40" t="s">
        <v>17</v>
      </c>
      <c r="B131" s="40" t="s">
        <v>18</v>
      </c>
      <c r="C131" s="40" t="s">
        <v>19</v>
      </c>
      <c r="D131" s="40" t="s">
        <v>20</v>
      </c>
      <c r="E131" s="40" t="s">
        <v>21</v>
      </c>
      <c r="F131" s="40" t="s">
        <v>47</v>
      </c>
      <c r="G131" s="40" t="s">
        <v>48</v>
      </c>
      <c r="H131" s="40" t="s">
        <v>153</v>
      </c>
      <c r="I131" s="40" t="s">
        <v>157</v>
      </c>
      <c r="J131" s="40"/>
      <c r="K131" s="40"/>
      <c r="L131" s="40"/>
      <c r="M131" s="40"/>
      <c r="N131" s="40"/>
      <c r="O131" s="40">
        <v>1.64E-3</v>
      </c>
      <c r="P131" s="40"/>
      <c r="Q131" s="41" t="s">
        <v>26</v>
      </c>
      <c r="S131" s="30"/>
      <c r="T131" s="30"/>
      <c r="U131" s="30"/>
      <c r="V131" s="30"/>
      <c r="W131" s="30"/>
    </row>
    <row r="132" spans="1:23" x14ac:dyDescent="0.25">
      <c r="A132" s="40" t="s">
        <v>17</v>
      </c>
      <c r="B132" s="43" t="s">
        <v>18</v>
      </c>
      <c r="C132" s="40" t="s">
        <v>19</v>
      </c>
      <c r="D132" s="43" t="s">
        <v>20</v>
      </c>
      <c r="E132" s="43" t="s">
        <v>21</v>
      </c>
      <c r="F132" s="43" t="s">
        <v>47</v>
      </c>
      <c r="G132" s="43" t="s">
        <v>48</v>
      </c>
      <c r="H132" s="43" t="s">
        <v>240</v>
      </c>
      <c r="I132" s="43" t="s">
        <v>241</v>
      </c>
      <c r="J132" s="43"/>
      <c r="K132" s="43"/>
      <c r="L132" s="43"/>
      <c r="M132" s="43"/>
      <c r="N132" s="43"/>
      <c r="O132" s="43">
        <v>0</v>
      </c>
      <c r="P132" s="43"/>
      <c r="Q132" s="41" t="s">
        <v>26</v>
      </c>
      <c r="S132" s="30"/>
      <c r="T132" s="30"/>
      <c r="U132" s="30"/>
      <c r="V132" s="30"/>
      <c r="W132" s="30"/>
    </row>
    <row r="133" spans="1:23" x14ac:dyDescent="0.25">
      <c r="A133" s="40" t="s">
        <v>17</v>
      </c>
      <c r="B133" s="43" t="s">
        <v>18</v>
      </c>
      <c r="C133" s="40" t="s">
        <v>19</v>
      </c>
      <c r="D133" s="43" t="s">
        <v>20</v>
      </c>
      <c r="E133" s="43" t="s">
        <v>21</v>
      </c>
      <c r="F133" s="43" t="s">
        <v>47</v>
      </c>
      <c r="G133" s="43" t="s">
        <v>48</v>
      </c>
      <c r="H133" s="43" t="s">
        <v>240</v>
      </c>
      <c r="I133" s="43" t="s">
        <v>242</v>
      </c>
      <c r="J133" s="43"/>
      <c r="K133" s="43"/>
      <c r="L133" s="43"/>
      <c r="M133" s="43"/>
      <c r="N133" s="43"/>
      <c r="O133" s="43">
        <v>0.49581552913247456</v>
      </c>
      <c r="P133" s="43"/>
      <c r="Q133" s="41" t="s">
        <v>26</v>
      </c>
      <c r="S133" s="30"/>
      <c r="T133" s="30"/>
      <c r="U133" s="30"/>
      <c r="V133" s="30"/>
      <c r="W133" s="30"/>
    </row>
    <row r="134" spans="1:23" x14ac:dyDescent="0.25">
      <c r="A134" s="40" t="s">
        <v>17</v>
      </c>
      <c r="B134" s="40" t="s">
        <v>18</v>
      </c>
      <c r="C134" s="40" t="s">
        <v>19</v>
      </c>
      <c r="D134" s="40" t="s">
        <v>20</v>
      </c>
      <c r="E134" s="40" t="s">
        <v>21</v>
      </c>
      <c r="F134" s="40" t="s">
        <v>43</v>
      </c>
      <c r="G134" s="40" t="s">
        <v>44</v>
      </c>
      <c r="H134" s="40" t="s">
        <v>143</v>
      </c>
      <c r="I134" s="40" t="s">
        <v>148</v>
      </c>
      <c r="J134" s="40">
        <v>12.207598719841856</v>
      </c>
      <c r="K134" s="40">
        <v>2.7064246361889395</v>
      </c>
      <c r="L134" s="40"/>
      <c r="M134" s="40"/>
      <c r="N134" s="40"/>
      <c r="O134" s="40"/>
      <c r="P134" s="40"/>
      <c r="Q134" s="41" t="s">
        <v>26</v>
      </c>
    </row>
    <row r="135" spans="1:23" x14ac:dyDescent="0.25">
      <c r="A135" s="40" t="s">
        <v>17</v>
      </c>
      <c r="B135" s="40" t="s">
        <v>18</v>
      </c>
      <c r="C135" s="40" t="s">
        <v>19</v>
      </c>
      <c r="D135" s="40" t="s">
        <v>20</v>
      </c>
      <c r="E135" s="40" t="s">
        <v>21</v>
      </c>
      <c r="F135" s="40" t="s">
        <v>43</v>
      </c>
      <c r="G135" s="40" t="s">
        <v>44</v>
      </c>
      <c r="H135" s="40" t="s">
        <v>143</v>
      </c>
      <c r="I135" s="40" t="s">
        <v>147</v>
      </c>
      <c r="J135" s="40">
        <v>5.8273212000000001</v>
      </c>
      <c r="K135" s="40">
        <v>0.66548008104</v>
      </c>
      <c r="L135" s="40"/>
      <c r="M135" s="40"/>
      <c r="N135" s="40"/>
      <c r="O135" s="40"/>
      <c r="P135" s="40"/>
      <c r="Q135" s="41" t="s">
        <v>26</v>
      </c>
    </row>
    <row r="136" spans="1:23" x14ac:dyDescent="0.25">
      <c r="A136" s="40" t="s">
        <v>17</v>
      </c>
      <c r="B136" s="40" t="s">
        <v>18</v>
      </c>
      <c r="C136" s="40" t="s">
        <v>19</v>
      </c>
      <c r="D136" s="40" t="s">
        <v>20</v>
      </c>
      <c r="E136" s="40" t="s">
        <v>21</v>
      </c>
      <c r="F136" s="40" t="s">
        <v>43</v>
      </c>
      <c r="G136" s="40" t="s">
        <v>44</v>
      </c>
      <c r="H136" s="40" t="s">
        <v>139</v>
      </c>
      <c r="I136" s="40" t="s">
        <v>141</v>
      </c>
      <c r="J136" s="40">
        <v>2.9783773500000001</v>
      </c>
      <c r="K136" s="40">
        <v>2.3770429630350001</v>
      </c>
      <c r="L136" s="40">
        <v>0</v>
      </c>
      <c r="M136" s="40">
        <v>5.9295600099999985</v>
      </c>
      <c r="N136" s="40">
        <v>0.10915129000000001</v>
      </c>
      <c r="O136" s="40">
        <v>0.38258830999999999</v>
      </c>
      <c r="P136" s="40">
        <v>0</v>
      </c>
      <c r="Q136" s="41" t="s">
        <v>26</v>
      </c>
    </row>
    <row r="137" spans="1:23" x14ac:dyDescent="0.25">
      <c r="A137" s="40" t="s">
        <v>17</v>
      </c>
      <c r="B137" s="40" t="s">
        <v>18</v>
      </c>
      <c r="C137" s="40" t="s">
        <v>19</v>
      </c>
      <c r="D137" s="40" t="s">
        <v>20</v>
      </c>
      <c r="E137" s="40" t="s">
        <v>21</v>
      </c>
      <c r="F137" s="40" t="s">
        <v>43</v>
      </c>
      <c r="G137" s="40" t="s">
        <v>44</v>
      </c>
      <c r="H137" s="40" t="s">
        <v>24</v>
      </c>
      <c r="I137" s="40" t="s">
        <v>126</v>
      </c>
      <c r="J137" s="40">
        <v>2.7952792945782137</v>
      </c>
      <c r="K137" s="40">
        <v>2.7027629854280946</v>
      </c>
      <c r="L137" s="40">
        <v>0.10555983273791265</v>
      </c>
      <c r="M137" s="40">
        <v>23.567938284187019</v>
      </c>
      <c r="N137" s="40">
        <v>4.9115425549614145</v>
      </c>
      <c r="O137" s="40">
        <v>9.5811536573567793</v>
      </c>
      <c r="P137" s="40">
        <v>0.1621463587708262</v>
      </c>
      <c r="Q137" s="41" t="s">
        <v>26</v>
      </c>
    </row>
    <row r="138" spans="1:23" x14ac:dyDescent="0.25">
      <c r="A138" s="40" t="s">
        <v>17</v>
      </c>
      <c r="B138" s="40" t="s">
        <v>18</v>
      </c>
      <c r="C138" s="40" t="s">
        <v>19</v>
      </c>
      <c r="D138" s="40" t="s">
        <v>20</v>
      </c>
      <c r="E138" s="40" t="s">
        <v>21</v>
      </c>
      <c r="F138" s="40" t="s">
        <v>43</v>
      </c>
      <c r="G138" s="40" t="s">
        <v>44</v>
      </c>
      <c r="H138" s="40" t="s">
        <v>153</v>
      </c>
      <c r="I138" s="40" t="s">
        <v>154</v>
      </c>
      <c r="J138" s="40">
        <v>1.0171050103548673</v>
      </c>
      <c r="K138" s="40">
        <v>0.15770711896643647</v>
      </c>
      <c r="L138" s="40"/>
      <c r="M138" s="40"/>
      <c r="N138" s="40"/>
      <c r="O138" s="40"/>
      <c r="P138" s="40"/>
      <c r="Q138" s="41" t="s">
        <v>26</v>
      </c>
    </row>
    <row r="139" spans="1:23" x14ac:dyDescent="0.25">
      <c r="A139" s="40" t="s">
        <v>17</v>
      </c>
      <c r="B139" s="40" t="s">
        <v>18</v>
      </c>
      <c r="C139" s="40" t="s">
        <v>19</v>
      </c>
      <c r="D139" s="40" t="s">
        <v>20</v>
      </c>
      <c r="E139" s="40" t="s">
        <v>21</v>
      </c>
      <c r="F139" s="40" t="s">
        <v>43</v>
      </c>
      <c r="G139" s="40" t="s">
        <v>44</v>
      </c>
      <c r="H139" s="40" t="s">
        <v>149</v>
      </c>
      <c r="I139" s="40" t="s">
        <v>151</v>
      </c>
      <c r="J139" s="40">
        <v>0.43070004909938447</v>
      </c>
      <c r="K139" s="40">
        <v>0.39443057128048897</v>
      </c>
      <c r="L139" s="40">
        <v>1.1334211818404855E-2</v>
      </c>
      <c r="M139" s="40">
        <v>0.96340800456441278</v>
      </c>
      <c r="N139" s="40">
        <v>6.8005270910429128E-2</v>
      </c>
      <c r="O139" s="40">
        <v>9.6975516318271934E-2</v>
      </c>
      <c r="P139" s="40"/>
      <c r="Q139" s="41" t="s">
        <v>26</v>
      </c>
    </row>
    <row r="140" spans="1:23" x14ac:dyDescent="0.25">
      <c r="A140" s="40" t="s">
        <v>17</v>
      </c>
      <c r="B140" s="43" t="s">
        <v>18</v>
      </c>
      <c r="C140" s="40" t="s">
        <v>19</v>
      </c>
      <c r="D140" s="43" t="s">
        <v>20</v>
      </c>
      <c r="E140" s="43" t="s">
        <v>21</v>
      </c>
      <c r="F140" s="43" t="s">
        <v>43</v>
      </c>
      <c r="G140" s="43" t="s">
        <v>44</v>
      </c>
      <c r="H140" s="43" t="s">
        <v>24</v>
      </c>
      <c r="I140" s="43" t="s">
        <v>239</v>
      </c>
      <c r="J140" s="43">
        <v>0.10230142391299255</v>
      </c>
      <c r="K140" s="43">
        <v>6.9588029018923012E-2</v>
      </c>
      <c r="L140" s="43">
        <v>9.6068823008989453E-3</v>
      </c>
      <c r="M140" s="43">
        <v>0.70059258616667486</v>
      </c>
      <c r="N140" s="43">
        <v>1.7130602104883184</v>
      </c>
      <c r="O140" s="43">
        <v>3.8373384766865221E-2</v>
      </c>
      <c r="P140" s="43">
        <v>3.4435152520073196E-2</v>
      </c>
      <c r="Q140" s="41" t="s">
        <v>26</v>
      </c>
    </row>
    <row r="141" spans="1:23" x14ac:dyDescent="0.25">
      <c r="A141" s="40" t="s">
        <v>17</v>
      </c>
      <c r="B141" s="40" t="s">
        <v>18</v>
      </c>
      <c r="C141" s="40" t="s">
        <v>19</v>
      </c>
      <c r="D141" s="40" t="s">
        <v>20</v>
      </c>
      <c r="E141" s="40" t="s">
        <v>21</v>
      </c>
      <c r="F141" s="40" t="s">
        <v>43</v>
      </c>
      <c r="G141" s="40" t="s">
        <v>44</v>
      </c>
      <c r="H141" s="40" t="s">
        <v>153</v>
      </c>
      <c r="I141" s="40" t="s">
        <v>158</v>
      </c>
      <c r="J141" s="40">
        <v>3.3615399112620847E-2</v>
      </c>
      <c r="K141" s="40">
        <v>3.1391317885887907E-2</v>
      </c>
      <c r="L141" s="40">
        <v>0</v>
      </c>
      <c r="M141" s="40">
        <v>0.53377949441590777</v>
      </c>
      <c r="N141" s="40">
        <v>1.2709035581331138E-2</v>
      </c>
      <c r="O141" s="40">
        <v>3.310703768936761E-2</v>
      </c>
      <c r="P141" s="40">
        <v>0</v>
      </c>
      <c r="Q141" s="41" t="s">
        <v>26</v>
      </c>
    </row>
    <row r="142" spans="1:23" x14ac:dyDescent="0.25">
      <c r="A142" s="40" t="s">
        <v>17</v>
      </c>
      <c r="B142" s="43" t="s">
        <v>18</v>
      </c>
      <c r="C142" s="40" t="s">
        <v>19</v>
      </c>
      <c r="D142" s="43" t="s">
        <v>20</v>
      </c>
      <c r="E142" s="43" t="s">
        <v>21</v>
      </c>
      <c r="F142" s="43" t="s">
        <v>43</v>
      </c>
      <c r="G142" s="43" t="s">
        <v>44</v>
      </c>
      <c r="H142" s="40" t="s">
        <v>24</v>
      </c>
      <c r="I142" s="40" t="s">
        <v>238</v>
      </c>
      <c r="J142" s="43">
        <v>1.5811767002201139E-2</v>
      </c>
      <c r="K142" s="43">
        <v>1.5811767002201139E-2</v>
      </c>
      <c r="L142" s="43">
        <v>1.8503612487561622E-3</v>
      </c>
      <c r="M142" s="43">
        <v>0.13558412770964887</v>
      </c>
      <c r="N142" s="43">
        <v>0.22479401573766661</v>
      </c>
      <c r="O142" s="43">
        <v>1.3519263171656679E-2</v>
      </c>
      <c r="P142" s="43">
        <v>1.3678510010877939E-4</v>
      </c>
      <c r="Q142" s="41" t="s">
        <v>26</v>
      </c>
    </row>
    <row r="143" spans="1:23" x14ac:dyDescent="0.25">
      <c r="A143" s="40" t="s">
        <v>17</v>
      </c>
      <c r="B143" s="40" t="s">
        <v>18</v>
      </c>
      <c r="C143" s="40" t="s">
        <v>19</v>
      </c>
      <c r="D143" s="40" t="s">
        <v>20</v>
      </c>
      <c r="E143" s="40" t="s">
        <v>21</v>
      </c>
      <c r="F143" s="40" t="s">
        <v>43</v>
      </c>
      <c r="G143" s="40" t="s">
        <v>44</v>
      </c>
      <c r="H143" s="40" t="s">
        <v>24</v>
      </c>
      <c r="I143" s="40" t="s">
        <v>25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1" t="s">
        <v>26</v>
      </c>
    </row>
    <row r="144" spans="1:23" x14ac:dyDescent="0.25">
      <c r="A144" s="40" t="s">
        <v>17</v>
      </c>
      <c r="B144" s="40" t="s">
        <v>18</v>
      </c>
      <c r="C144" s="40" t="s">
        <v>19</v>
      </c>
      <c r="D144" s="40" t="s">
        <v>20</v>
      </c>
      <c r="E144" s="40" t="s">
        <v>21</v>
      </c>
      <c r="F144" s="40" t="s">
        <v>43</v>
      </c>
      <c r="G144" s="40" t="s">
        <v>44</v>
      </c>
      <c r="H144" s="40" t="s">
        <v>139</v>
      </c>
      <c r="I144" s="40" t="s">
        <v>140</v>
      </c>
      <c r="J144" s="40">
        <v>0</v>
      </c>
      <c r="K144" s="40">
        <v>0</v>
      </c>
      <c r="L144" s="40"/>
      <c r="M144" s="40"/>
      <c r="N144" s="40"/>
      <c r="O144" s="40"/>
      <c r="P144" s="40"/>
      <c r="Q144" s="41" t="s">
        <v>26</v>
      </c>
    </row>
    <row r="145" spans="1:17" x14ac:dyDescent="0.25">
      <c r="A145" s="40" t="s">
        <v>17</v>
      </c>
      <c r="B145" s="40" t="s">
        <v>18</v>
      </c>
      <c r="C145" s="40" t="s">
        <v>19</v>
      </c>
      <c r="D145" s="40" t="s">
        <v>20</v>
      </c>
      <c r="E145" s="40" t="s">
        <v>21</v>
      </c>
      <c r="F145" s="40" t="s">
        <v>43</v>
      </c>
      <c r="G145" s="40" t="s">
        <v>44</v>
      </c>
      <c r="H145" s="40" t="s">
        <v>149</v>
      </c>
      <c r="I145" s="40" t="s">
        <v>152</v>
      </c>
      <c r="J145" s="40">
        <v>0</v>
      </c>
      <c r="K145" s="40">
        <v>0</v>
      </c>
      <c r="L145" s="40">
        <v>0</v>
      </c>
      <c r="M145" s="40">
        <v>0</v>
      </c>
      <c r="N145" s="40"/>
      <c r="O145" s="40">
        <v>0</v>
      </c>
      <c r="P145" s="40"/>
      <c r="Q145" s="41" t="s">
        <v>26</v>
      </c>
    </row>
    <row r="146" spans="1:17" x14ac:dyDescent="0.25">
      <c r="A146" s="40" t="s">
        <v>17</v>
      </c>
      <c r="B146" s="40" t="s">
        <v>18</v>
      </c>
      <c r="C146" s="40" t="s">
        <v>19</v>
      </c>
      <c r="D146" s="40" t="s">
        <v>20</v>
      </c>
      <c r="E146" s="40" t="s">
        <v>21</v>
      </c>
      <c r="F146" s="40" t="s">
        <v>43</v>
      </c>
      <c r="G146" s="40" t="s">
        <v>44</v>
      </c>
      <c r="H146" s="40" t="s">
        <v>153</v>
      </c>
      <c r="I146" s="40" t="s">
        <v>156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  <c r="O146" s="40">
        <v>0</v>
      </c>
      <c r="P146" s="40">
        <v>0</v>
      </c>
      <c r="Q146" s="41" t="s">
        <v>137</v>
      </c>
    </row>
    <row r="147" spans="1:17" x14ac:dyDescent="0.25">
      <c r="A147" s="40" t="s">
        <v>17</v>
      </c>
      <c r="B147" s="40" t="s">
        <v>18</v>
      </c>
      <c r="C147" s="40" t="s">
        <v>19</v>
      </c>
      <c r="D147" s="40" t="s">
        <v>20</v>
      </c>
      <c r="E147" s="40" t="s">
        <v>21</v>
      </c>
      <c r="F147" s="40" t="s">
        <v>43</v>
      </c>
      <c r="G147" s="40" t="s">
        <v>44</v>
      </c>
      <c r="H147" s="40" t="s">
        <v>153</v>
      </c>
      <c r="I147" s="40" t="s">
        <v>159</v>
      </c>
      <c r="J147" s="40">
        <v>0</v>
      </c>
      <c r="K147" s="40">
        <v>0</v>
      </c>
      <c r="L147" s="40">
        <v>0</v>
      </c>
      <c r="M147" s="40">
        <v>0</v>
      </c>
      <c r="N147" s="40">
        <v>0</v>
      </c>
      <c r="O147" s="40">
        <v>0</v>
      </c>
      <c r="P147" s="40">
        <v>0</v>
      </c>
      <c r="Q147" s="41" t="s">
        <v>26</v>
      </c>
    </row>
    <row r="148" spans="1:17" x14ac:dyDescent="0.25">
      <c r="A148" s="40" t="s">
        <v>17</v>
      </c>
      <c r="B148" s="43" t="s">
        <v>18</v>
      </c>
      <c r="C148" s="40" t="s">
        <v>19</v>
      </c>
      <c r="D148" s="43" t="s">
        <v>20</v>
      </c>
      <c r="E148" s="43" t="s">
        <v>21</v>
      </c>
      <c r="F148" s="43" t="s">
        <v>43</v>
      </c>
      <c r="G148" s="43" t="s">
        <v>44</v>
      </c>
      <c r="H148" s="43" t="s">
        <v>143</v>
      </c>
      <c r="I148" s="43" t="s">
        <v>243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1" t="s">
        <v>26</v>
      </c>
    </row>
    <row r="149" spans="1:17" x14ac:dyDescent="0.25">
      <c r="A149" s="40" t="s">
        <v>17</v>
      </c>
      <c r="B149" s="40" t="s">
        <v>18</v>
      </c>
      <c r="C149" s="40" t="s">
        <v>19</v>
      </c>
      <c r="D149" s="40" t="s">
        <v>20</v>
      </c>
      <c r="E149" s="40" t="s">
        <v>21</v>
      </c>
      <c r="F149" s="40" t="s">
        <v>43</v>
      </c>
      <c r="G149" s="40" t="s">
        <v>44</v>
      </c>
      <c r="H149" s="40" t="s">
        <v>127</v>
      </c>
      <c r="I149" s="40" t="s">
        <v>128</v>
      </c>
      <c r="J149" s="40"/>
      <c r="K149" s="40"/>
      <c r="L149" s="40"/>
      <c r="M149" s="40"/>
      <c r="N149" s="40"/>
      <c r="O149" s="40">
        <v>0.25783299654760533</v>
      </c>
      <c r="P149" s="40"/>
      <c r="Q149" s="41" t="s">
        <v>26</v>
      </c>
    </row>
    <row r="150" spans="1:17" x14ac:dyDescent="0.25">
      <c r="A150" s="40" t="s">
        <v>17</v>
      </c>
      <c r="B150" s="40" t="s">
        <v>18</v>
      </c>
      <c r="C150" s="40" t="s">
        <v>19</v>
      </c>
      <c r="D150" s="40" t="s">
        <v>20</v>
      </c>
      <c r="E150" s="40" t="s">
        <v>21</v>
      </c>
      <c r="F150" s="40" t="s">
        <v>43</v>
      </c>
      <c r="G150" s="40" t="s">
        <v>44</v>
      </c>
      <c r="H150" s="40" t="s">
        <v>127</v>
      </c>
      <c r="I150" s="40" t="s">
        <v>129</v>
      </c>
      <c r="J150" s="40"/>
      <c r="K150" s="40"/>
      <c r="L150" s="40"/>
      <c r="M150" s="40"/>
      <c r="N150" s="40"/>
      <c r="O150" s="40">
        <v>2.5919826508955548E-2</v>
      </c>
      <c r="P150" s="40"/>
      <c r="Q150" s="41" t="s">
        <v>26</v>
      </c>
    </row>
    <row r="151" spans="1:17" x14ac:dyDescent="0.25">
      <c r="A151" s="40" t="s">
        <v>17</v>
      </c>
      <c r="B151" s="40" t="s">
        <v>18</v>
      </c>
      <c r="C151" s="40" t="s">
        <v>19</v>
      </c>
      <c r="D151" s="40" t="s">
        <v>20</v>
      </c>
      <c r="E151" s="40" t="s">
        <v>21</v>
      </c>
      <c r="F151" s="40" t="s">
        <v>43</v>
      </c>
      <c r="G151" s="40" t="s">
        <v>44</v>
      </c>
      <c r="H151" s="40" t="s">
        <v>127</v>
      </c>
      <c r="I151" s="40" t="s">
        <v>130</v>
      </c>
      <c r="J151" s="40"/>
      <c r="K151" s="40"/>
      <c r="L151" s="40"/>
      <c r="M151" s="40"/>
      <c r="N151" s="40"/>
      <c r="O151" s="40">
        <v>135.34961290205629</v>
      </c>
      <c r="P151" s="40"/>
      <c r="Q151" s="41" t="s">
        <v>26</v>
      </c>
    </row>
    <row r="152" spans="1:17" x14ac:dyDescent="0.25">
      <c r="A152" s="40" t="s">
        <v>17</v>
      </c>
      <c r="B152" s="40" t="s">
        <v>18</v>
      </c>
      <c r="C152" s="40" t="s">
        <v>19</v>
      </c>
      <c r="D152" s="40" t="s">
        <v>20</v>
      </c>
      <c r="E152" s="40" t="s">
        <v>21</v>
      </c>
      <c r="F152" s="40" t="s">
        <v>43</v>
      </c>
      <c r="G152" s="40" t="s">
        <v>44</v>
      </c>
      <c r="H152" s="40" t="s">
        <v>127</v>
      </c>
      <c r="I152" s="40" t="s">
        <v>131</v>
      </c>
      <c r="J152" s="40"/>
      <c r="K152" s="40"/>
      <c r="L152" s="40"/>
      <c r="M152" s="40"/>
      <c r="N152" s="40"/>
      <c r="O152" s="40">
        <v>0</v>
      </c>
      <c r="P152" s="40"/>
      <c r="Q152" s="41" t="s">
        <v>26</v>
      </c>
    </row>
    <row r="153" spans="1:17" x14ac:dyDescent="0.25">
      <c r="A153" s="40" t="s">
        <v>17</v>
      </c>
      <c r="B153" s="40" t="s">
        <v>18</v>
      </c>
      <c r="C153" s="40" t="s">
        <v>19</v>
      </c>
      <c r="D153" s="40" t="s">
        <v>20</v>
      </c>
      <c r="E153" s="40" t="s">
        <v>21</v>
      </c>
      <c r="F153" s="40" t="s">
        <v>43</v>
      </c>
      <c r="G153" s="40" t="s">
        <v>44</v>
      </c>
      <c r="H153" s="40" t="s">
        <v>127</v>
      </c>
      <c r="I153" s="40" t="s">
        <v>132</v>
      </c>
      <c r="J153" s="40"/>
      <c r="K153" s="40"/>
      <c r="L153" s="40"/>
      <c r="M153" s="40"/>
      <c r="N153" s="40"/>
      <c r="O153" s="40">
        <v>40.034265375236743</v>
      </c>
      <c r="P153" s="40"/>
      <c r="Q153" s="41" t="s">
        <v>26</v>
      </c>
    </row>
    <row r="154" spans="1:17" x14ac:dyDescent="0.25">
      <c r="A154" s="40" t="s">
        <v>17</v>
      </c>
      <c r="B154" s="40" t="s">
        <v>18</v>
      </c>
      <c r="C154" s="40" t="s">
        <v>19</v>
      </c>
      <c r="D154" s="40" t="s">
        <v>20</v>
      </c>
      <c r="E154" s="40" t="s">
        <v>21</v>
      </c>
      <c r="F154" s="40" t="s">
        <v>43</v>
      </c>
      <c r="G154" s="40" t="s">
        <v>44</v>
      </c>
      <c r="H154" s="40" t="s">
        <v>127</v>
      </c>
      <c r="I154" s="40" t="s">
        <v>133</v>
      </c>
      <c r="J154" s="40"/>
      <c r="K154" s="40"/>
      <c r="L154" s="40"/>
      <c r="M154" s="40"/>
      <c r="N154" s="40"/>
      <c r="O154" s="40">
        <v>37.04846671486073</v>
      </c>
      <c r="P154" s="40"/>
      <c r="Q154" s="41" t="s">
        <v>26</v>
      </c>
    </row>
    <row r="155" spans="1:17" x14ac:dyDescent="0.25">
      <c r="A155" s="40" t="s">
        <v>17</v>
      </c>
      <c r="B155" s="40" t="s">
        <v>18</v>
      </c>
      <c r="C155" s="40" t="s">
        <v>19</v>
      </c>
      <c r="D155" s="40" t="s">
        <v>20</v>
      </c>
      <c r="E155" s="40" t="s">
        <v>21</v>
      </c>
      <c r="F155" s="40" t="s">
        <v>43</v>
      </c>
      <c r="G155" s="40" t="s">
        <v>44</v>
      </c>
      <c r="H155" s="40" t="s">
        <v>127</v>
      </c>
      <c r="I155" s="40" t="s">
        <v>134</v>
      </c>
      <c r="J155" s="40"/>
      <c r="K155" s="40"/>
      <c r="L155" s="40"/>
      <c r="M155" s="40"/>
      <c r="N155" s="40"/>
      <c r="O155" s="40">
        <v>95.747050000000002</v>
      </c>
      <c r="P155" s="40"/>
      <c r="Q155" s="41" t="s">
        <v>26</v>
      </c>
    </row>
    <row r="156" spans="1:17" x14ac:dyDescent="0.25">
      <c r="A156" s="40" t="s">
        <v>17</v>
      </c>
      <c r="B156" s="40" t="s">
        <v>18</v>
      </c>
      <c r="C156" s="40" t="s">
        <v>19</v>
      </c>
      <c r="D156" s="40" t="s">
        <v>20</v>
      </c>
      <c r="E156" s="40" t="s">
        <v>21</v>
      </c>
      <c r="F156" s="40" t="s">
        <v>43</v>
      </c>
      <c r="G156" s="40" t="s">
        <v>44</v>
      </c>
      <c r="H156" s="40" t="s">
        <v>135</v>
      </c>
      <c r="I156" s="40" t="s">
        <v>136</v>
      </c>
      <c r="J156" s="40"/>
      <c r="K156" s="40"/>
      <c r="L156" s="40"/>
      <c r="M156" s="40"/>
      <c r="N156" s="40"/>
      <c r="O156" s="40">
        <v>108.27590820967723</v>
      </c>
      <c r="P156" s="40"/>
      <c r="Q156" s="41" t="s">
        <v>137</v>
      </c>
    </row>
    <row r="157" spans="1:17" x14ac:dyDescent="0.25">
      <c r="A157" s="40" t="s">
        <v>17</v>
      </c>
      <c r="B157" s="40" t="s">
        <v>18</v>
      </c>
      <c r="C157" s="40" t="s">
        <v>19</v>
      </c>
      <c r="D157" s="40" t="s">
        <v>20</v>
      </c>
      <c r="E157" s="40" t="s">
        <v>21</v>
      </c>
      <c r="F157" s="40" t="s">
        <v>43</v>
      </c>
      <c r="G157" s="40" t="s">
        <v>44</v>
      </c>
      <c r="H157" s="40" t="s">
        <v>135</v>
      </c>
      <c r="I157" s="40" t="s">
        <v>138</v>
      </c>
      <c r="J157" s="40"/>
      <c r="K157" s="40"/>
      <c r="L157" s="40"/>
      <c r="M157" s="40"/>
      <c r="N157" s="40"/>
      <c r="O157" s="40">
        <v>2.0868112375169221</v>
      </c>
      <c r="P157" s="40"/>
      <c r="Q157" s="41" t="s">
        <v>137</v>
      </c>
    </row>
    <row r="158" spans="1:17" x14ac:dyDescent="0.25">
      <c r="A158" s="40" t="s">
        <v>17</v>
      </c>
      <c r="B158" s="40" t="s">
        <v>18</v>
      </c>
      <c r="C158" s="40" t="s">
        <v>19</v>
      </c>
      <c r="D158" s="40" t="s">
        <v>20</v>
      </c>
      <c r="E158" s="40" t="s">
        <v>21</v>
      </c>
      <c r="F158" s="40" t="s">
        <v>43</v>
      </c>
      <c r="G158" s="40" t="s">
        <v>44</v>
      </c>
      <c r="H158" s="40" t="s">
        <v>139</v>
      </c>
      <c r="I158" s="40" t="s">
        <v>142</v>
      </c>
      <c r="J158" s="40"/>
      <c r="K158" s="40"/>
      <c r="L158" s="40"/>
      <c r="M158" s="40"/>
      <c r="N158" s="40"/>
      <c r="O158" s="40">
        <v>0.25057090438054275</v>
      </c>
      <c r="P158" s="40"/>
      <c r="Q158" s="41" t="s">
        <v>26</v>
      </c>
    </row>
    <row r="159" spans="1:17" x14ac:dyDescent="0.25">
      <c r="A159" s="40" t="s">
        <v>17</v>
      </c>
      <c r="B159" s="40" t="s">
        <v>18</v>
      </c>
      <c r="C159" s="40" t="s">
        <v>19</v>
      </c>
      <c r="D159" s="40" t="s">
        <v>20</v>
      </c>
      <c r="E159" s="40" t="s">
        <v>21</v>
      </c>
      <c r="F159" s="40" t="s">
        <v>43</v>
      </c>
      <c r="G159" s="40" t="s">
        <v>44</v>
      </c>
      <c r="H159" s="40" t="s">
        <v>143</v>
      </c>
      <c r="I159" s="40" t="s">
        <v>144</v>
      </c>
      <c r="J159" s="40"/>
      <c r="K159" s="40"/>
      <c r="L159" s="40"/>
      <c r="M159" s="40"/>
      <c r="N159" s="40"/>
      <c r="O159" s="40"/>
      <c r="P159" s="40">
        <v>1.3733855120714287</v>
      </c>
      <c r="Q159" s="41" t="s">
        <v>26</v>
      </c>
    </row>
    <row r="160" spans="1:17" x14ac:dyDescent="0.25">
      <c r="A160" s="40" t="s">
        <v>17</v>
      </c>
      <c r="B160" s="40" t="s">
        <v>18</v>
      </c>
      <c r="C160" s="40" t="s">
        <v>19</v>
      </c>
      <c r="D160" s="40" t="s">
        <v>20</v>
      </c>
      <c r="E160" s="40" t="s">
        <v>21</v>
      </c>
      <c r="F160" s="40" t="s">
        <v>43</v>
      </c>
      <c r="G160" s="40" t="s">
        <v>44</v>
      </c>
      <c r="H160" s="40" t="s">
        <v>143</v>
      </c>
      <c r="I160" s="40" t="s">
        <v>145</v>
      </c>
      <c r="J160" s="40"/>
      <c r="K160" s="40"/>
      <c r="L160" s="40"/>
      <c r="M160" s="40"/>
      <c r="N160" s="40"/>
      <c r="O160" s="40">
        <v>1.2192011815203432E-2</v>
      </c>
      <c r="P160" s="40"/>
      <c r="Q160" s="41" t="s">
        <v>26</v>
      </c>
    </row>
    <row r="161" spans="1:17" x14ac:dyDescent="0.25">
      <c r="A161" s="40" t="s">
        <v>17</v>
      </c>
      <c r="B161" s="40" t="s">
        <v>18</v>
      </c>
      <c r="C161" s="40" t="s">
        <v>19</v>
      </c>
      <c r="D161" s="40" t="s">
        <v>20</v>
      </c>
      <c r="E161" s="40" t="s">
        <v>21</v>
      </c>
      <c r="F161" s="40" t="s">
        <v>43</v>
      </c>
      <c r="G161" s="40" t="s">
        <v>44</v>
      </c>
      <c r="H161" s="40" t="s">
        <v>143</v>
      </c>
      <c r="I161" s="40" t="s">
        <v>146</v>
      </c>
      <c r="J161" s="40"/>
      <c r="K161" s="40"/>
      <c r="L161" s="40"/>
      <c r="M161" s="40"/>
      <c r="N161" s="40"/>
      <c r="O161" s="40"/>
      <c r="P161" s="40">
        <v>28.06512</v>
      </c>
      <c r="Q161" s="41" t="s">
        <v>26</v>
      </c>
    </row>
    <row r="162" spans="1:17" x14ac:dyDescent="0.25">
      <c r="A162" s="40" t="s">
        <v>17</v>
      </c>
      <c r="B162" s="40" t="s">
        <v>18</v>
      </c>
      <c r="C162" s="40" t="s">
        <v>19</v>
      </c>
      <c r="D162" s="40" t="s">
        <v>20</v>
      </c>
      <c r="E162" s="40" t="s">
        <v>21</v>
      </c>
      <c r="F162" s="40" t="s">
        <v>43</v>
      </c>
      <c r="G162" s="40" t="s">
        <v>44</v>
      </c>
      <c r="H162" s="40" t="s">
        <v>149</v>
      </c>
      <c r="I162" s="40" t="s">
        <v>150</v>
      </c>
      <c r="J162" s="40"/>
      <c r="K162" s="40"/>
      <c r="L162" s="40"/>
      <c r="M162" s="40"/>
      <c r="N162" s="40"/>
      <c r="O162" s="40">
        <v>6.8556691626226121</v>
      </c>
      <c r="P162" s="40"/>
      <c r="Q162" s="41" t="s">
        <v>26</v>
      </c>
    </row>
    <row r="163" spans="1:17" x14ac:dyDescent="0.25">
      <c r="A163" s="40" t="s">
        <v>17</v>
      </c>
      <c r="B163" s="40" t="s">
        <v>18</v>
      </c>
      <c r="C163" s="40" t="s">
        <v>19</v>
      </c>
      <c r="D163" s="40" t="s">
        <v>20</v>
      </c>
      <c r="E163" s="40" t="s">
        <v>21</v>
      </c>
      <c r="F163" s="40" t="s">
        <v>43</v>
      </c>
      <c r="G163" s="40" t="s">
        <v>44</v>
      </c>
      <c r="H163" s="40" t="s">
        <v>153</v>
      </c>
      <c r="I163" s="40" t="s">
        <v>155</v>
      </c>
      <c r="J163" s="40"/>
      <c r="K163" s="40"/>
      <c r="L163" s="40"/>
      <c r="M163" s="40"/>
      <c r="N163" s="40"/>
      <c r="O163" s="40"/>
      <c r="P163" s="40">
        <v>52.448347895061517</v>
      </c>
      <c r="Q163" s="41" t="s">
        <v>26</v>
      </c>
    </row>
    <row r="164" spans="1:17" x14ac:dyDescent="0.25">
      <c r="A164" s="40" t="s">
        <v>17</v>
      </c>
      <c r="B164" s="40" t="s">
        <v>18</v>
      </c>
      <c r="C164" s="40" t="s">
        <v>19</v>
      </c>
      <c r="D164" s="40" t="s">
        <v>20</v>
      </c>
      <c r="E164" s="40" t="s">
        <v>21</v>
      </c>
      <c r="F164" s="40" t="s">
        <v>43</v>
      </c>
      <c r="G164" s="40" t="s">
        <v>44</v>
      </c>
      <c r="H164" s="40" t="s">
        <v>153</v>
      </c>
      <c r="I164" s="40" t="s">
        <v>157</v>
      </c>
      <c r="J164" s="40"/>
      <c r="K164" s="40"/>
      <c r="L164" s="40"/>
      <c r="M164" s="40"/>
      <c r="N164" s="40"/>
      <c r="O164" s="40">
        <v>1.64E-3</v>
      </c>
      <c r="P164" s="40"/>
      <c r="Q164" s="41" t="s">
        <v>26</v>
      </c>
    </row>
    <row r="165" spans="1:17" x14ac:dyDescent="0.25">
      <c r="A165" s="40" t="s">
        <v>17</v>
      </c>
      <c r="B165" s="43" t="s">
        <v>18</v>
      </c>
      <c r="C165" s="40" t="s">
        <v>19</v>
      </c>
      <c r="D165" s="43" t="s">
        <v>20</v>
      </c>
      <c r="E165" s="43" t="s">
        <v>21</v>
      </c>
      <c r="F165" s="43" t="s">
        <v>43</v>
      </c>
      <c r="G165" s="43" t="s">
        <v>44</v>
      </c>
      <c r="H165" s="43" t="s">
        <v>240</v>
      </c>
      <c r="I165" s="43" t="s">
        <v>241</v>
      </c>
      <c r="J165" s="43"/>
      <c r="K165" s="43"/>
      <c r="L165" s="43"/>
      <c r="M165" s="43"/>
      <c r="N165" s="43"/>
      <c r="O165" s="43">
        <v>1.9629142392713781</v>
      </c>
      <c r="P165" s="43"/>
      <c r="Q165" s="41" t="s">
        <v>26</v>
      </c>
    </row>
    <row r="166" spans="1:17" x14ac:dyDescent="0.25">
      <c r="A166" s="40" t="s">
        <v>17</v>
      </c>
      <c r="B166" s="43" t="s">
        <v>18</v>
      </c>
      <c r="C166" s="40" t="s">
        <v>19</v>
      </c>
      <c r="D166" s="43" t="s">
        <v>20</v>
      </c>
      <c r="E166" s="43" t="s">
        <v>21</v>
      </c>
      <c r="F166" s="43" t="s">
        <v>43</v>
      </c>
      <c r="G166" s="43" t="s">
        <v>44</v>
      </c>
      <c r="H166" s="43" t="s">
        <v>240</v>
      </c>
      <c r="I166" s="43" t="s">
        <v>242</v>
      </c>
      <c r="J166" s="43"/>
      <c r="K166" s="43"/>
      <c r="L166" s="43"/>
      <c r="M166" s="43"/>
      <c r="N166" s="43"/>
      <c r="O166" s="43">
        <v>0.46435515291848506</v>
      </c>
      <c r="P166" s="43"/>
      <c r="Q166" s="41" t="s">
        <v>26</v>
      </c>
    </row>
    <row r="167" spans="1:17" x14ac:dyDescent="0.25">
      <c r="A167" s="40" t="s">
        <v>17</v>
      </c>
      <c r="B167" s="40" t="s">
        <v>18</v>
      </c>
      <c r="C167" s="40" t="s">
        <v>19</v>
      </c>
      <c r="D167" s="40" t="s">
        <v>20</v>
      </c>
      <c r="E167" s="40" t="s">
        <v>21</v>
      </c>
      <c r="F167" s="40" t="s">
        <v>59</v>
      </c>
      <c r="G167" s="40" t="s">
        <v>60</v>
      </c>
      <c r="H167" s="40" t="s">
        <v>153</v>
      </c>
      <c r="I167" s="40" t="s">
        <v>154</v>
      </c>
      <c r="J167" s="40">
        <v>119.03675288381579</v>
      </c>
      <c r="K167" s="40">
        <v>18.457232200514252</v>
      </c>
      <c r="L167" s="40"/>
      <c r="M167" s="40"/>
      <c r="N167" s="40"/>
      <c r="O167" s="40"/>
      <c r="P167" s="40"/>
      <c r="Q167" s="41" t="s">
        <v>26</v>
      </c>
    </row>
    <row r="168" spans="1:17" x14ac:dyDescent="0.25">
      <c r="A168" s="40" t="s">
        <v>17</v>
      </c>
      <c r="B168" s="40" t="s">
        <v>18</v>
      </c>
      <c r="C168" s="40" t="s">
        <v>19</v>
      </c>
      <c r="D168" s="40" t="s">
        <v>20</v>
      </c>
      <c r="E168" s="40" t="s">
        <v>21</v>
      </c>
      <c r="F168" s="40" t="s">
        <v>59</v>
      </c>
      <c r="G168" s="40" t="s">
        <v>60</v>
      </c>
      <c r="H168" s="40" t="s">
        <v>139</v>
      </c>
      <c r="I168" s="40" t="s">
        <v>141</v>
      </c>
      <c r="J168" s="40">
        <v>21.18938834999998</v>
      </c>
      <c r="K168" s="40">
        <v>16.911250842135015</v>
      </c>
      <c r="L168" s="40">
        <v>0</v>
      </c>
      <c r="M168" s="40">
        <v>42.185302609999994</v>
      </c>
      <c r="N168" s="40">
        <v>0.77654668999999943</v>
      </c>
      <c r="O168" s="40">
        <v>2.7218889100000014</v>
      </c>
      <c r="P168" s="40">
        <v>0</v>
      </c>
      <c r="Q168" s="41" t="s">
        <v>26</v>
      </c>
    </row>
    <row r="169" spans="1:17" x14ac:dyDescent="0.25">
      <c r="A169" s="40" t="s">
        <v>17</v>
      </c>
      <c r="B169" s="40" t="s">
        <v>18</v>
      </c>
      <c r="C169" s="40" t="s">
        <v>19</v>
      </c>
      <c r="D169" s="40" t="s">
        <v>20</v>
      </c>
      <c r="E169" s="40" t="s">
        <v>21</v>
      </c>
      <c r="F169" s="40" t="s">
        <v>59</v>
      </c>
      <c r="G169" s="40" t="s">
        <v>60</v>
      </c>
      <c r="H169" s="40" t="s">
        <v>24</v>
      </c>
      <c r="I169" s="40" t="s">
        <v>126</v>
      </c>
      <c r="J169" s="40">
        <v>16.097052587099707</v>
      </c>
      <c r="K169" s="40">
        <v>15.572103901446335</v>
      </c>
      <c r="L169" s="40">
        <v>0.62492234082030329</v>
      </c>
      <c r="M169" s="40">
        <v>135.86353791740316</v>
      </c>
      <c r="N169" s="40">
        <v>31.181150988480027</v>
      </c>
      <c r="O169" s="40">
        <v>54.498838982932064</v>
      </c>
      <c r="P169" s="40">
        <v>0.92455957536462885</v>
      </c>
      <c r="Q169" s="41" t="s">
        <v>26</v>
      </c>
    </row>
    <row r="170" spans="1:17" x14ac:dyDescent="0.25">
      <c r="A170" s="40" t="s">
        <v>17</v>
      </c>
      <c r="B170" s="40" t="s">
        <v>18</v>
      </c>
      <c r="C170" s="40" t="s">
        <v>19</v>
      </c>
      <c r="D170" s="40" t="s">
        <v>20</v>
      </c>
      <c r="E170" s="40" t="s">
        <v>21</v>
      </c>
      <c r="F170" s="40" t="s">
        <v>59</v>
      </c>
      <c r="G170" s="40" t="s">
        <v>60</v>
      </c>
      <c r="H170" s="40" t="s">
        <v>143</v>
      </c>
      <c r="I170" s="40" t="s">
        <v>148</v>
      </c>
      <c r="J170" s="40">
        <v>12.121273896911292</v>
      </c>
      <c r="K170" s="40">
        <v>2.6872864229452329</v>
      </c>
      <c r="L170" s="40"/>
      <c r="M170" s="40"/>
      <c r="N170" s="40"/>
      <c r="O170" s="40"/>
      <c r="P170" s="40"/>
      <c r="Q170" s="41" t="s">
        <v>26</v>
      </c>
    </row>
    <row r="171" spans="1:17" x14ac:dyDescent="0.25">
      <c r="A171" s="40" t="s">
        <v>17</v>
      </c>
      <c r="B171" s="40" t="s">
        <v>18</v>
      </c>
      <c r="C171" s="40" t="s">
        <v>19</v>
      </c>
      <c r="D171" s="40" t="s">
        <v>20</v>
      </c>
      <c r="E171" s="40" t="s">
        <v>21</v>
      </c>
      <c r="F171" s="40" t="s">
        <v>59</v>
      </c>
      <c r="G171" s="40" t="s">
        <v>60</v>
      </c>
      <c r="H171" s="40" t="s">
        <v>149</v>
      </c>
      <c r="I171" s="40" t="s">
        <v>151</v>
      </c>
      <c r="J171" s="40">
        <v>2.7735635400737566</v>
      </c>
      <c r="K171" s="40">
        <v>2.5400002945938609</v>
      </c>
      <c r="L171" s="40">
        <v>7.2988514212467284E-2</v>
      </c>
      <c r="M171" s="40">
        <v>6.2040237080597187</v>
      </c>
      <c r="N171" s="40">
        <v>0.43793108527480362</v>
      </c>
      <c r="O171" s="40">
        <v>0.62448972760186994</v>
      </c>
      <c r="P171" s="40"/>
      <c r="Q171" s="41" t="s">
        <v>26</v>
      </c>
    </row>
    <row r="172" spans="1:17" x14ac:dyDescent="0.25">
      <c r="A172" s="40" t="s">
        <v>17</v>
      </c>
      <c r="B172" s="40" t="s">
        <v>18</v>
      </c>
      <c r="C172" s="40" t="s">
        <v>19</v>
      </c>
      <c r="D172" s="40" t="s">
        <v>20</v>
      </c>
      <c r="E172" s="40" t="s">
        <v>21</v>
      </c>
      <c r="F172" s="40" t="s">
        <v>59</v>
      </c>
      <c r="G172" s="40" t="s">
        <v>60</v>
      </c>
      <c r="H172" s="40" t="s">
        <v>153</v>
      </c>
      <c r="I172" s="40" t="s">
        <v>156</v>
      </c>
      <c r="J172" s="40">
        <v>1.1974359127224221</v>
      </c>
      <c r="K172" s="40">
        <v>1.016150794461657</v>
      </c>
      <c r="L172" s="40">
        <v>0.10972520315783152</v>
      </c>
      <c r="M172" s="40">
        <v>11.888487229100702</v>
      </c>
      <c r="N172" s="40">
        <v>0.35302891450780577</v>
      </c>
      <c r="O172" s="40">
        <v>0.83009501519402951</v>
      </c>
      <c r="P172" s="40">
        <v>0.11926652517155602</v>
      </c>
      <c r="Q172" s="41" t="s">
        <v>137</v>
      </c>
    </row>
    <row r="173" spans="1:17" x14ac:dyDescent="0.25">
      <c r="A173" s="40" t="s">
        <v>17</v>
      </c>
      <c r="B173" s="43" t="s">
        <v>18</v>
      </c>
      <c r="C173" s="40" t="s">
        <v>19</v>
      </c>
      <c r="D173" s="43" t="s">
        <v>20</v>
      </c>
      <c r="E173" s="43" t="s">
        <v>21</v>
      </c>
      <c r="F173" s="43" t="s">
        <v>59</v>
      </c>
      <c r="G173" s="43" t="s">
        <v>60</v>
      </c>
      <c r="H173" s="43" t="s">
        <v>24</v>
      </c>
      <c r="I173" s="43" t="s">
        <v>239</v>
      </c>
      <c r="J173" s="43">
        <v>0.38145292655753155</v>
      </c>
      <c r="K173" s="43">
        <v>0.259473977070102</v>
      </c>
      <c r="L173" s="43">
        <v>3.5821332964909448E-2</v>
      </c>
      <c r="M173" s="43">
        <v>2.61231058274495</v>
      </c>
      <c r="N173" s="43">
        <v>6.387514519991349</v>
      </c>
      <c r="O173" s="43">
        <v>0.14308344264776085</v>
      </c>
      <c r="P173" s="43">
        <v>0.12839889419729428</v>
      </c>
      <c r="Q173" s="41" t="s">
        <v>26</v>
      </c>
    </row>
    <row r="174" spans="1:17" x14ac:dyDescent="0.25">
      <c r="A174" s="40" t="s">
        <v>17</v>
      </c>
      <c r="B174" s="40" t="s">
        <v>18</v>
      </c>
      <c r="C174" s="40" t="s">
        <v>19</v>
      </c>
      <c r="D174" s="40" t="s">
        <v>20</v>
      </c>
      <c r="E174" s="40" t="s">
        <v>21</v>
      </c>
      <c r="F174" s="40" t="s">
        <v>59</v>
      </c>
      <c r="G174" s="40" t="s">
        <v>60</v>
      </c>
      <c r="H174" s="40" t="s">
        <v>143</v>
      </c>
      <c r="I174" s="40" t="s">
        <v>147</v>
      </c>
      <c r="J174" s="40">
        <v>0.32207160000000007</v>
      </c>
      <c r="K174" s="40">
        <v>3.6780576719999999E-2</v>
      </c>
      <c r="L174" s="40"/>
      <c r="M174" s="40"/>
      <c r="N174" s="40"/>
      <c r="O174" s="40"/>
      <c r="P174" s="40"/>
      <c r="Q174" s="41" t="s">
        <v>26</v>
      </c>
    </row>
    <row r="175" spans="1:17" x14ac:dyDescent="0.25">
      <c r="A175" s="40" t="s">
        <v>17</v>
      </c>
      <c r="B175" s="40" t="s">
        <v>18</v>
      </c>
      <c r="C175" s="40" t="s">
        <v>19</v>
      </c>
      <c r="D175" s="40" t="s">
        <v>20</v>
      </c>
      <c r="E175" s="40" t="s">
        <v>21</v>
      </c>
      <c r="F175" s="40" t="s">
        <v>59</v>
      </c>
      <c r="G175" s="40" t="s">
        <v>60</v>
      </c>
      <c r="H175" s="40" t="s">
        <v>153</v>
      </c>
      <c r="I175" s="40" t="s">
        <v>158</v>
      </c>
      <c r="J175" s="40">
        <v>0.21440008540966837</v>
      </c>
      <c r="K175" s="40">
        <v>0.20021482456025749</v>
      </c>
      <c r="L175" s="40">
        <v>0</v>
      </c>
      <c r="M175" s="40">
        <v>3.404462603858629</v>
      </c>
      <c r="N175" s="40">
        <v>8.1058633425205445E-2</v>
      </c>
      <c r="O175" s="40">
        <v>0.21115774007266017</v>
      </c>
      <c r="P175" s="40">
        <v>0</v>
      </c>
      <c r="Q175" s="41" t="s">
        <v>26</v>
      </c>
    </row>
    <row r="176" spans="1:17" x14ac:dyDescent="0.25">
      <c r="A176" s="40" t="s">
        <v>17</v>
      </c>
      <c r="B176" s="43" t="s">
        <v>18</v>
      </c>
      <c r="C176" s="40" t="s">
        <v>19</v>
      </c>
      <c r="D176" s="43" t="s">
        <v>20</v>
      </c>
      <c r="E176" s="43" t="s">
        <v>21</v>
      </c>
      <c r="F176" s="43" t="s">
        <v>59</v>
      </c>
      <c r="G176" s="43" t="s">
        <v>60</v>
      </c>
      <c r="H176" s="40" t="s">
        <v>24</v>
      </c>
      <c r="I176" s="40" t="s">
        <v>238</v>
      </c>
      <c r="J176" s="43">
        <v>0.13082518523995115</v>
      </c>
      <c r="K176" s="43">
        <v>0.13082518523995115</v>
      </c>
      <c r="L176" s="43">
        <v>1.5309728071230332E-2</v>
      </c>
      <c r="M176" s="43">
        <v>1.121811282745486</v>
      </c>
      <c r="N176" s="43">
        <v>1.8599261389077371</v>
      </c>
      <c r="O176" s="43">
        <v>0.11185720789418548</v>
      </c>
      <c r="P176" s="43">
        <v>1.1317480239435094E-3</v>
      </c>
      <c r="Q176" s="41" t="s">
        <v>26</v>
      </c>
    </row>
    <row r="177" spans="1:17" x14ac:dyDescent="0.25">
      <c r="A177" s="40" t="s">
        <v>17</v>
      </c>
      <c r="B177" s="43" t="s">
        <v>18</v>
      </c>
      <c r="C177" s="40" t="s">
        <v>19</v>
      </c>
      <c r="D177" s="43" t="s">
        <v>20</v>
      </c>
      <c r="E177" s="43" t="s">
        <v>21</v>
      </c>
      <c r="F177" s="43" t="s">
        <v>59</v>
      </c>
      <c r="G177" s="43" t="s">
        <v>60</v>
      </c>
      <c r="H177" s="43" t="s">
        <v>143</v>
      </c>
      <c r="I177" s="43" t="s">
        <v>243</v>
      </c>
      <c r="J177" s="43">
        <v>6.0188517795562446E-2</v>
      </c>
      <c r="K177" s="43">
        <v>5.7388477881817425E-2</v>
      </c>
      <c r="L177" s="43">
        <v>1.9014726457714523E-3</v>
      </c>
      <c r="M177" s="43">
        <v>0.32059151609615916</v>
      </c>
      <c r="N177" s="43">
        <v>1.4401717774428304E-2</v>
      </c>
      <c r="O177" s="43">
        <v>2.3195944453042454E-2</v>
      </c>
      <c r="P177" s="43">
        <v>6.4130528282791222E-3</v>
      </c>
      <c r="Q177" s="41" t="s">
        <v>26</v>
      </c>
    </row>
    <row r="178" spans="1:17" x14ac:dyDescent="0.25">
      <c r="A178" s="40" t="s">
        <v>17</v>
      </c>
      <c r="B178" s="40" t="s">
        <v>18</v>
      </c>
      <c r="C178" s="40" t="s">
        <v>19</v>
      </c>
      <c r="D178" s="40" t="s">
        <v>20</v>
      </c>
      <c r="E178" s="40" t="s">
        <v>21</v>
      </c>
      <c r="F178" s="40" t="s">
        <v>59</v>
      </c>
      <c r="G178" s="40" t="s">
        <v>60</v>
      </c>
      <c r="H178" s="40" t="s">
        <v>24</v>
      </c>
      <c r="I178" s="40" t="s">
        <v>25</v>
      </c>
      <c r="J178" s="40">
        <v>0</v>
      </c>
      <c r="K178" s="40">
        <v>0</v>
      </c>
      <c r="L178" s="40">
        <v>0</v>
      </c>
      <c r="M178" s="40">
        <v>0</v>
      </c>
      <c r="N178" s="40">
        <v>0</v>
      </c>
      <c r="O178" s="40">
        <v>0</v>
      </c>
      <c r="P178" s="40">
        <v>0</v>
      </c>
      <c r="Q178" s="41" t="s">
        <v>26</v>
      </c>
    </row>
    <row r="179" spans="1:17" x14ac:dyDescent="0.25">
      <c r="A179" s="40" t="s">
        <v>17</v>
      </c>
      <c r="B179" s="40" t="s">
        <v>18</v>
      </c>
      <c r="C179" s="40" t="s">
        <v>19</v>
      </c>
      <c r="D179" s="40" t="s">
        <v>20</v>
      </c>
      <c r="E179" s="40" t="s">
        <v>21</v>
      </c>
      <c r="F179" s="40" t="s">
        <v>59</v>
      </c>
      <c r="G179" s="40" t="s">
        <v>60</v>
      </c>
      <c r="H179" s="40" t="s">
        <v>139</v>
      </c>
      <c r="I179" s="40" t="s">
        <v>140</v>
      </c>
      <c r="J179" s="40">
        <v>0</v>
      </c>
      <c r="K179" s="40">
        <v>0</v>
      </c>
      <c r="L179" s="40"/>
      <c r="M179" s="40"/>
      <c r="N179" s="40"/>
      <c r="O179" s="40"/>
      <c r="P179" s="40"/>
      <c r="Q179" s="41" t="s">
        <v>26</v>
      </c>
    </row>
    <row r="180" spans="1:17" x14ac:dyDescent="0.25">
      <c r="A180" s="40" t="s">
        <v>17</v>
      </c>
      <c r="B180" s="40" t="s">
        <v>18</v>
      </c>
      <c r="C180" s="40" t="s">
        <v>19</v>
      </c>
      <c r="D180" s="40" t="s">
        <v>20</v>
      </c>
      <c r="E180" s="40" t="s">
        <v>21</v>
      </c>
      <c r="F180" s="40" t="s">
        <v>59</v>
      </c>
      <c r="G180" s="40" t="s">
        <v>60</v>
      </c>
      <c r="H180" s="40" t="s">
        <v>149</v>
      </c>
      <c r="I180" s="40" t="s">
        <v>152</v>
      </c>
      <c r="J180" s="40">
        <v>0</v>
      </c>
      <c r="K180" s="40">
        <v>0</v>
      </c>
      <c r="L180" s="40">
        <v>0</v>
      </c>
      <c r="M180" s="40">
        <v>1.1438810390553376</v>
      </c>
      <c r="N180" s="40"/>
      <c r="O180" s="40">
        <v>60.653620655766545</v>
      </c>
      <c r="P180" s="40"/>
      <c r="Q180" s="41" t="s">
        <v>26</v>
      </c>
    </row>
    <row r="181" spans="1:17" x14ac:dyDescent="0.25">
      <c r="A181" s="40" t="s">
        <v>17</v>
      </c>
      <c r="B181" s="40" t="s">
        <v>18</v>
      </c>
      <c r="C181" s="40" t="s">
        <v>19</v>
      </c>
      <c r="D181" s="40" t="s">
        <v>20</v>
      </c>
      <c r="E181" s="40" t="s">
        <v>21</v>
      </c>
      <c r="F181" s="40" t="s">
        <v>59</v>
      </c>
      <c r="G181" s="40" t="s">
        <v>60</v>
      </c>
      <c r="H181" s="40" t="s">
        <v>153</v>
      </c>
      <c r="I181" s="40" t="s">
        <v>159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1" t="s">
        <v>26</v>
      </c>
    </row>
    <row r="182" spans="1:17" x14ac:dyDescent="0.25">
      <c r="A182" s="40" t="s">
        <v>17</v>
      </c>
      <c r="B182" s="40" t="s">
        <v>18</v>
      </c>
      <c r="C182" s="40" t="s">
        <v>19</v>
      </c>
      <c r="D182" s="40" t="s">
        <v>20</v>
      </c>
      <c r="E182" s="40" t="s">
        <v>21</v>
      </c>
      <c r="F182" s="40" t="s">
        <v>59</v>
      </c>
      <c r="G182" s="40" t="s">
        <v>60</v>
      </c>
      <c r="H182" s="40" t="s">
        <v>127</v>
      </c>
      <c r="I182" s="40" t="s">
        <v>128</v>
      </c>
      <c r="J182" s="40"/>
      <c r="K182" s="40"/>
      <c r="L182" s="40"/>
      <c r="M182" s="40"/>
      <c r="N182" s="40"/>
      <c r="O182" s="40">
        <v>2.789305832623977</v>
      </c>
      <c r="P182" s="40"/>
      <c r="Q182" s="41" t="s">
        <v>26</v>
      </c>
    </row>
    <row r="183" spans="1:17" x14ac:dyDescent="0.25">
      <c r="A183" s="40" t="s">
        <v>17</v>
      </c>
      <c r="B183" s="40" t="s">
        <v>18</v>
      </c>
      <c r="C183" s="40" t="s">
        <v>19</v>
      </c>
      <c r="D183" s="40" t="s">
        <v>20</v>
      </c>
      <c r="E183" s="40" t="s">
        <v>21</v>
      </c>
      <c r="F183" s="40" t="s">
        <v>59</v>
      </c>
      <c r="G183" s="40" t="s">
        <v>60</v>
      </c>
      <c r="H183" s="40" t="s">
        <v>127</v>
      </c>
      <c r="I183" s="40" t="s">
        <v>129</v>
      </c>
      <c r="J183" s="40"/>
      <c r="K183" s="40"/>
      <c r="L183" s="40"/>
      <c r="M183" s="40"/>
      <c r="N183" s="40"/>
      <c r="O183" s="40">
        <v>0.20735861207164438</v>
      </c>
      <c r="P183" s="40"/>
      <c r="Q183" s="41" t="s">
        <v>26</v>
      </c>
    </row>
    <row r="184" spans="1:17" x14ac:dyDescent="0.25">
      <c r="A184" s="40" t="s">
        <v>17</v>
      </c>
      <c r="B184" s="40" t="s">
        <v>18</v>
      </c>
      <c r="C184" s="40" t="s">
        <v>19</v>
      </c>
      <c r="D184" s="40" t="s">
        <v>20</v>
      </c>
      <c r="E184" s="40" t="s">
        <v>21</v>
      </c>
      <c r="F184" s="40" t="s">
        <v>59</v>
      </c>
      <c r="G184" s="40" t="s">
        <v>60</v>
      </c>
      <c r="H184" s="40" t="s">
        <v>127</v>
      </c>
      <c r="I184" s="40" t="s">
        <v>130</v>
      </c>
      <c r="J184" s="40"/>
      <c r="K184" s="40"/>
      <c r="L184" s="40"/>
      <c r="M184" s="40"/>
      <c r="N184" s="40"/>
      <c r="O184" s="40">
        <v>498.65970514437726</v>
      </c>
      <c r="P184" s="40"/>
      <c r="Q184" s="41" t="s">
        <v>26</v>
      </c>
    </row>
    <row r="185" spans="1:17" x14ac:dyDescent="0.25">
      <c r="A185" s="40" t="s">
        <v>17</v>
      </c>
      <c r="B185" s="40" t="s">
        <v>18</v>
      </c>
      <c r="C185" s="40" t="s">
        <v>19</v>
      </c>
      <c r="D185" s="40" t="s">
        <v>20</v>
      </c>
      <c r="E185" s="40" t="s">
        <v>21</v>
      </c>
      <c r="F185" s="40" t="s">
        <v>59</v>
      </c>
      <c r="G185" s="40" t="s">
        <v>60</v>
      </c>
      <c r="H185" s="40" t="s">
        <v>127</v>
      </c>
      <c r="I185" s="40" t="s">
        <v>131</v>
      </c>
      <c r="J185" s="40"/>
      <c r="K185" s="40"/>
      <c r="L185" s="40"/>
      <c r="M185" s="40"/>
      <c r="N185" s="40"/>
      <c r="O185" s="40">
        <v>4.6650845136492629</v>
      </c>
      <c r="P185" s="40"/>
      <c r="Q185" s="41" t="s">
        <v>26</v>
      </c>
    </row>
    <row r="186" spans="1:17" x14ac:dyDescent="0.25">
      <c r="A186" s="40" t="s">
        <v>17</v>
      </c>
      <c r="B186" s="40" t="s">
        <v>18</v>
      </c>
      <c r="C186" s="40" t="s">
        <v>19</v>
      </c>
      <c r="D186" s="40" t="s">
        <v>20</v>
      </c>
      <c r="E186" s="40" t="s">
        <v>21</v>
      </c>
      <c r="F186" s="40" t="s">
        <v>59</v>
      </c>
      <c r="G186" s="40" t="s">
        <v>60</v>
      </c>
      <c r="H186" s="40" t="s">
        <v>127</v>
      </c>
      <c r="I186" s="40" t="s">
        <v>132</v>
      </c>
      <c r="J186" s="40"/>
      <c r="K186" s="40"/>
      <c r="L186" s="40"/>
      <c r="M186" s="40"/>
      <c r="N186" s="40"/>
      <c r="O186" s="40">
        <v>284.82414831737435</v>
      </c>
      <c r="P186" s="40"/>
      <c r="Q186" s="41" t="s">
        <v>26</v>
      </c>
    </row>
    <row r="187" spans="1:17" x14ac:dyDescent="0.25">
      <c r="A187" s="40" t="s">
        <v>17</v>
      </c>
      <c r="B187" s="40" t="s">
        <v>18</v>
      </c>
      <c r="C187" s="40" t="s">
        <v>19</v>
      </c>
      <c r="D187" s="40" t="s">
        <v>20</v>
      </c>
      <c r="E187" s="40" t="s">
        <v>21</v>
      </c>
      <c r="F187" s="40" t="s">
        <v>59</v>
      </c>
      <c r="G187" s="40" t="s">
        <v>60</v>
      </c>
      <c r="H187" s="40" t="s">
        <v>127</v>
      </c>
      <c r="I187" s="40" t="s">
        <v>133</v>
      </c>
      <c r="J187" s="40"/>
      <c r="K187" s="40"/>
      <c r="L187" s="40"/>
      <c r="M187" s="40"/>
      <c r="N187" s="40"/>
      <c r="O187" s="40">
        <v>84.058312567926052</v>
      </c>
      <c r="P187" s="40"/>
      <c r="Q187" s="41" t="s">
        <v>26</v>
      </c>
    </row>
    <row r="188" spans="1:17" x14ac:dyDescent="0.25">
      <c r="A188" s="40" t="s">
        <v>17</v>
      </c>
      <c r="B188" s="40" t="s">
        <v>18</v>
      </c>
      <c r="C188" s="40" t="s">
        <v>19</v>
      </c>
      <c r="D188" s="40" t="s">
        <v>20</v>
      </c>
      <c r="E188" s="40" t="s">
        <v>21</v>
      </c>
      <c r="F188" s="40" t="s">
        <v>59</v>
      </c>
      <c r="G188" s="40" t="s">
        <v>60</v>
      </c>
      <c r="H188" s="40" t="s">
        <v>127</v>
      </c>
      <c r="I188" s="40" t="s">
        <v>134</v>
      </c>
      <c r="J188" s="40"/>
      <c r="K188" s="40"/>
      <c r="L188" s="40"/>
      <c r="M188" s="40"/>
      <c r="N188" s="40"/>
      <c r="O188" s="40">
        <v>681.16334999999879</v>
      </c>
      <c r="P188" s="40"/>
      <c r="Q188" s="41" t="s">
        <v>26</v>
      </c>
    </row>
    <row r="189" spans="1:17" x14ac:dyDescent="0.25">
      <c r="A189" s="40" t="s">
        <v>17</v>
      </c>
      <c r="B189" s="40" t="s">
        <v>18</v>
      </c>
      <c r="C189" s="40" t="s">
        <v>19</v>
      </c>
      <c r="D189" s="40" t="s">
        <v>20</v>
      </c>
      <c r="E189" s="40" t="s">
        <v>21</v>
      </c>
      <c r="F189" s="40" t="s">
        <v>59</v>
      </c>
      <c r="G189" s="40" t="s">
        <v>60</v>
      </c>
      <c r="H189" s="40" t="s">
        <v>135</v>
      </c>
      <c r="I189" s="40" t="s">
        <v>136</v>
      </c>
      <c r="J189" s="40"/>
      <c r="K189" s="40"/>
      <c r="L189" s="40"/>
      <c r="M189" s="40"/>
      <c r="N189" s="40"/>
      <c r="O189" s="40">
        <v>669.10738575644723</v>
      </c>
      <c r="P189" s="40"/>
      <c r="Q189" s="41" t="s">
        <v>137</v>
      </c>
    </row>
    <row r="190" spans="1:17" x14ac:dyDescent="0.25">
      <c r="A190" s="40" t="s">
        <v>17</v>
      </c>
      <c r="B190" s="40" t="s">
        <v>18</v>
      </c>
      <c r="C190" s="40" t="s">
        <v>19</v>
      </c>
      <c r="D190" s="40" t="s">
        <v>20</v>
      </c>
      <c r="E190" s="40" t="s">
        <v>21</v>
      </c>
      <c r="F190" s="40" t="s">
        <v>59</v>
      </c>
      <c r="G190" s="40" t="s">
        <v>60</v>
      </c>
      <c r="H190" s="40" t="s">
        <v>135</v>
      </c>
      <c r="I190" s="40" t="s">
        <v>138</v>
      </c>
      <c r="J190" s="40"/>
      <c r="K190" s="40"/>
      <c r="L190" s="40"/>
      <c r="M190" s="40"/>
      <c r="N190" s="40"/>
      <c r="O190" s="40">
        <v>52.806355262617508</v>
      </c>
      <c r="P190" s="40"/>
      <c r="Q190" s="41" t="s">
        <v>137</v>
      </c>
    </row>
    <row r="191" spans="1:17" x14ac:dyDescent="0.25">
      <c r="A191" s="40" t="s">
        <v>17</v>
      </c>
      <c r="B191" s="40" t="s">
        <v>18</v>
      </c>
      <c r="C191" s="40" t="s">
        <v>19</v>
      </c>
      <c r="D191" s="40" t="s">
        <v>20</v>
      </c>
      <c r="E191" s="40" t="s">
        <v>21</v>
      </c>
      <c r="F191" s="40" t="s">
        <v>59</v>
      </c>
      <c r="G191" s="40" t="s">
        <v>60</v>
      </c>
      <c r="H191" s="40" t="s">
        <v>139</v>
      </c>
      <c r="I191" s="40" t="s">
        <v>142</v>
      </c>
      <c r="J191" s="40"/>
      <c r="K191" s="40"/>
      <c r="L191" s="40"/>
      <c r="M191" s="40"/>
      <c r="N191" s="40"/>
      <c r="O191" s="40">
        <v>2.5265899525038056</v>
      </c>
      <c r="P191" s="40"/>
      <c r="Q191" s="41" t="s">
        <v>26</v>
      </c>
    </row>
    <row r="192" spans="1:17" x14ac:dyDescent="0.25">
      <c r="A192" s="40" t="s">
        <v>17</v>
      </c>
      <c r="B192" s="40" t="s">
        <v>18</v>
      </c>
      <c r="C192" s="40" t="s">
        <v>19</v>
      </c>
      <c r="D192" s="40" t="s">
        <v>20</v>
      </c>
      <c r="E192" s="40" t="s">
        <v>21</v>
      </c>
      <c r="F192" s="40" t="s">
        <v>59</v>
      </c>
      <c r="G192" s="40" t="s">
        <v>60</v>
      </c>
      <c r="H192" s="40" t="s">
        <v>143</v>
      </c>
      <c r="I192" s="40" t="s">
        <v>144</v>
      </c>
      <c r="J192" s="40"/>
      <c r="K192" s="40"/>
      <c r="L192" s="40"/>
      <c r="M192" s="40"/>
      <c r="N192" s="40"/>
      <c r="O192" s="40"/>
      <c r="P192" s="40">
        <v>1.3257929448214285</v>
      </c>
      <c r="Q192" s="41" t="s">
        <v>26</v>
      </c>
    </row>
    <row r="193" spans="1:17" x14ac:dyDescent="0.25">
      <c r="A193" s="40" t="s">
        <v>17</v>
      </c>
      <c r="B193" s="40" t="s">
        <v>18</v>
      </c>
      <c r="C193" s="40" t="s">
        <v>19</v>
      </c>
      <c r="D193" s="40" t="s">
        <v>20</v>
      </c>
      <c r="E193" s="40" t="s">
        <v>21</v>
      </c>
      <c r="F193" s="40" t="s">
        <v>59</v>
      </c>
      <c r="G193" s="40" t="s">
        <v>60</v>
      </c>
      <c r="H193" s="40" t="s">
        <v>143</v>
      </c>
      <c r="I193" s="40" t="s">
        <v>145</v>
      </c>
      <c r="J193" s="40"/>
      <c r="K193" s="40"/>
      <c r="L193" s="40"/>
      <c r="M193" s="40"/>
      <c r="N193" s="40"/>
      <c r="O193" s="40">
        <v>1.3983678197905292E-2</v>
      </c>
      <c r="P193" s="40"/>
      <c r="Q193" s="41" t="s">
        <v>26</v>
      </c>
    </row>
    <row r="194" spans="1:17" x14ac:dyDescent="0.25">
      <c r="A194" s="40" t="s">
        <v>17</v>
      </c>
      <c r="B194" s="40" t="s">
        <v>18</v>
      </c>
      <c r="C194" s="40" t="s">
        <v>19</v>
      </c>
      <c r="D194" s="40" t="s">
        <v>20</v>
      </c>
      <c r="E194" s="40" t="s">
        <v>21</v>
      </c>
      <c r="F194" s="40" t="s">
        <v>59</v>
      </c>
      <c r="G194" s="40" t="s">
        <v>60</v>
      </c>
      <c r="H194" s="40" t="s">
        <v>143</v>
      </c>
      <c r="I194" s="40" t="s">
        <v>146</v>
      </c>
      <c r="J194" s="40"/>
      <c r="K194" s="40"/>
      <c r="L194" s="40"/>
      <c r="M194" s="40"/>
      <c r="N194" s="40"/>
      <c r="O194" s="40"/>
      <c r="P194" s="40">
        <v>84.974240000000009</v>
      </c>
      <c r="Q194" s="41" t="s">
        <v>26</v>
      </c>
    </row>
    <row r="195" spans="1:17" x14ac:dyDescent="0.25">
      <c r="A195" s="40" t="s">
        <v>17</v>
      </c>
      <c r="B195" s="40" t="s">
        <v>18</v>
      </c>
      <c r="C195" s="40" t="s">
        <v>19</v>
      </c>
      <c r="D195" s="40" t="s">
        <v>20</v>
      </c>
      <c r="E195" s="40" t="s">
        <v>21</v>
      </c>
      <c r="F195" s="40" t="s">
        <v>59</v>
      </c>
      <c r="G195" s="40" t="s">
        <v>60</v>
      </c>
      <c r="H195" s="40" t="s">
        <v>149</v>
      </c>
      <c r="I195" s="40" t="s">
        <v>150</v>
      </c>
      <c r="J195" s="40"/>
      <c r="K195" s="40"/>
      <c r="L195" s="40"/>
      <c r="M195" s="40"/>
      <c r="N195" s="40"/>
      <c r="O195" s="40">
        <v>43.276411589055243</v>
      </c>
      <c r="P195" s="40"/>
      <c r="Q195" s="41" t="s">
        <v>26</v>
      </c>
    </row>
    <row r="196" spans="1:17" x14ac:dyDescent="0.25">
      <c r="A196" s="40" t="s">
        <v>17</v>
      </c>
      <c r="B196" s="40" t="s">
        <v>18</v>
      </c>
      <c r="C196" s="40" t="s">
        <v>19</v>
      </c>
      <c r="D196" s="40" t="s">
        <v>20</v>
      </c>
      <c r="E196" s="40" t="s">
        <v>21</v>
      </c>
      <c r="F196" s="40" t="s">
        <v>59</v>
      </c>
      <c r="G196" s="40" t="s">
        <v>60</v>
      </c>
      <c r="H196" s="40" t="s">
        <v>153</v>
      </c>
      <c r="I196" s="40" t="s">
        <v>155</v>
      </c>
      <c r="J196" s="40"/>
      <c r="K196" s="40"/>
      <c r="L196" s="40"/>
      <c r="M196" s="40"/>
      <c r="N196" s="40"/>
      <c r="O196" s="40"/>
      <c r="P196" s="40">
        <v>290.07180635256753</v>
      </c>
      <c r="Q196" s="41" t="s">
        <v>26</v>
      </c>
    </row>
    <row r="197" spans="1:17" x14ac:dyDescent="0.25">
      <c r="A197" s="40" t="s">
        <v>17</v>
      </c>
      <c r="B197" s="40" t="s">
        <v>18</v>
      </c>
      <c r="C197" s="40" t="s">
        <v>19</v>
      </c>
      <c r="D197" s="40" t="s">
        <v>20</v>
      </c>
      <c r="E197" s="40" t="s">
        <v>21</v>
      </c>
      <c r="F197" s="40" t="s">
        <v>59</v>
      </c>
      <c r="G197" s="40" t="s">
        <v>60</v>
      </c>
      <c r="H197" s="40" t="s">
        <v>153</v>
      </c>
      <c r="I197" s="40" t="s">
        <v>157</v>
      </c>
      <c r="J197" s="40"/>
      <c r="K197" s="40"/>
      <c r="L197" s="40"/>
      <c r="M197" s="40"/>
      <c r="N197" s="40"/>
      <c r="O197" s="40">
        <v>1.64E-3</v>
      </c>
      <c r="P197" s="40"/>
      <c r="Q197" s="41" t="s">
        <v>26</v>
      </c>
    </row>
    <row r="198" spans="1:17" x14ac:dyDescent="0.25">
      <c r="A198" s="40" t="s">
        <v>17</v>
      </c>
      <c r="B198" s="43" t="s">
        <v>18</v>
      </c>
      <c r="C198" s="40" t="s">
        <v>19</v>
      </c>
      <c r="D198" s="43" t="s">
        <v>20</v>
      </c>
      <c r="E198" s="43" t="s">
        <v>21</v>
      </c>
      <c r="F198" s="43" t="s">
        <v>59</v>
      </c>
      <c r="G198" s="43" t="s">
        <v>60</v>
      </c>
      <c r="H198" s="43" t="s">
        <v>240</v>
      </c>
      <c r="I198" s="43" t="s">
        <v>241</v>
      </c>
      <c r="J198" s="43"/>
      <c r="K198" s="43"/>
      <c r="L198" s="43"/>
      <c r="M198" s="43"/>
      <c r="N198" s="43"/>
      <c r="O198" s="43">
        <v>4.9072855981784453</v>
      </c>
      <c r="P198" s="43"/>
      <c r="Q198" s="41" t="s">
        <v>26</v>
      </c>
    </row>
    <row r="199" spans="1:17" x14ac:dyDescent="0.25">
      <c r="A199" s="40" t="s">
        <v>17</v>
      </c>
      <c r="B199" s="43" t="s">
        <v>18</v>
      </c>
      <c r="C199" s="40" t="s">
        <v>19</v>
      </c>
      <c r="D199" s="43" t="s">
        <v>20</v>
      </c>
      <c r="E199" s="43" t="s">
        <v>21</v>
      </c>
      <c r="F199" s="43" t="s">
        <v>59</v>
      </c>
      <c r="G199" s="43" t="s">
        <v>60</v>
      </c>
      <c r="H199" s="43" t="s">
        <v>240</v>
      </c>
      <c r="I199" s="43" t="s">
        <v>242</v>
      </c>
      <c r="J199" s="43"/>
      <c r="K199" s="43"/>
      <c r="L199" s="43"/>
      <c r="M199" s="43"/>
      <c r="N199" s="43"/>
      <c r="O199" s="43">
        <v>5.023517368946929</v>
      </c>
      <c r="P199" s="43"/>
      <c r="Q199" s="41" t="s">
        <v>26</v>
      </c>
    </row>
    <row r="200" spans="1:17" x14ac:dyDescent="0.25">
      <c r="A200" s="40" t="s">
        <v>17</v>
      </c>
      <c r="B200" s="40" t="s">
        <v>18</v>
      </c>
      <c r="C200" s="40" t="s">
        <v>19</v>
      </c>
      <c r="D200" s="40" t="s">
        <v>20</v>
      </c>
      <c r="E200" s="40" t="s">
        <v>21</v>
      </c>
      <c r="F200" s="40" t="s">
        <v>65</v>
      </c>
      <c r="G200" s="40" t="s">
        <v>66</v>
      </c>
      <c r="H200" s="40" t="s">
        <v>139</v>
      </c>
      <c r="I200" s="40" t="s">
        <v>140</v>
      </c>
      <c r="J200" s="40">
        <v>83.394875592562983</v>
      </c>
      <c r="K200" s="40">
        <v>8.3394875592562983</v>
      </c>
      <c r="L200" s="40"/>
      <c r="M200" s="40"/>
      <c r="N200" s="40"/>
      <c r="O200" s="40"/>
      <c r="P200" s="40"/>
      <c r="Q200" s="41" t="s">
        <v>26</v>
      </c>
    </row>
    <row r="201" spans="1:17" x14ac:dyDescent="0.25">
      <c r="A201" s="40" t="s">
        <v>17</v>
      </c>
      <c r="B201" s="40" t="s">
        <v>18</v>
      </c>
      <c r="C201" s="40" t="s">
        <v>19</v>
      </c>
      <c r="D201" s="40" t="s">
        <v>20</v>
      </c>
      <c r="E201" s="40" t="s">
        <v>21</v>
      </c>
      <c r="F201" s="40" t="s">
        <v>65</v>
      </c>
      <c r="G201" s="40" t="s">
        <v>66</v>
      </c>
      <c r="H201" s="40" t="s">
        <v>139</v>
      </c>
      <c r="I201" s="40" t="s">
        <v>141</v>
      </c>
      <c r="J201" s="40">
        <v>35.514989250000006</v>
      </c>
      <c r="K201" s="40">
        <v>28.344512920425011</v>
      </c>
      <c r="L201" s="40">
        <v>0</v>
      </c>
      <c r="M201" s="40">
        <v>70.705701550000001</v>
      </c>
      <c r="N201" s="40">
        <v>1.3015499500000007</v>
      </c>
      <c r="O201" s="40">
        <v>4.5620880499999981</v>
      </c>
      <c r="P201" s="40">
        <v>0</v>
      </c>
      <c r="Q201" s="41" t="s">
        <v>26</v>
      </c>
    </row>
    <row r="202" spans="1:17" x14ac:dyDescent="0.25">
      <c r="A202" s="40" t="s">
        <v>17</v>
      </c>
      <c r="B202" s="40" t="s">
        <v>18</v>
      </c>
      <c r="C202" s="40" t="s">
        <v>19</v>
      </c>
      <c r="D202" s="40" t="s">
        <v>20</v>
      </c>
      <c r="E202" s="40" t="s">
        <v>21</v>
      </c>
      <c r="F202" s="40" t="s">
        <v>65</v>
      </c>
      <c r="G202" s="40" t="s">
        <v>66</v>
      </c>
      <c r="H202" s="40" t="s">
        <v>24</v>
      </c>
      <c r="I202" s="40" t="s">
        <v>126</v>
      </c>
      <c r="J202" s="40">
        <v>18.62206180338022</v>
      </c>
      <c r="K202" s="40">
        <v>18.050641149011145</v>
      </c>
      <c r="L202" s="40">
        <v>0.80108770281131991</v>
      </c>
      <c r="M202" s="40">
        <v>157.8363168654364</v>
      </c>
      <c r="N202" s="40">
        <v>49.360720623504562</v>
      </c>
      <c r="O202" s="40">
        <v>59.948315867816177</v>
      </c>
      <c r="P202" s="40">
        <v>1.0274798946981158</v>
      </c>
      <c r="Q202" s="41" t="s">
        <v>26</v>
      </c>
    </row>
    <row r="203" spans="1:17" x14ac:dyDescent="0.25">
      <c r="A203" s="40" t="s">
        <v>17</v>
      </c>
      <c r="B203" s="40" t="s">
        <v>18</v>
      </c>
      <c r="C203" s="40" t="s">
        <v>19</v>
      </c>
      <c r="D203" s="40" t="s">
        <v>20</v>
      </c>
      <c r="E203" s="40" t="s">
        <v>21</v>
      </c>
      <c r="F203" s="40" t="s">
        <v>65</v>
      </c>
      <c r="G203" s="40" t="s">
        <v>66</v>
      </c>
      <c r="H203" s="40" t="s">
        <v>153</v>
      </c>
      <c r="I203" s="40" t="s">
        <v>154</v>
      </c>
      <c r="J203" s="40">
        <v>17.964893462521978</v>
      </c>
      <c r="K203" s="40">
        <v>2.7855448175649156</v>
      </c>
      <c r="L203" s="40"/>
      <c r="M203" s="40"/>
      <c r="N203" s="40"/>
      <c r="O203" s="40"/>
      <c r="P203" s="40"/>
      <c r="Q203" s="41" t="s">
        <v>26</v>
      </c>
    </row>
    <row r="204" spans="1:17" x14ac:dyDescent="0.25">
      <c r="A204" s="40" t="s">
        <v>17</v>
      </c>
      <c r="B204" s="40" t="s">
        <v>18</v>
      </c>
      <c r="C204" s="40" t="s">
        <v>19</v>
      </c>
      <c r="D204" s="40" t="s">
        <v>20</v>
      </c>
      <c r="E204" s="40" t="s">
        <v>21</v>
      </c>
      <c r="F204" s="40" t="s">
        <v>65</v>
      </c>
      <c r="G204" s="40" t="s">
        <v>66</v>
      </c>
      <c r="H204" s="40" t="s">
        <v>149</v>
      </c>
      <c r="I204" s="40" t="s">
        <v>151</v>
      </c>
      <c r="J204" s="40">
        <v>4.9168552438979454</v>
      </c>
      <c r="K204" s="40">
        <v>4.5028042759907505</v>
      </c>
      <c r="L204" s="40">
        <v>0.12939092747099859</v>
      </c>
      <c r="M204" s="40">
        <v>10.99822883503488</v>
      </c>
      <c r="N204" s="40">
        <v>0.77634556482599137</v>
      </c>
      <c r="O204" s="40">
        <v>1.1070687754418636</v>
      </c>
      <c r="P204" s="40"/>
      <c r="Q204" s="41" t="s">
        <v>26</v>
      </c>
    </row>
    <row r="205" spans="1:17" x14ac:dyDescent="0.25">
      <c r="A205" s="40" t="s">
        <v>17</v>
      </c>
      <c r="B205" s="40" t="s">
        <v>18</v>
      </c>
      <c r="C205" s="40" t="s">
        <v>19</v>
      </c>
      <c r="D205" s="40" t="s">
        <v>20</v>
      </c>
      <c r="E205" s="40" t="s">
        <v>21</v>
      </c>
      <c r="F205" s="40" t="s">
        <v>65</v>
      </c>
      <c r="G205" s="40" t="s">
        <v>66</v>
      </c>
      <c r="H205" s="40" t="s">
        <v>143</v>
      </c>
      <c r="I205" s="40" t="s">
        <v>148</v>
      </c>
      <c r="J205" s="40">
        <v>1.7362699259698544</v>
      </c>
      <c r="K205" s="40">
        <v>0.38493104258751676</v>
      </c>
      <c r="L205" s="40"/>
      <c r="M205" s="40"/>
      <c r="N205" s="40"/>
      <c r="O205" s="40"/>
      <c r="P205" s="40"/>
      <c r="Q205" s="41" t="s">
        <v>26</v>
      </c>
    </row>
    <row r="206" spans="1:17" x14ac:dyDescent="0.25">
      <c r="A206" s="40" t="s">
        <v>17</v>
      </c>
      <c r="B206" s="43" t="s">
        <v>18</v>
      </c>
      <c r="C206" s="40" t="s">
        <v>19</v>
      </c>
      <c r="D206" s="43" t="s">
        <v>20</v>
      </c>
      <c r="E206" s="43" t="s">
        <v>21</v>
      </c>
      <c r="F206" s="43" t="s">
        <v>65</v>
      </c>
      <c r="G206" s="43" t="s">
        <v>66</v>
      </c>
      <c r="H206" s="43" t="s">
        <v>24</v>
      </c>
      <c r="I206" s="43" t="s">
        <v>239</v>
      </c>
      <c r="J206" s="43">
        <v>0.74715214646356376</v>
      </c>
      <c r="K206" s="43">
        <v>0.50823188242107997</v>
      </c>
      <c r="L206" s="43">
        <v>7.0163272976964564E-2</v>
      </c>
      <c r="M206" s="43">
        <v>5.1167347875439599</v>
      </c>
      <c r="N206" s="43">
        <v>12.511229700734585</v>
      </c>
      <c r="O206" s="43">
        <v>0.28025765135019109</v>
      </c>
      <c r="P206" s="43">
        <v>0.25149501478156189</v>
      </c>
      <c r="Q206" s="41" t="s">
        <v>26</v>
      </c>
    </row>
    <row r="207" spans="1:17" x14ac:dyDescent="0.25">
      <c r="A207" s="40" t="s">
        <v>17</v>
      </c>
      <c r="B207" s="43" t="s">
        <v>18</v>
      </c>
      <c r="C207" s="40" t="s">
        <v>19</v>
      </c>
      <c r="D207" s="43" t="s">
        <v>20</v>
      </c>
      <c r="E207" s="43" t="s">
        <v>21</v>
      </c>
      <c r="F207" s="43" t="s">
        <v>65</v>
      </c>
      <c r="G207" s="43" t="s">
        <v>66</v>
      </c>
      <c r="H207" s="43" t="s">
        <v>143</v>
      </c>
      <c r="I207" s="43" t="s">
        <v>243</v>
      </c>
      <c r="J207" s="43">
        <v>0.52428393284842145</v>
      </c>
      <c r="K207" s="43">
        <v>0.50049743075006004</v>
      </c>
      <c r="L207" s="43">
        <v>1.7655960320433279E-2</v>
      </c>
      <c r="M207" s="43">
        <v>2.2805615413892988</v>
      </c>
      <c r="N207" s="43">
        <v>0.13315536741660097</v>
      </c>
      <c r="O207" s="43">
        <v>0.15105654940815139</v>
      </c>
      <c r="P207" s="43">
        <v>4.5611230827785974E-2</v>
      </c>
      <c r="Q207" s="41" t="s">
        <v>26</v>
      </c>
    </row>
    <row r="208" spans="1:17" x14ac:dyDescent="0.25">
      <c r="A208" s="40" t="s">
        <v>17</v>
      </c>
      <c r="B208" s="43" t="s">
        <v>18</v>
      </c>
      <c r="C208" s="40" t="s">
        <v>19</v>
      </c>
      <c r="D208" s="43" t="s">
        <v>20</v>
      </c>
      <c r="E208" s="43" t="s">
        <v>21</v>
      </c>
      <c r="F208" s="43" t="s">
        <v>65</v>
      </c>
      <c r="G208" s="43" t="s">
        <v>66</v>
      </c>
      <c r="H208" s="40" t="s">
        <v>24</v>
      </c>
      <c r="I208" s="40" t="s">
        <v>238</v>
      </c>
      <c r="J208" s="43">
        <v>0.50721398670539131</v>
      </c>
      <c r="K208" s="43">
        <v>0.50721398670539131</v>
      </c>
      <c r="L208" s="43">
        <v>5.935637084053462E-2</v>
      </c>
      <c r="M208" s="43">
        <v>4.3493030184425621</v>
      </c>
      <c r="N208" s="43">
        <v>7.2110010787500176</v>
      </c>
      <c r="O208" s="43">
        <v>0.43367445078470862</v>
      </c>
      <c r="P208" s="43">
        <v>4.3878281243590177E-3</v>
      </c>
      <c r="Q208" s="41" t="s">
        <v>26</v>
      </c>
    </row>
    <row r="209" spans="1:17" x14ac:dyDescent="0.25">
      <c r="A209" s="40" t="s">
        <v>17</v>
      </c>
      <c r="B209" s="40" t="s">
        <v>18</v>
      </c>
      <c r="C209" s="40" t="s">
        <v>19</v>
      </c>
      <c r="D209" s="40" t="s">
        <v>20</v>
      </c>
      <c r="E209" s="40" t="s">
        <v>21</v>
      </c>
      <c r="F209" s="40" t="s">
        <v>65</v>
      </c>
      <c r="G209" s="40" t="s">
        <v>66</v>
      </c>
      <c r="H209" s="40" t="s">
        <v>153</v>
      </c>
      <c r="I209" s="40" t="s">
        <v>158</v>
      </c>
      <c r="J209" s="40">
        <v>0.35145681893998532</v>
      </c>
      <c r="K209" s="40">
        <v>0.32820353224263282</v>
      </c>
      <c r="L209" s="40">
        <v>0</v>
      </c>
      <c r="M209" s="40">
        <v>5.5807888073646064</v>
      </c>
      <c r="N209" s="40">
        <v>0.13287592398487155</v>
      </c>
      <c r="O209" s="40">
        <v>0.34614178198059053</v>
      </c>
      <c r="P209" s="40">
        <v>0</v>
      </c>
      <c r="Q209" s="41" t="s">
        <v>26</v>
      </c>
    </row>
    <row r="210" spans="1:17" x14ac:dyDescent="0.25">
      <c r="A210" s="40" t="s">
        <v>17</v>
      </c>
      <c r="B210" s="40" t="s">
        <v>18</v>
      </c>
      <c r="C210" s="40" t="s">
        <v>19</v>
      </c>
      <c r="D210" s="40" t="s">
        <v>20</v>
      </c>
      <c r="E210" s="40" t="s">
        <v>21</v>
      </c>
      <c r="F210" s="40" t="s">
        <v>65</v>
      </c>
      <c r="G210" s="40" t="s">
        <v>66</v>
      </c>
      <c r="H210" s="40" t="s">
        <v>24</v>
      </c>
      <c r="I210" s="40" t="s">
        <v>25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1" t="s">
        <v>26</v>
      </c>
    </row>
    <row r="211" spans="1:17" x14ac:dyDescent="0.25">
      <c r="A211" s="40" t="s">
        <v>17</v>
      </c>
      <c r="B211" s="40" t="s">
        <v>18</v>
      </c>
      <c r="C211" s="40" t="s">
        <v>19</v>
      </c>
      <c r="D211" s="40" t="s">
        <v>20</v>
      </c>
      <c r="E211" s="40" t="s">
        <v>21</v>
      </c>
      <c r="F211" s="40" t="s">
        <v>65</v>
      </c>
      <c r="G211" s="40" t="s">
        <v>66</v>
      </c>
      <c r="H211" s="40" t="s">
        <v>143</v>
      </c>
      <c r="I211" s="40" t="s">
        <v>147</v>
      </c>
      <c r="J211" s="40">
        <v>0</v>
      </c>
      <c r="K211" s="40">
        <v>0</v>
      </c>
      <c r="L211" s="40"/>
      <c r="M211" s="40"/>
      <c r="N211" s="40"/>
      <c r="O211" s="40"/>
      <c r="P211" s="40"/>
      <c r="Q211" s="41" t="s">
        <v>26</v>
      </c>
    </row>
    <row r="212" spans="1:17" x14ac:dyDescent="0.25">
      <c r="A212" s="40" t="s">
        <v>17</v>
      </c>
      <c r="B212" s="40" t="s">
        <v>18</v>
      </c>
      <c r="C212" s="40" t="s">
        <v>19</v>
      </c>
      <c r="D212" s="40" t="s">
        <v>20</v>
      </c>
      <c r="E212" s="40" t="s">
        <v>21</v>
      </c>
      <c r="F212" s="40" t="s">
        <v>65</v>
      </c>
      <c r="G212" s="40" t="s">
        <v>66</v>
      </c>
      <c r="H212" s="40" t="s">
        <v>149</v>
      </c>
      <c r="I212" s="40" t="s">
        <v>152</v>
      </c>
      <c r="J212" s="40">
        <v>0</v>
      </c>
      <c r="K212" s="40">
        <v>0</v>
      </c>
      <c r="L212" s="40">
        <v>0</v>
      </c>
      <c r="M212" s="40">
        <v>0</v>
      </c>
      <c r="N212" s="40"/>
      <c r="O212" s="40">
        <v>0</v>
      </c>
      <c r="P212" s="40"/>
      <c r="Q212" s="41" t="s">
        <v>26</v>
      </c>
    </row>
    <row r="213" spans="1:17" x14ac:dyDescent="0.25">
      <c r="A213" s="40" t="s">
        <v>17</v>
      </c>
      <c r="B213" s="40" t="s">
        <v>18</v>
      </c>
      <c r="C213" s="40" t="s">
        <v>19</v>
      </c>
      <c r="D213" s="40" t="s">
        <v>20</v>
      </c>
      <c r="E213" s="40" t="s">
        <v>21</v>
      </c>
      <c r="F213" s="40" t="s">
        <v>65</v>
      </c>
      <c r="G213" s="40" t="s">
        <v>66</v>
      </c>
      <c r="H213" s="40" t="s">
        <v>153</v>
      </c>
      <c r="I213" s="40" t="s">
        <v>156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1" t="s">
        <v>137</v>
      </c>
    </row>
    <row r="214" spans="1:17" x14ac:dyDescent="0.25">
      <c r="A214" s="40" t="s">
        <v>17</v>
      </c>
      <c r="B214" s="40" t="s">
        <v>18</v>
      </c>
      <c r="C214" s="40" t="s">
        <v>19</v>
      </c>
      <c r="D214" s="40" t="s">
        <v>20</v>
      </c>
      <c r="E214" s="40" t="s">
        <v>21</v>
      </c>
      <c r="F214" s="40" t="s">
        <v>65</v>
      </c>
      <c r="G214" s="40" t="s">
        <v>66</v>
      </c>
      <c r="H214" s="40" t="s">
        <v>153</v>
      </c>
      <c r="I214" s="40" t="s">
        <v>159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1" t="s">
        <v>26</v>
      </c>
    </row>
    <row r="215" spans="1:17" x14ac:dyDescent="0.25">
      <c r="A215" s="40" t="s">
        <v>17</v>
      </c>
      <c r="B215" s="40" t="s">
        <v>18</v>
      </c>
      <c r="C215" s="40" t="s">
        <v>19</v>
      </c>
      <c r="D215" s="40" t="s">
        <v>20</v>
      </c>
      <c r="E215" s="40" t="s">
        <v>21</v>
      </c>
      <c r="F215" s="40" t="s">
        <v>65</v>
      </c>
      <c r="G215" s="40" t="s">
        <v>66</v>
      </c>
      <c r="H215" s="40" t="s">
        <v>127</v>
      </c>
      <c r="I215" s="40" t="s">
        <v>128</v>
      </c>
      <c r="J215" s="40"/>
      <c r="K215" s="40"/>
      <c r="L215" s="40"/>
      <c r="M215" s="40"/>
      <c r="N215" s="40"/>
      <c r="O215" s="40">
        <v>1.0835973199079305</v>
      </c>
      <c r="P215" s="40"/>
      <c r="Q215" s="41" t="s">
        <v>26</v>
      </c>
    </row>
    <row r="216" spans="1:17" x14ac:dyDescent="0.25">
      <c r="A216" s="40" t="s">
        <v>17</v>
      </c>
      <c r="B216" s="40" t="s">
        <v>18</v>
      </c>
      <c r="C216" s="40" t="s">
        <v>19</v>
      </c>
      <c r="D216" s="40" t="s">
        <v>20</v>
      </c>
      <c r="E216" s="40" t="s">
        <v>21</v>
      </c>
      <c r="F216" s="40" t="s">
        <v>65</v>
      </c>
      <c r="G216" s="40" t="s">
        <v>66</v>
      </c>
      <c r="H216" s="40" t="s">
        <v>127</v>
      </c>
      <c r="I216" s="40" t="s">
        <v>129</v>
      </c>
      <c r="J216" s="40"/>
      <c r="K216" s="40"/>
      <c r="L216" s="40"/>
      <c r="M216" s="40"/>
      <c r="N216" s="40"/>
      <c r="O216" s="40">
        <v>0.80351462177762167</v>
      </c>
      <c r="P216" s="40"/>
      <c r="Q216" s="41" t="s">
        <v>26</v>
      </c>
    </row>
    <row r="217" spans="1:17" x14ac:dyDescent="0.25">
      <c r="A217" s="40" t="s">
        <v>17</v>
      </c>
      <c r="B217" s="40" t="s">
        <v>18</v>
      </c>
      <c r="C217" s="40" t="s">
        <v>19</v>
      </c>
      <c r="D217" s="40" t="s">
        <v>20</v>
      </c>
      <c r="E217" s="40" t="s">
        <v>21</v>
      </c>
      <c r="F217" s="40" t="s">
        <v>65</v>
      </c>
      <c r="G217" s="40" t="s">
        <v>66</v>
      </c>
      <c r="H217" s="40" t="s">
        <v>127</v>
      </c>
      <c r="I217" s="40" t="s">
        <v>130</v>
      </c>
      <c r="J217" s="40"/>
      <c r="K217" s="40"/>
      <c r="L217" s="40"/>
      <c r="M217" s="40"/>
      <c r="N217" s="40"/>
      <c r="O217" s="40">
        <v>889.76535623800646</v>
      </c>
      <c r="P217" s="40"/>
      <c r="Q217" s="41" t="s">
        <v>26</v>
      </c>
    </row>
    <row r="218" spans="1:17" x14ac:dyDescent="0.25">
      <c r="A218" s="40" t="s">
        <v>17</v>
      </c>
      <c r="B218" s="40" t="s">
        <v>18</v>
      </c>
      <c r="C218" s="40" t="s">
        <v>19</v>
      </c>
      <c r="D218" s="40" t="s">
        <v>20</v>
      </c>
      <c r="E218" s="40" t="s">
        <v>21</v>
      </c>
      <c r="F218" s="40" t="s">
        <v>65</v>
      </c>
      <c r="G218" s="40" t="s">
        <v>66</v>
      </c>
      <c r="H218" s="40" t="s">
        <v>127</v>
      </c>
      <c r="I218" s="40" t="s">
        <v>131</v>
      </c>
      <c r="J218" s="40"/>
      <c r="K218" s="40"/>
      <c r="L218" s="40"/>
      <c r="M218" s="40"/>
      <c r="N218" s="40"/>
      <c r="O218" s="40">
        <v>49.760901478925469</v>
      </c>
      <c r="P218" s="40"/>
      <c r="Q218" s="41" t="s">
        <v>26</v>
      </c>
    </row>
    <row r="219" spans="1:17" x14ac:dyDescent="0.25">
      <c r="A219" s="40" t="s">
        <v>17</v>
      </c>
      <c r="B219" s="40" t="s">
        <v>18</v>
      </c>
      <c r="C219" s="40" t="s">
        <v>19</v>
      </c>
      <c r="D219" s="40" t="s">
        <v>20</v>
      </c>
      <c r="E219" s="40" t="s">
        <v>21</v>
      </c>
      <c r="F219" s="40" t="s">
        <v>65</v>
      </c>
      <c r="G219" s="40" t="s">
        <v>66</v>
      </c>
      <c r="H219" s="40" t="s">
        <v>127</v>
      </c>
      <c r="I219" s="40" t="s">
        <v>132</v>
      </c>
      <c r="J219" s="40"/>
      <c r="K219" s="40"/>
      <c r="L219" s="40"/>
      <c r="M219" s="40"/>
      <c r="N219" s="40"/>
      <c r="O219" s="40">
        <v>477.39245718285918</v>
      </c>
      <c r="P219" s="40"/>
      <c r="Q219" s="41" t="s">
        <v>26</v>
      </c>
    </row>
    <row r="220" spans="1:17" x14ac:dyDescent="0.25">
      <c r="A220" s="40" t="s">
        <v>17</v>
      </c>
      <c r="B220" s="40" t="s">
        <v>18</v>
      </c>
      <c r="C220" s="40" t="s">
        <v>19</v>
      </c>
      <c r="D220" s="40" t="s">
        <v>20</v>
      </c>
      <c r="E220" s="40" t="s">
        <v>21</v>
      </c>
      <c r="F220" s="40" t="s">
        <v>65</v>
      </c>
      <c r="G220" s="40" t="s">
        <v>66</v>
      </c>
      <c r="H220" s="40" t="s">
        <v>127</v>
      </c>
      <c r="I220" s="40" t="s">
        <v>133</v>
      </c>
      <c r="J220" s="40"/>
      <c r="K220" s="40"/>
      <c r="L220" s="40"/>
      <c r="M220" s="40"/>
      <c r="N220" s="40"/>
      <c r="O220" s="40">
        <v>172.52713830481622</v>
      </c>
      <c r="P220" s="40"/>
      <c r="Q220" s="41" t="s">
        <v>26</v>
      </c>
    </row>
    <row r="221" spans="1:17" x14ac:dyDescent="0.25">
      <c r="A221" s="40" t="s">
        <v>17</v>
      </c>
      <c r="B221" s="40" t="s">
        <v>18</v>
      </c>
      <c r="C221" s="40" t="s">
        <v>19</v>
      </c>
      <c r="D221" s="40" t="s">
        <v>20</v>
      </c>
      <c r="E221" s="40" t="s">
        <v>21</v>
      </c>
      <c r="F221" s="40" t="s">
        <v>65</v>
      </c>
      <c r="G221" s="40" t="s">
        <v>66</v>
      </c>
      <c r="H221" s="40" t="s">
        <v>127</v>
      </c>
      <c r="I221" s="40" t="s">
        <v>134</v>
      </c>
      <c r="J221" s="40"/>
      <c r="K221" s="40"/>
      <c r="L221" s="40"/>
      <c r="M221" s="40"/>
      <c r="N221" s="40"/>
      <c r="O221" s="40">
        <v>1141.6658000000002</v>
      </c>
      <c r="P221" s="40"/>
      <c r="Q221" s="41" t="s">
        <v>26</v>
      </c>
    </row>
    <row r="222" spans="1:17" x14ac:dyDescent="0.25">
      <c r="A222" s="40" t="s">
        <v>17</v>
      </c>
      <c r="B222" s="40" t="s">
        <v>18</v>
      </c>
      <c r="C222" s="40" t="s">
        <v>19</v>
      </c>
      <c r="D222" s="40" t="s">
        <v>20</v>
      </c>
      <c r="E222" s="40" t="s">
        <v>21</v>
      </c>
      <c r="F222" s="40" t="s">
        <v>65</v>
      </c>
      <c r="G222" s="40" t="s">
        <v>66</v>
      </c>
      <c r="H222" s="40" t="s">
        <v>135</v>
      </c>
      <c r="I222" s="40" t="s">
        <v>136</v>
      </c>
      <c r="J222" s="40"/>
      <c r="K222" s="40"/>
      <c r="L222" s="40"/>
      <c r="M222" s="40"/>
      <c r="N222" s="40"/>
      <c r="O222" s="40">
        <v>1035.6526387981553</v>
      </c>
      <c r="P222" s="40"/>
      <c r="Q222" s="41" t="s">
        <v>137</v>
      </c>
    </row>
    <row r="223" spans="1:17" x14ac:dyDescent="0.25">
      <c r="A223" s="40" t="s">
        <v>17</v>
      </c>
      <c r="B223" s="40" t="s">
        <v>18</v>
      </c>
      <c r="C223" s="40" t="s">
        <v>19</v>
      </c>
      <c r="D223" s="40" t="s">
        <v>20</v>
      </c>
      <c r="E223" s="40" t="s">
        <v>21</v>
      </c>
      <c r="F223" s="40" t="s">
        <v>65</v>
      </c>
      <c r="G223" s="40" t="s">
        <v>66</v>
      </c>
      <c r="H223" s="40" t="s">
        <v>135</v>
      </c>
      <c r="I223" s="40" t="s">
        <v>138</v>
      </c>
      <c r="J223" s="40"/>
      <c r="K223" s="40"/>
      <c r="L223" s="40"/>
      <c r="M223" s="40"/>
      <c r="N223" s="40"/>
      <c r="O223" s="40">
        <v>144.08501000707108</v>
      </c>
      <c r="P223" s="40"/>
      <c r="Q223" s="41" t="s">
        <v>137</v>
      </c>
    </row>
    <row r="224" spans="1:17" x14ac:dyDescent="0.25">
      <c r="A224" s="40" t="s">
        <v>17</v>
      </c>
      <c r="B224" s="40" t="s">
        <v>18</v>
      </c>
      <c r="C224" s="40" t="s">
        <v>19</v>
      </c>
      <c r="D224" s="40" t="s">
        <v>20</v>
      </c>
      <c r="E224" s="40" t="s">
        <v>21</v>
      </c>
      <c r="F224" s="40" t="s">
        <v>65</v>
      </c>
      <c r="G224" s="40" t="s">
        <v>66</v>
      </c>
      <c r="H224" s="40" t="s">
        <v>139</v>
      </c>
      <c r="I224" s="40" t="s">
        <v>142</v>
      </c>
      <c r="J224" s="40"/>
      <c r="K224" s="40"/>
      <c r="L224" s="40"/>
      <c r="M224" s="40"/>
      <c r="N224" s="40"/>
      <c r="O224" s="40">
        <v>5.7422498920541036</v>
      </c>
      <c r="P224" s="40"/>
      <c r="Q224" s="41" t="s">
        <v>26</v>
      </c>
    </row>
    <row r="225" spans="1:17" x14ac:dyDescent="0.25">
      <c r="A225" s="40" t="s">
        <v>17</v>
      </c>
      <c r="B225" s="40" t="s">
        <v>18</v>
      </c>
      <c r="C225" s="40" t="s">
        <v>19</v>
      </c>
      <c r="D225" s="40" t="s">
        <v>20</v>
      </c>
      <c r="E225" s="40" t="s">
        <v>21</v>
      </c>
      <c r="F225" s="40" t="s">
        <v>65</v>
      </c>
      <c r="G225" s="40" t="s">
        <v>66</v>
      </c>
      <c r="H225" s="40" t="s">
        <v>143</v>
      </c>
      <c r="I225" s="40" t="s">
        <v>144</v>
      </c>
      <c r="J225" s="40"/>
      <c r="K225" s="40"/>
      <c r="L225" s="40"/>
      <c r="M225" s="40"/>
      <c r="N225" s="40"/>
      <c r="O225" s="40"/>
      <c r="P225" s="40">
        <v>0</v>
      </c>
      <c r="Q225" s="41" t="s">
        <v>26</v>
      </c>
    </row>
    <row r="226" spans="1:17" x14ac:dyDescent="0.25">
      <c r="A226" s="40" t="s">
        <v>17</v>
      </c>
      <c r="B226" s="40" t="s">
        <v>18</v>
      </c>
      <c r="C226" s="40" t="s">
        <v>19</v>
      </c>
      <c r="D226" s="40" t="s">
        <v>20</v>
      </c>
      <c r="E226" s="40" t="s">
        <v>21</v>
      </c>
      <c r="F226" s="40" t="s">
        <v>65</v>
      </c>
      <c r="G226" s="40" t="s">
        <v>66</v>
      </c>
      <c r="H226" s="40" t="s">
        <v>143</v>
      </c>
      <c r="I226" s="40" t="s">
        <v>145</v>
      </c>
      <c r="J226" s="40"/>
      <c r="K226" s="40"/>
      <c r="L226" s="40"/>
      <c r="M226" s="40"/>
      <c r="N226" s="40"/>
      <c r="O226" s="40">
        <v>8.0207736401593805E-3</v>
      </c>
      <c r="P226" s="40"/>
      <c r="Q226" s="41" t="s">
        <v>26</v>
      </c>
    </row>
    <row r="227" spans="1:17" x14ac:dyDescent="0.25">
      <c r="A227" s="40" t="s">
        <v>17</v>
      </c>
      <c r="B227" s="40" t="s">
        <v>18</v>
      </c>
      <c r="C227" s="40" t="s">
        <v>19</v>
      </c>
      <c r="D227" s="40" t="s">
        <v>20</v>
      </c>
      <c r="E227" s="40" t="s">
        <v>21</v>
      </c>
      <c r="F227" s="40" t="s">
        <v>65</v>
      </c>
      <c r="G227" s="40" t="s">
        <v>66</v>
      </c>
      <c r="H227" s="40" t="s">
        <v>143</v>
      </c>
      <c r="I227" s="40" t="s">
        <v>146</v>
      </c>
      <c r="J227" s="40"/>
      <c r="K227" s="40"/>
      <c r="L227" s="40"/>
      <c r="M227" s="40"/>
      <c r="N227" s="40"/>
      <c r="O227" s="40"/>
      <c r="P227" s="40">
        <v>18.009279999999997</v>
      </c>
      <c r="Q227" s="41" t="s">
        <v>26</v>
      </c>
    </row>
    <row r="228" spans="1:17" x14ac:dyDescent="0.25">
      <c r="A228" s="40" t="s">
        <v>17</v>
      </c>
      <c r="B228" s="40" t="s">
        <v>18</v>
      </c>
      <c r="C228" s="40" t="s">
        <v>19</v>
      </c>
      <c r="D228" s="40" t="s">
        <v>20</v>
      </c>
      <c r="E228" s="40" t="s">
        <v>21</v>
      </c>
      <c r="F228" s="40" t="s">
        <v>65</v>
      </c>
      <c r="G228" s="40" t="s">
        <v>66</v>
      </c>
      <c r="H228" s="40" t="s">
        <v>149</v>
      </c>
      <c r="I228" s="40" t="s">
        <v>150</v>
      </c>
      <c r="J228" s="40"/>
      <c r="K228" s="40"/>
      <c r="L228" s="40"/>
      <c r="M228" s="40"/>
      <c r="N228" s="40"/>
      <c r="O228" s="40">
        <v>1102.4772972142487</v>
      </c>
      <c r="P228" s="40"/>
      <c r="Q228" s="41" t="s">
        <v>26</v>
      </c>
    </row>
    <row r="229" spans="1:17" x14ac:dyDescent="0.25">
      <c r="A229" s="40" t="s">
        <v>17</v>
      </c>
      <c r="B229" s="40" t="s">
        <v>18</v>
      </c>
      <c r="C229" s="40" t="s">
        <v>19</v>
      </c>
      <c r="D229" s="40" t="s">
        <v>20</v>
      </c>
      <c r="E229" s="40" t="s">
        <v>21</v>
      </c>
      <c r="F229" s="40" t="s">
        <v>65</v>
      </c>
      <c r="G229" s="40" t="s">
        <v>66</v>
      </c>
      <c r="H229" s="40" t="s">
        <v>153</v>
      </c>
      <c r="I229" s="40" t="s">
        <v>155</v>
      </c>
      <c r="J229" s="40"/>
      <c r="K229" s="40"/>
      <c r="L229" s="40"/>
      <c r="M229" s="40"/>
      <c r="N229" s="40"/>
      <c r="O229" s="40"/>
      <c r="P229" s="40">
        <v>444.97796391104504</v>
      </c>
      <c r="Q229" s="41" t="s">
        <v>26</v>
      </c>
    </row>
    <row r="230" spans="1:17" x14ac:dyDescent="0.25">
      <c r="A230" s="40" t="s">
        <v>17</v>
      </c>
      <c r="B230" s="40" t="s">
        <v>18</v>
      </c>
      <c r="C230" s="40" t="s">
        <v>19</v>
      </c>
      <c r="D230" s="40" t="s">
        <v>20</v>
      </c>
      <c r="E230" s="40" t="s">
        <v>21</v>
      </c>
      <c r="F230" s="40" t="s">
        <v>65</v>
      </c>
      <c r="G230" s="40" t="s">
        <v>66</v>
      </c>
      <c r="H230" s="40" t="s">
        <v>153</v>
      </c>
      <c r="I230" s="40" t="s">
        <v>157</v>
      </c>
      <c r="J230" s="40"/>
      <c r="K230" s="40"/>
      <c r="L230" s="40"/>
      <c r="M230" s="40"/>
      <c r="N230" s="40"/>
      <c r="O230" s="40">
        <v>0</v>
      </c>
      <c r="P230" s="40"/>
      <c r="Q230" s="41" t="s">
        <v>26</v>
      </c>
    </row>
    <row r="231" spans="1:17" x14ac:dyDescent="0.25">
      <c r="A231" s="40" t="s">
        <v>17</v>
      </c>
      <c r="B231" s="43" t="s">
        <v>18</v>
      </c>
      <c r="C231" s="40" t="s">
        <v>19</v>
      </c>
      <c r="D231" s="43" t="s">
        <v>20</v>
      </c>
      <c r="E231" s="43" t="s">
        <v>21</v>
      </c>
      <c r="F231" s="43" t="s">
        <v>65</v>
      </c>
      <c r="G231" s="43" t="s">
        <v>66</v>
      </c>
      <c r="H231" s="43" t="s">
        <v>240</v>
      </c>
      <c r="I231" s="43" t="s">
        <v>241</v>
      </c>
      <c r="J231" s="43"/>
      <c r="K231" s="43"/>
      <c r="L231" s="43"/>
      <c r="M231" s="43"/>
      <c r="N231" s="43"/>
      <c r="O231" s="43">
        <v>73.118555412858839</v>
      </c>
      <c r="P231" s="43"/>
      <c r="Q231" s="41" t="s">
        <v>26</v>
      </c>
    </row>
    <row r="232" spans="1:17" x14ac:dyDescent="0.25">
      <c r="A232" s="40" t="s">
        <v>17</v>
      </c>
      <c r="B232" s="43" t="s">
        <v>18</v>
      </c>
      <c r="C232" s="40" t="s">
        <v>19</v>
      </c>
      <c r="D232" s="43" t="s">
        <v>20</v>
      </c>
      <c r="E232" s="43" t="s">
        <v>21</v>
      </c>
      <c r="F232" s="43" t="s">
        <v>65</v>
      </c>
      <c r="G232" s="43" t="s">
        <v>66</v>
      </c>
      <c r="H232" s="43" t="s">
        <v>240</v>
      </c>
      <c r="I232" s="43" t="s">
        <v>242</v>
      </c>
      <c r="J232" s="43"/>
      <c r="K232" s="43"/>
      <c r="L232" s="43"/>
      <c r="M232" s="43"/>
      <c r="N232" s="43"/>
      <c r="O232" s="43">
        <v>1.9515500573061964</v>
      </c>
      <c r="P232" s="43"/>
      <c r="Q232" s="41" t="s">
        <v>26</v>
      </c>
    </row>
    <row r="233" spans="1:17" x14ac:dyDescent="0.25">
      <c r="A233" s="40" t="s">
        <v>17</v>
      </c>
      <c r="B233" s="40" t="s">
        <v>18</v>
      </c>
      <c r="C233" s="40" t="s">
        <v>19</v>
      </c>
      <c r="D233" s="40" t="s">
        <v>20</v>
      </c>
      <c r="E233" s="40" t="s">
        <v>21</v>
      </c>
      <c r="F233" s="40" t="s">
        <v>73</v>
      </c>
      <c r="G233" s="40" t="s">
        <v>74</v>
      </c>
      <c r="H233" s="40" t="s">
        <v>139</v>
      </c>
      <c r="I233" s="40" t="s">
        <v>141</v>
      </c>
      <c r="J233" s="40">
        <v>6.6589555500000008</v>
      </c>
      <c r="K233" s="40">
        <v>5.3145124244550015</v>
      </c>
      <c r="L233" s="40">
        <v>0</v>
      </c>
      <c r="M233" s="40">
        <v>13.257110129999996</v>
      </c>
      <c r="N233" s="40">
        <v>0.24403677000000004</v>
      </c>
      <c r="O233" s="40">
        <v>0.85537802999999979</v>
      </c>
      <c r="P233" s="40">
        <v>0</v>
      </c>
      <c r="Q233" s="41" t="s">
        <v>26</v>
      </c>
    </row>
    <row r="234" spans="1:17" x14ac:dyDescent="0.25">
      <c r="A234" s="40" t="s">
        <v>17</v>
      </c>
      <c r="B234" s="40" t="s">
        <v>18</v>
      </c>
      <c r="C234" s="40" t="s">
        <v>19</v>
      </c>
      <c r="D234" s="40" t="s">
        <v>20</v>
      </c>
      <c r="E234" s="40" t="s">
        <v>21</v>
      </c>
      <c r="F234" s="40" t="s">
        <v>73</v>
      </c>
      <c r="G234" s="40" t="s">
        <v>74</v>
      </c>
      <c r="H234" s="40" t="s">
        <v>24</v>
      </c>
      <c r="I234" s="40" t="s">
        <v>126</v>
      </c>
      <c r="J234" s="40">
        <v>4.7628228938447394</v>
      </c>
      <c r="K234" s="40">
        <v>4.6051531721363519</v>
      </c>
      <c r="L234" s="40">
        <v>0.1797905354938458</v>
      </c>
      <c r="M234" s="40">
        <v>40.156290806546046</v>
      </c>
      <c r="N234" s="40">
        <v>8.3565023530144362</v>
      </c>
      <c r="O234" s="40">
        <v>16.32798672061352</v>
      </c>
      <c r="P234" s="40">
        <v>0.27631538479318862</v>
      </c>
      <c r="Q234" s="41" t="s">
        <v>26</v>
      </c>
    </row>
    <row r="235" spans="1:17" x14ac:dyDescent="0.25">
      <c r="A235" s="40" t="s">
        <v>17</v>
      </c>
      <c r="B235" s="40" t="s">
        <v>18</v>
      </c>
      <c r="C235" s="40" t="s">
        <v>19</v>
      </c>
      <c r="D235" s="40" t="s">
        <v>20</v>
      </c>
      <c r="E235" s="40" t="s">
        <v>21</v>
      </c>
      <c r="F235" s="40" t="s">
        <v>73</v>
      </c>
      <c r="G235" s="40" t="s">
        <v>74</v>
      </c>
      <c r="H235" s="40" t="s">
        <v>153</v>
      </c>
      <c r="I235" s="40" t="s">
        <v>154</v>
      </c>
      <c r="J235" s="40">
        <v>2.5302243485832356</v>
      </c>
      <c r="K235" s="40">
        <v>0.39232369154741237</v>
      </c>
      <c r="L235" s="40"/>
      <c r="M235" s="40"/>
      <c r="N235" s="40"/>
      <c r="O235" s="40"/>
      <c r="P235" s="40"/>
      <c r="Q235" s="41" t="s">
        <v>26</v>
      </c>
    </row>
    <row r="236" spans="1:17" x14ac:dyDescent="0.25">
      <c r="A236" s="40" t="s">
        <v>17</v>
      </c>
      <c r="B236" s="40" t="s">
        <v>18</v>
      </c>
      <c r="C236" s="40" t="s">
        <v>19</v>
      </c>
      <c r="D236" s="40" t="s">
        <v>20</v>
      </c>
      <c r="E236" s="40" t="s">
        <v>21</v>
      </c>
      <c r="F236" s="40" t="s">
        <v>73</v>
      </c>
      <c r="G236" s="40" t="s">
        <v>74</v>
      </c>
      <c r="H236" s="40" t="s">
        <v>143</v>
      </c>
      <c r="I236" s="40" t="s">
        <v>147</v>
      </c>
      <c r="J236" s="40">
        <v>2.4502296000000001</v>
      </c>
      <c r="K236" s="40">
        <v>0.27981622032000003</v>
      </c>
      <c r="L236" s="40"/>
      <c r="M236" s="40"/>
      <c r="N236" s="40"/>
      <c r="O236" s="40"/>
      <c r="P236" s="40"/>
      <c r="Q236" s="41" t="s">
        <v>26</v>
      </c>
    </row>
    <row r="237" spans="1:17" x14ac:dyDescent="0.25">
      <c r="A237" s="40" t="s">
        <v>17</v>
      </c>
      <c r="B237" s="40" t="s">
        <v>18</v>
      </c>
      <c r="C237" s="40" t="s">
        <v>19</v>
      </c>
      <c r="D237" s="40" t="s">
        <v>20</v>
      </c>
      <c r="E237" s="40" t="s">
        <v>21</v>
      </c>
      <c r="F237" s="40" t="s">
        <v>73</v>
      </c>
      <c r="G237" s="40" t="s">
        <v>74</v>
      </c>
      <c r="H237" s="40" t="s">
        <v>149</v>
      </c>
      <c r="I237" s="40" t="s">
        <v>151</v>
      </c>
      <c r="J237" s="40">
        <v>1.0978021993692118</v>
      </c>
      <c r="K237" s="40">
        <v>1.0053556983696994</v>
      </c>
      <c r="L237" s="40">
        <v>2.8889531562347685E-2</v>
      </c>
      <c r="M237" s="40">
        <v>2.4556101827995533</v>
      </c>
      <c r="N237" s="40">
        <v>0.1733371893740861</v>
      </c>
      <c r="O237" s="40">
        <v>0.24717883204744676</v>
      </c>
      <c r="P237" s="40"/>
      <c r="Q237" s="41" t="s">
        <v>26</v>
      </c>
    </row>
    <row r="238" spans="1:17" x14ac:dyDescent="0.25">
      <c r="A238" s="40" t="s">
        <v>17</v>
      </c>
      <c r="B238" s="40" t="s">
        <v>18</v>
      </c>
      <c r="C238" s="40" t="s">
        <v>19</v>
      </c>
      <c r="D238" s="40" t="s">
        <v>20</v>
      </c>
      <c r="E238" s="40" t="s">
        <v>21</v>
      </c>
      <c r="F238" s="40" t="s">
        <v>73</v>
      </c>
      <c r="G238" s="40" t="s">
        <v>74</v>
      </c>
      <c r="H238" s="40" t="s">
        <v>143</v>
      </c>
      <c r="I238" s="40" t="s">
        <v>148</v>
      </c>
      <c r="J238" s="40">
        <v>0.84174660111687671</v>
      </c>
      <c r="K238" s="40">
        <v>0.18661522146761156</v>
      </c>
      <c r="L238" s="40"/>
      <c r="M238" s="40"/>
      <c r="N238" s="40"/>
      <c r="O238" s="40"/>
      <c r="P238" s="40"/>
      <c r="Q238" s="41" t="s">
        <v>26</v>
      </c>
    </row>
    <row r="239" spans="1:17" x14ac:dyDescent="0.25">
      <c r="A239" s="40" t="s">
        <v>17</v>
      </c>
      <c r="B239" s="43" t="s">
        <v>18</v>
      </c>
      <c r="C239" s="40" t="s">
        <v>19</v>
      </c>
      <c r="D239" s="43" t="s">
        <v>20</v>
      </c>
      <c r="E239" s="43" t="s">
        <v>21</v>
      </c>
      <c r="F239" s="43" t="s">
        <v>73</v>
      </c>
      <c r="G239" s="43" t="s">
        <v>74</v>
      </c>
      <c r="H239" s="43" t="s">
        <v>24</v>
      </c>
      <c r="I239" s="43" t="s">
        <v>239</v>
      </c>
      <c r="J239" s="43">
        <v>0.29519979715353295</v>
      </c>
      <c r="K239" s="43">
        <v>0.20080240591931098</v>
      </c>
      <c r="L239" s="43">
        <v>2.7721507658732221E-2</v>
      </c>
      <c r="M239" s="43">
        <v>2.0216218055729867</v>
      </c>
      <c r="N239" s="43">
        <v>4.9431865882730452</v>
      </c>
      <c r="O239" s="43">
        <v>0.11072979207901741</v>
      </c>
      <c r="P239" s="43">
        <v>9.9365674983391564E-2</v>
      </c>
      <c r="Q239" s="41" t="s">
        <v>26</v>
      </c>
    </row>
    <row r="240" spans="1:17" x14ac:dyDescent="0.25">
      <c r="A240" s="40" t="s">
        <v>17</v>
      </c>
      <c r="B240" s="43" t="s">
        <v>18</v>
      </c>
      <c r="C240" s="40" t="s">
        <v>19</v>
      </c>
      <c r="D240" s="43" t="s">
        <v>20</v>
      </c>
      <c r="E240" s="43" t="s">
        <v>21</v>
      </c>
      <c r="F240" s="43" t="s">
        <v>73</v>
      </c>
      <c r="G240" s="43" t="s">
        <v>74</v>
      </c>
      <c r="H240" s="40" t="s">
        <v>24</v>
      </c>
      <c r="I240" s="40" t="s">
        <v>238</v>
      </c>
      <c r="J240" s="43">
        <v>8.1464973467862384E-2</v>
      </c>
      <c r="K240" s="43">
        <v>8.1464973467862384E-2</v>
      </c>
      <c r="L240" s="43">
        <v>9.5333829555480521E-3</v>
      </c>
      <c r="M240" s="43">
        <v>0.6985530058084084</v>
      </c>
      <c r="N240" s="43">
        <v>1.1581778636918911</v>
      </c>
      <c r="O240" s="43">
        <v>6.9653595036578975E-2</v>
      </c>
      <c r="P240" s="43">
        <v>7.0474062447349389E-4</v>
      </c>
      <c r="Q240" s="41" t="s">
        <v>26</v>
      </c>
    </row>
    <row r="241" spans="1:17" x14ac:dyDescent="0.25">
      <c r="A241" s="40" t="s">
        <v>17</v>
      </c>
      <c r="B241" s="43" t="s">
        <v>18</v>
      </c>
      <c r="C241" s="40" t="s">
        <v>19</v>
      </c>
      <c r="D241" s="43" t="s">
        <v>20</v>
      </c>
      <c r="E241" s="43" t="s">
        <v>21</v>
      </c>
      <c r="F241" s="43" t="s">
        <v>73</v>
      </c>
      <c r="G241" s="43" t="s">
        <v>74</v>
      </c>
      <c r="H241" s="43" t="s">
        <v>143</v>
      </c>
      <c r="I241" s="43" t="s">
        <v>243</v>
      </c>
      <c r="J241" s="43">
        <v>7.6352029055595377E-2</v>
      </c>
      <c r="K241" s="43">
        <v>7.2887975351950504E-2</v>
      </c>
      <c r="L241" s="43">
        <v>2.5712563573446522E-3</v>
      </c>
      <c r="M241" s="43">
        <v>0.33212061282368427</v>
      </c>
      <c r="N241" s="43">
        <v>1.9391558361640922E-2</v>
      </c>
      <c r="O241" s="43">
        <v>2.199852661283758E-2</v>
      </c>
      <c r="P241" s="43">
        <v>6.6424122564736864E-3</v>
      </c>
      <c r="Q241" s="41" t="s">
        <v>26</v>
      </c>
    </row>
    <row r="242" spans="1:17" x14ac:dyDescent="0.25">
      <c r="A242" s="40" t="s">
        <v>17</v>
      </c>
      <c r="B242" s="40" t="s">
        <v>18</v>
      </c>
      <c r="C242" s="40" t="s">
        <v>19</v>
      </c>
      <c r="D242" s="40" t="s">
        <v>20</v>
      </c>
      <c r="E242" s="40" t="s">
        <v>21</v>
      </c>
      <c r="F242" s="40" t="s">
        <v>73</v>
      </c>
      <c r="G242" s="40" t="s">
        <v>74</v>
      </c>
      <c r="H242" s="40" t="s">
        <v>153</v>
      </c>
      <c r="I242" s="40" t="s">
        <v>158</v>
      </c>
      <c r="J242" s="40">
        <v>5.6539412620385143E-2</v>
      </c>
      <c r="K242" s="40">
        <v>5.2798619724896523E-2</v>
      </c>
      <c r="L242" s="40">
        <v>0</v>
      </c>
      <c r="M242" s="40">
        <v>0.89779029491726869</v>
      </c>
      <c r="N242" s="40">
        <v>2.1375959402792116E-2</v>
      </c>
      <c r="O242" s="40">
        <v>5.5684374244273457E-2</v>
      </c>
      <c r="P242" s="40">
        <v>0</v>
      </c>
      <c r="Q242" s="41" t="s">
        <v>26</v>
      </c>
    </row>
    <row r="243" spans="1:17" x14ac:dyDescent="0.25">
      <c r="A243" s="40" t="s">
        <v>17</v>
      </c>
      <c r="B243" s="40" t="s">
        <v>18</v>
      </c>
      <c r="C243" s="40" t="s">
        <v>19</v>
      </c>
      <c r="D243" s="40" t="s">
        <v>20</v>
      </c>
      <c r="E243" s="40" t="s">
        <v>21</v>
      </c>
      <c r="F243" s="40" t="s">
        <v>73</v>
      </c>
      <c r="G243" s="40" t="s">
        <v>74</v>
      </c>
      <c r="H243" s="40" t="s">
        <v>24</v>
      </c>
      <c r="I243" s="40" t="s">
        <v>25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1" t="s">
        <v>26</v>
      </c>
    </row>
    <row r="244" spans="1:17" x14ac:dyDescent="0.25">
      <c r="A244" s="40" t="s">
        <v>17</v>
      </c>
      <c r="B244" s="40" t="s">
        <v>18</v>
      </c>
      <c r="C244" s="40" t="s">
        <v>19</v>
      </c>
      <c r="D244" s="40" t="s">
        <v>20</v>
      </c>
      <c r="E244" s="40" t="s">
        <v>21</v>
      </c>
      <c r="F244" s="40" t="s">
        <v>73</v>
      </c>
      <c r="G244" s="40" t="s">
        <v>74</v>
      </c>
      <c r="H244" s="40" t="s">
        <v>139</v>
      </c>
      <c r="I244" s="40" t="s">
        <v>140</v>
      </c>
      <c r="J244" s="40">
        <v>0</v>
      </c>
      <c r="K244" s="40">
        <v>0</v>
      </c>
      <c r="L244" s="40"/>
      <c r="M244" s="40"/>
      <c r="N244" s="40"/>
      <c r="O244" s="40"/>
      <c r="P244" s="40"/>
      <c r="Q244" s="41" t="s">
        <v>26</v>
      </c>
    </row>
    <row r="245" spans="1:17" x14ac:dyDescent="0.25">
      <c r="A245" s="40" t="s">
        <v>17</v>
      </c>
      <c r="B245" s="40" t="s">
        <v>18</v>
      </c>
      <c r="C245" s="40" t="s">
        <v>19</v>
      </c>
      <c r="D245" s="40" t="s">
        <v>20</v>
      </c>
      <c r="E245" s="40" t="s">
        <v>21</v>
      </c>
      <c r="F245" s="40" t="s">
        <v>73</v>
      </c>
      <c r="G245" s="40" t="s">
        <v>74</v>
      </c>
      <c r="H245" s="40" t="s">
        <v>149</v>
      </c>
      <c r="I245" s="40" t="s">
        <v>152</v>
      </c>
      <c r="J245" s="40">
        <v>0</v>
      </c>
      <c r="K245" s="40">
        <v>0</v>
      </c>
      <c r="L245" s="40">
        <v>0</v>
      </c>
      <c r="M245" s="40">
        <v>0.30625290333259203</v>
      </c>
      <c r="N245" s="40"/>
      <c r="O245" s="40">
        <v>16.238880433582882</v>
      </c>
      <c r="P245" s="40"/>
      <c r="Q245" s="41" t="s">
        <v>26</v>
      </c>
    </row>
    <row r="246" spans="1:17" x14ac:dyDescent="0.25">
      <c r="A246" s="40" t="s">
        <v>17</v>
      </c>
      <c r="B246" s="40" t="s">
        <v>18</v>
      </c>
      <c r="C246" s="40" t="s">
        <v>19</v>
      </c>
      <c r="D246" s="40" t="s">
        <v>20</v>
      </c>
      <c r="E246" s="40" t="s">
        <v>21</v>
      </c>
      <c r="F246" s="40" t="s">
        <v>73</v>
      </c>
      <c r="G246" s="40" t="s">
        <v>74</v>
      </c>
      <c r="H246" s="40" t="s">
        <v>153</v>
      </c>
      <c r="I246" s="40" t="s">
        <v>156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1" t="s">
        <v>137</v>
      </c>
    </row>
    <row r="247" spans="1:17" x14ac:dyDescent="0.25">
      <c r="A247" s="40" t="s">
        <v>17</v>
      </c>
      <c r="B247" s="40" t="s">
        <v>18</v>
      </c>
      <c r="C247" s="40" t="s">
        <v>19</v>
      </c>
      <c r="D247" s="40" t="s">
        <v>20</v>
      </c>
      <c r="E247" s="40" t="s">
        <v>21</v>
      </c>
      <c r="F247" s="40" t="s">
        <v>73</v>
      </c>
      <c r="G247" s="40" t="s">
        <v>74</v>
      </c>
      <c r="H247" s="40" t="s">
        <v>153</v>
      </c>
      <c r="I247" s="40" t="s">
        <v>159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1" t="s">
        <v>26</v>
      </c>
    </row>
    <row r="248" spans="1:17" x14ac:dyDescent="0.25">
      <c r="A248" s="40" t="s">
        <v>17</v>
      </c>
      <c r="B248" s="40" t="s">
        <v>18</v>
      </c>
      <c r="C248" s="40" t="s">
        <v>19</v>
      </c>
      <c r="D248" s="40" t="s">
        <v>20</v>
      </c>
      <c r="E248" s="40" t="s">
        <v>21</v>
      </c>
      <c r="F248" s="40" t="s">
        <v>73</v>
      </c>
      <c r="G248" s="40" t="s">
        <v>74</v>
      </c>
      <c r="H248" s="40" t="s">
        <v>127</v>
      </c>
      <c r="I248" s="40" t="s">
        <v>128</v>
      </c>
      <c r="J248" s="40"/>
      <c r="K248" s="40"/>
      <c r="L248" s="40"/>
      <c r="M248" s="40"/>
      <c r="N248" s="40"/>
      <c r="O248" s="40">
        <v>0.40666342544906858</v>
      </c>
      <c r="P248" s="40"/>
      <c r="Q248" s="41" t="s">
        <v>26</v>
      </c>
    </row>
    <row r="249" spans="1:17" x14ac:dyDescent="0.25">
      <c r="A249" s="40" t="s">
        <v>17</v>
      </c>
      <c r="B249" s="40" t="s">
        <v>18</v>
      </c>
      <c r="C249" s="40" t="s">
        <v>19</v>
      </c>
      <c r="D249" s="40" t="s">
        <v>20</v>
      </c>
      <c r="E249" s="40" t="s">
        <v>21</v>
      </c>
      <c r="F249" s="40" t="s">
        <v>73</v>
      </c>
      <c r="G249" s="40" t="s">
        <v>74</v>
      </c>
      <c r="H249" s="40" t="s">
        <v>127</v>
      </c>
      <c r="I249" s="40" t="s">
        <v>129</v>
      </c>
      <c r="J249" s="40"/>
      <c r="K249" s="40"/>
      <c r="L249" s="40"/>
      <c r="M249" s="40"/>
      <c r="N249" s="40"/>
      <c r="O249" s="40">
        <v>0.13607908917201664</v>
      </c>
      <c r="P249" s="40"/>
      <c r="Q249" s="41" t="s">
        <v>26</v>
      </c>
    </row>
    <row r="250" spans="1:17" x14ac:dyDescent="0.25">
      <c r="A250" s="40" t="s">
        <v>17</v>
      </c>
      <c r="B250" s="40" t="s">
        <v>18</v>
      </c>
      <c r="C250" s="40" t="s">
        <v>19</v>
      </c>
      <c r="D250" s="40" t="s">
        <v>20</v>
      </c>
      <c r="E250" s="40" t="s">
        <v>21</v>
      </c>
      <c r="F250" s="40" t="s">
        <v>73</v>
      </c>
      <c r="G250" s="40" t="s">
        <v>74</v>
      </c>
      <c r="H250" s="40" t="s">
        <v>127</v>
      </c>
      <c r="I250" s="40" t="s">
        <v>130</v>
      </c>
      <c r="J250" s="40"/>
      <c r="K250" s="40"/>
      <c r="L250" s="40"/>
      <c r="M250" s="40"/>
      <c r="N250" s="40"/>
      <c r="O250" s="40">
        <v>432.18404337830594</v>
      </c>
      <c r="P250" s="40"/>
      <c r="Q250" s="41" t="s">
        <v>26</v>
      </c>
    </row>
    <row r="251" spans="1:17" x14ac:dyDescent="0.25">
      <c r="A251" s="40" t="s">
        <v>17</v>
      </c>
      <c r="B251" s="40" t="s">
        <v>18</v>
      </c>
      <c r="C251" s="40" t="s">
        <v>19</v>
      </c>
      <c r="D251" s="40" t="s">
        <v>20</v>
      </c>
      <c r="E251" s="40" t="s">
        <v>21</v>
      </c>
      <c r="F251" s="40" t="s">
        <v>73</v>
      </c>
      <c r="G251" s="40" t="s">
        <v>74</v>
      </c>
      <c r="H251" s="40" t="s">
        <v>127</v>
      </c>
      <c r="I251" s="40" t="s">
        <v>131</v>
      </c>
      <c r="J251" s="40"/>
      <c r="K251" s="40"/>
      <c r="L251" s="40"/>
      <c r="M251" s="40"/>
      <c r="N251" s="40"/>
      <c r="O251" s="40">
        <v>2.3325422568246319</v>
      </c>
      <c r="P251" s="40"/>
      <c r="Q251" s="41" t="s">
        <v>26</v>
      </c>
    </row>
    <row r="252" spans="1:17" x14ac:dyDescent="0.25">
      <c r="A252" s="40" t="s">
        <v>17</v>
      </c>
      <c r="B252" s="40" t="s">
        <v>18</v>
      </c>
      <c r="C252" s="40" t="s">
        <v>19</v>
      </c>
      <c r="D252" s="40" t="s">
        <v>20</v>
      </c>
      <c r="E252" s="40" t="s">
        <v>21</v>
      </c>
      <c r="F252" s="40" t="s">
        <v>73</v>
      </c>
      <c r="G252" s="40" t="s">
        <v>74</v>
      </c>
      <c r="H252" s="40" t="s">
        <v>127</v>
      </c>
      <c r="I252" s="40" t="s">
        <v>132</v>
      </c>
      <c r="J252" s="40"/>
      <c r="K252" s="40"/>
      <c r="L252" s="40"/>
      <c r="M252" s="40"/>
      <c r="N252" s="40"/>
      <c r="O252" s="40">
        <v>89.490010830256935</v>
      </c>
      <c r="P252" s="40"/>
      <c r="Q252" s="41" t="s">
        <v>26</v>
      </c>
    </row>
    <row r="253" spans="1:17" x14ac:dyDescent="0.25">
      <c r="A253" s="40" t="s">
        <v>17</v>
      </c>
      <c r="B253" s="40" t="s">
        <v>18</v>
      </c>
      <c r="C253" s="40" t="s">
        <v>19</v>
      </c>
      <c r="D253" s="40" t="s">
        <v>20</v>
      </c>
      <c r="E253" s="40" t="s">
        <v>21</v>
      </c>
      <c r="F253" s="40" t="s">
        <v>73</v>
      </c>
      <c r="G253" s="40" t="s">
        <v>74</v>
      </c>
      <c r="H253" s="40" t="s">
        <v>127</v>
      </c>
      <c r="I253" s="40" t="s">
        <v>133</v>
      </c>
      <c r="J253" s="40"/>
      <c r="K253" s="40"/>
      <c r="L253" s="40"/>
      <c r="M253" s="40"/>
      <c r="N253" s="40"/>
      <c r="O253" s="40">
        <v>151.94578911947875</v>
      </c>
      <c r="P253" s="40"/>
      <c r="Q253" s="41" t="s">
        <v>26</v>
      </c>
    </row>
    <row r="254" spans="1:17" x14ac:dyDescent="0.25">
      <c r="A254" s="40" t="s">
        <v>17</v>
      </c>
      <c r="B254" s="40" t="s">
        <v>18</v>
      </c>
      <c r="C254" s="40" t="s">
        <v>19</v>
      </c>
      <c r="D254" s="40" t="s">
        <v>20</v>
      </c>
      <c r="E254" s="40" t="s">
        <v>21</v>
      </c>
      <c r="F254" s="40" t="s">
        <v>73</v>
      </c>
      <c r="G254" s="40" t="s">
        <v>74</v>
      </c>
      <c r="H254" s="40" t="s">
        <v>127</v>
      </c>
      <c r="I254" s="40" t="s">
        <v>134</v>
      </c>
      <c r="J254" s="40"/>
      <c r="K254" s="40"/>
      <c r="L254" s="40"/>
      <c r="M254" s="40"/>
      <c r="N254" s="40"/>
      <c r="O254" s="40">
        <v>214.07920000000001</v>
      </c>
      <c r="P254" s="40"/>
      <c r="Q254" s="41" t="s">
        <v>26</v>
      </c>
    </row>
    <row r="255" spans="1:17" x14ac:dyDescent="0.25">
      <c r="A255" s="40" t="s">
        <v>17</v>
      </c>
      <c r="B255" s="40" t="s">
        <v>18</v>
      </c>
      <c r="C255" s="40" t="s">
        <v>19</v>
      </c>
      <c r="D255" s="40" t="s">
        <v>20</v>
      </c>
      <c r="E255" s="40" t="s">
        <v>21</v>
      </c>
      <c r="F255" s="40" t="s">
        <v>73</v>
      </c>
      <c r="G255" s="40" t="s">
        <v>74</v>
      </c>
      <c r="H255" s="40" t="s">
        <v>135</v>
      </c>
      <c r="I255" s="40" t="s">
        <v>136</v>
      </c>
      <c r="J255" s="40"/>
      <c r="K255" s="40"/>
      <c r="L255" s="40"/>
      <c r="M255" s="40"/>
      <c r="N255" s="40"/>
      <c r="O255" s="40">
        <v>483.69793642802688</v>
      </c>
      <c r="P255" s="40"/>
      <c r="Q255" s="41" t="s">
        <v>137</v>
      </c>
    </row>
    <row r="256" spans="1:17" x14ac:dyDescent="0.25">
      <c r="A256" s="40" t="s">
        <v>17</v>
      </c>
      <c r="B256" s="40" t="s">
        <v>18</v>
      </c>
      <c r="C256" s="40" t="s">
        <v>19</v>
      </c>
      <c r="D256" s="40" t="s">
        <v>20</v>
      </c>
      <c r="E256" s="40" t="s">
        <v>21</v>
      </c>
      <c r="F256" s="40" t="s">
        <v>73</v>
      </c>
      <c r="G256" s="40" t="s">
        <v>74</v>
      </c>
      <c r="H256" s="40" t="s">
        <v>135</v>
      </c>
      <c r="I256" s="40" t="s">
        <v>138</v>
      </c>
      <c r="J256" s="40"/>
      <c r="K256" s="40"/>
      <c r="L256" s="40"/>
      <c r="M256" s="40"/>
      <c r="N256" s="40"/>
      <c r="O256" s="40">
        <v>9.2965823737843571</v>
      </c>
      <c r="P256" s="40"/>
      <c r="Q256" s="41" t="s">
        <v>137</v>
      </c>
    </row>
    <row r="257" spans="1:17" x14ac:dyDescent="0.25">
      <c r="A257" s="40" t="s">
        <v>17</v>
      </c>
      <c r="B257" s="40" t="s">
        <v>18</v>
      </c>
      <c r="C257" s="40" t="s">
        <v>19</v>
      </c>
      <c r="D257" s="40" t="s">
        <v>20</v>
      </c>
      <c r="E257" s="40" t="s">
        <v>21</v>
      </c>
      <c r="F257" s="40" t="s">
        <v>73</v>
      </c>
      <c r="G257" s="40" t="s">
        <v>74</v>
      </c>
      <c r="H257" s="40" t="s">
        <v>139</v>
      </c>
      <c r="I257" s="40" t="s">
        <v>142</v>
      </c>
      <c r="J257" s="40"/>
      <c r="K257" s="40"/>
      <c r="L257" s="40"/>
      <c r="M257" s="40"/>
      <c r="N257" s="40"/>
      <c r="O257" s="40">
        <v>0.66818907834811392</v>
      </c>
      <c r="P257" s="40"/>
      <c r="Q257" s="41" t="s">
        <v>26</v>
      </c>
    </row>
    <row r="258" spans="1:17" x14ac:dyDescent="0.25">
      <c r="A258" s="40" t="s">
        <v>17</v>
      </c>
      <c r="B258" s="40" t="s">
        <v>18</v>
      </c>
      <c r="C258" s="40" t="s">
        <v>19</v>
      </c>
      <c r="D258" s="40" t="s">
        <v>20</v>
      </c>
      <c r="E258" s="40" t="s">
        <v>21</v>
      </c>
      <c r="F258" s="40" t="s">
        <v>73</v>
      </c>
      <c r="G258" s="40" t="s">
        <v>74</v>
      </c>
      <c r="H258" s="40" t="s">
        <v>143</v>
      </c>
      <c r="I258" s="40" t="s">
        <v>144</v>
      </c>
      <c r="J258" s="40"/>
      <c r="K258" s="40"/>
      <c r="L258" s="40"/>
      <c r="M258" s="40"/>
      <c r="N258" s="40"/>
      <c r="O258" s="40"/>
      <c r="P258" s="40">
        <v>7.4788319964285713E-2</v>
      </c>
      <c r="Q258" s="41" t="s">
        <v>26</v>
      </c>
    </row>
    <row r="259" spans="1:17" x14ac:dyDescent="0.25">
      <c r="A259" s="40" t="s">
        <v>17</v>
      </c>
      <c r="B259" s="40" t="s">
        <v>18</v>
      </c>
      <c r="C259" s="40" t="s">
        <v>19</v>
      </c>
      <c r="D259" s="40" t="s">
        <v>20</v>
      </c>
      <c r="E259" s="40" t="s">
        <v>21</v>
      </c>
      <c r="F259" s="40" t="s">
        <v>73</v>
      </c>
      <c r="G259" s="40" t="s">
        <v>74</v>
      </c>
      <c r="H259" s="40" t="s">
        <v>143</v>
      </c>
      <c r="I259" s="40" t="s">
        <v>145</v>
      </c>
      <c r="J259" s="40"/>
      <c r="K259" s="40"/>
      <c r="L259" s="40"/>
      <c r="M259" s="40"/>
      <c r="N259" s="40"/>
      <c r="O259" s="40">
        <v>1.5404777254047156E-3</v>
      </c>
      <c r="P259" s="40"/>
      <c r="Q259" s="41" t="s">
        <v>26</v>
      </c>
    </row>
    <row r="260" spans="1:17" x14ac:dyDescent="0.25">
      <c r="A260" s="40" t="s">
        <v>17</v>
      </c>
      <c r="B260" s="40" t="s">
        <v>18</v>
      </c>
      <c r="C260" s="40" t="s">
        <v>19</v>
      </c>
      <c r="D260" s="40" t="s">
        <v>20</v>
      </c>
      <c r="E260" s="40" t="s">
        <v>21</v>
      </c>
      <c r="F260" s="40" t="s">
        <v>73</v>
      </c>
      <c r="G260" s="40" t="s">
        <v>74</v>
      </c>
      <c r="H260" s="40" t="s">
        <v>143</v>
      </c>
      <c r="I260" s="40" t="s">
        <v>146</v>
      </c>
      <c r="J260" s="40"/>
      <c r="K260" s="40"/>
      <c r="L260" s="40"/>
      <c r="M260" s="40"/>
      <c r="N260" s="40"/>
      <c r="O260" s="40"/>
      <c r="P260" s="40">
        <v>104.22672000000001</v>
      </c>
      <c r="Q260" s="41" t="s">
        <v>26</v>
      </c>
    </row>
    <row r="261" spans="1:17" x14ac:dyDescent="0.25">
      <c r="A261" s="40" t="s">
        <v>17</v>
      </c>
      <c r="B261" s="40" t="s">
        <v>18</v>
      </c>
      <c r="C261" s="40" t="s">
        <v>19</v>
      </c>
      <c r="D261" s="40" t="s">
        <v>20</v>
      </c>
      <c r="E261" s="40" t="s">
        <v>21</v>
      </c>
      <c r="F261" s="40" t="s">
        <v>73</v>
      </c>
      <c r="G261" s="40" t="s">
        <v>74</v>
      </c>
      <c r="H261" s="40" t="s">
        <v>149</v>
      </c>
      <c r="I261" s="40" t="s">
        <v>150</v>
      </c>
      <c r="J261" s="40"/>
      <c r="K261" s="40"/>
      <c r="L261" s="40"/>
      <c r="M261" s="40"/>
      <c r="N261" s="40"/>
      <c r="O261" s="40">
        <v>67.271253658234386</v>
      </c>
      <c r="P261" s="40"/>
      <c r="Q261" s="41" t="s">
        <v>26</v>
      </c>
    </row>
    <row r="262" spans="1:17" x14ac:dyDescent="0.25">
      <c r="A262" s="40" t="s">
        <v>17</v>
      </c>
      <c r="B262" s="40" t="s">
        <v>18</v>
      </c>
      <c r="C262" s="40" t="s">
        <v>19</v>
      </c>
      <c r="D262" s="40" t="s">
        <v>20</v>
      </c>
      <c r="E262" s="40" t="s">
        <v>21</v>
      </c>
      <c r="F262" s="40" t="s">
        <v>73</v>
      </c>
      <c r="G262" s="40" t="s">
        <v>74</v>
      </c>
      <c r="H262" s="40" t="s">
        <v>153</v>
      </c>
      <c r="I262" s="40" t="s">
        <v>155</v>
      </c>
      <c r="J262" s="40"/>
      <c r="K262" s="40"/>
      <c r="L262" s="40"/>
      <c r="M262" s="40"/>
      <c r="N262" s="40"/>
      <c r="O262" s="40"/>
      <c r="P262" s="40">
        <v>103.44050886950058</v>
      </c>
      <c r="Q262" s="41" t="s">
        <v>26</v>
      </c>
    </row>
    <row r="263" spans="1:17" x14ac:dyDescent="0.25">
      <c r="A263" s="40" t="s">
        <v>17</v>
      </c>
      <c r="B263" s="40" t="s">
        <v>18</v>
      </c>
      <c r="C263" s="40" t="s">
        <v>19</v>
      </c>
      <c r="D263" s="40" t="s">
        <v>20</v>
      </c>
      <c r="E263" s="40" t="s">
        <v>21</v>
      </c>
      <c r="F263" s="40" t="s">
        <v>73</v>
      </c>
      <c r="G263" s="40" t="s">
        <v>74</v>
      </c>
      <c r="H263" s="40" t="s">
        <v>153</v>
      </c>
      <c r="I263" s="40" t="s">
        <v>157</v>
      </c>
      <c r="J263" s="40"/>
      <c r="K263" s="40"/>
      <c r="L263" s="40"/>
      <c r="M263" s="40"/>
      <c r="N263" s="40"/>
      <c r="O263" s="40">
        <v>0</v>
      </c>
      <c r="P263" s="40"/>
      <c r="Q263" s="41" t="s">
        <v>26</v>
      </c>
    </row>
    <row r="264" spans="1:17" x14ac:dyDescent="0.25">
      <c r="A264" s="40" t="s">
        <v>17</v>
      </c>
      <c r="B264" s="43" t="s">
        <v>18</v>
      </c>
      <c r="C264" s="40" t="s">
        <v>19</v>
      </c>
      <c r="D264" s="43" t="s">
        <v>20</v>
      </c>
      <c r="E264" s="43" t="s">
        <v>21</v>
      </c>
      <c r="F264" s="43" t="s">
        <v>73</v>
      </c>
      <c r="G264" s="43" t="s">
        <v>74</v>
      </c>
      <c r="H264" s="43" t="s">
        <v>240</v>
      </c>
      <c r="I264" s="43" t="s">
        <v>241</v>
      </c>
      <c r="J264" s="43"/>
      <c r="K264" s="43"/>
      <c r="L264" s="43"/>
      <c r="M264" s="43"/>
      <c r="N264" s="43"/>
      <c r="O264" s="43">
        <v>0.98145711963568905</v>
      </c>
      <c r="P264" s="43"/>
      <c r="Q264" s="41" t="s">
        <v>26</v>
      </c>
    </row>
    <row r="265" spans="1:17" x14ac:dyDescent="0.25">
      <c r="A265" s="40" t="s">
        <v>17</v>
      </c>
      <c r="B265" s="43" t="s">
        <v>18</v>
      </c>
      <c r="C265" s="40" t="s">
        <v>19</v>
      </c>
      <c r="D265" s="43" t="s">
        <v>20</v>
      </c>
      <c r="E265" s="43" t="s">
        <v>21</v>
      </c>
      <c r="F265" s="43" t="s">
        <v>73</v>
      </c>
      <c r="G265" s="43" t="s">
        <v>74</v>
      </c>
      <c r="H265" s="43" t="s">
        <v>240</v>
      </c>
      <c r="I265" s="43" t="s">
        <v>242</v>
      </c>
      <c r="J265" s="43"/>
      <c r="K265" s="43"/>
      <c r="L265" s="43"/>
      <c r="M265" s="43"/>
      <c r="N265" s="43"/>
      <c r="O265" s="43">
        <v>0.73239755826167563</v>
      </c>
      <c r="P265" s="43"/>
      <c r="Q265" s="41" t="s">
        <v>26</v>
      </c>
    </row>
    <row r="266" spans="1:17" x14ac:dyDescent="0.25">
      <c r="A266" s="40" t="s">
        <v>17</v>
      </c>
      <c r="B266" s="40" t="s">
        <v>18</v>
      </c>
      <c r="C266" s="40" t="s">
        <v>19</v>
      </c>
      <c r="D266" s="40" t="s">
        <v>20</v>
      </c>
      <c r="E266" s="40" t="s">
        <v>21</v>
      </c>
      <c r="F266" s="40" t="s">
        <v>75</v>
      </c>
      <c r="G266" s="40" t="s">
        <v>76</v>
      </c>
      <c r="H266" s="40" t="s">
        <v>139</v>
      </c>
      <c r="I266" s="40" t="s">
        <v>141</v>
      </c>
      <c r="J266" s="40">
        <v>56.151683250000026</v>
      </c>
      <c r="K266" s="40">
        <v>44.814658401825028</v>
      </c>
      <c r="L266" s="40">
        <v>0</v>
      </c>
      <c r="M266" s="40">
        <v>111.79066194999993</v>
      </c>
      <c r="N266" s="40">
        <v>2.0578415499999987</v>
      </c>
      <c r="O266" s="40">
        <v>7.2129804499999999</v>
      </c>
      <c r="P266" s="40">
        <v>0</v>
      </c>
      <c r="Q266" s="41" t="s">
        <v>26</v>
      </c>
    </row>
    <row r="267" spans="1:17" x14ac:dyDescent="0.25">
      <c r="A267" s="40" t="s">
        <v>17</v>
      </c>
      <c r="B267" s="40" t="s">
        <v>18</v>
      </c>
      <c r="C267" s="40" t="s">
        <v>19</v>
      </c>
      <c r="D267" s="40" t="s">
        <v>20</v>
      </c>
      <c r="E267" s="40" t="s">
        <v>21</v>
      </c>
      <c r="F267" s="40" t="s">
        <v>75</v>
      </c>
      <c r="G267" s="40" t="s">
        <v>76</v>
      </c>
      <c r="H267" s="40" t="s">
        <v>24</v>
      </c>
      <c r="I267" s="40" t="s">
        <v>126</v>
      </c>
      <c r="J267" s="40">
        <v>22.05246714493299</v>
      </c>
      <c r="K267" s="40">
        <v>21.438288434757638</v>
      </c>
      <c r="L267" s="40">
        <v>1.084809397453766</v>
      </c>
      <c r="M267" s="40">
        <v>188.06331559120832</v>
      </c>
      <c r="N267" s="40">
        <v>81.607560043784176</v>
      </c>
      <c r="O267" s="40">
        <v>65.591243130889524</v>
      </c>
      <c r="P267" s="40">
        <v>1.1433833097579933</v>
      </c>
      <c r="Q267" s="41" t="s">
        <v>26</v>
      </c>
    </row>
    <row r="268" spans="1:17" x14ac:dyDescent="0.25">
      <c r="A268" s="40" t="s">
        <v>17</v>
      </c>
      <c r="B268" s="43" t="s">
        <v>18</v>
      </c>
      <c r="C268" s="40" t="s">
        <v>19</v>
      </c>
      <c r="D268" s="43" t="s">
        <v>20</v>
      </c>
      <c r="E268" s="43" t="s">
        <v>21</v>
      </c>
      <c r="F268" s="43" t="s">
        <v>75</v>
      </c>
      <c r="G268" s="43" t="s">
        <v>76</v>
      </c>
      <c r="H268" s="43" t="s">
        <v>24</v>
      </c>
      <c r="I268" s="43" t="s">
        <v>239</v>
      </c>
      <c r="J268" s="43">
        <v>1.7860534493387532</v>
      </c>
      <c r="K268" s="43">
        <v>1.2149189572145125</v>
      </c>
      <c r="L268" s="43">
        <v>0.16772401218486677</v>
      </c>
      <c r="M268" s="43">
        <v>12.231460298816327</v>
      </c>
      <c r="N268" s="43">
        <v>29.907864239209804</v>
      </c>
      <c r="O268" s="43">
        <v>0.66995075536733006</v>
      </c>
      <c r="P268" s="43">
        <v>0.60119420223604314</v>
      </c>
      <c r="Q268" s="41" t="s">
        <v>26</v>
      </c>
    </row>
    <row r="269" spans="1:17" x14ac:dyDescent="0.25">
      <c r="A269" s="40" t="s">
        <v>17</v>
      </c>
      <c r="B269" s="40" t="s">
        <v>18</v>
      </c>
      <c r="C269" s="40" t="s">
        <v>19</v>
      </c>
      <c r="D269" s="40" t="s">
        <v>20</v>
      </c>
      <c r="E269" s="40" t="s">
        <v>21</v>
      </c>
      <c r="F269" s="40" t="s">
        <v>75</v>
      </c>
      <c r="G269" s="40" t="s">
        <v>76</v>
      </c>
      <c r="H269" s="40" t="s">
        <v>149</v>
      </c>
      <c r="I269" s="40" t="s">
        <v>151</v>
      </c>
      <c r="J269" s="40">
        <v>1.3669833480383529</v>
      </c>
      <c r="K269" s="40">
        <v>1.2518689608351232</v>
      </c>
      <c r="L269" s="40">
        <v>3.597324600100929E-2</v>
      </c>
      <c r="M269" s="40">
        <v>3.0577259100857899</v>
      </c>
      <c r="N269" s="40">
        <v>0.21583947600605574</v>
      </c>
      <c r="O269" s="40">
        <v>0.30778709278463545</v>
      </c>
      <c r="P269" s="40"/>
      <c r="Q269" s="41" t="s">
        <v>26</v>
      </c>
    </row>
    <row r="270" spans="1:17" x14ac:dyDescent="0.25">
      <c r="A270" s="40" t="s">
        <v>17</v>
      </c>
      <c r="B270" s="43" t="s">
        <v>18</v>
      </c>
      <c r="C270" s="40" t="s">
        <v>19</v>
      </c>
      <c r="D270" s="43" t="s">
        <v>20</v>
      </c>
      <c r="E270" s="43" t="s">
        <v>21</v>
      </c>
      <c r="F270" s="43" t="s">
        <v>75</v>
      </c>
      <c r="G270" s="43" t="s">
        <v>76</v>
      </c>
      <c r="H270" s="40" t="s">
        <v>24</v>
      </c>
      <c r="I270" s="40" t="s">
        <v>238</v>
      </c>
      <c r="J270" s="43">
        <v>1.3575433173585472</v>
      </c>
      <c r="K270" s="43">
        <v>1.3575433173585472</v>
      </c>
      <c r="L270" s="43">
        <v>0.15886558077907795</v>
      </c>
      <c r="M270" s="43">
        <v>11.640781608184502</v>
      </c>
      <c r="N270" s="43">
        <v>19.300032299007398</v>
      </c>
      <c r="O270" s="43">
        <v>1.1607169123943668</v>
      </c>
      <c r="P270" s="43">
        <v>1.1743892921078549E-2</v>
      </c>
      <c r="Q270" s="41" t="s">
        <v>26</v>
      </c>
    </row>
    <row r="271" spans="1:17" x14ac:dyDescent="0.25">
      <c r="A271" s="40" t="s">
        <v>17</v>
      </c>
      <c r="B271" s="40" t="s">
        <v>18</v>
      </c>
      <c r="C271" s="40" t="s">
        <v>19</v>
      </c>
      <c r="D271" s="40" t="s">
        <v>20</v>
      </c>
      <c r="E271" s="40" t="s">
        <v>21</v>
      </c>
      <c r="F271" s="40" t="s">
        <v>75</v>
      </c>
      <c r="G271" s="40" t="s">
        <v>76</v>
      </c>
      <c r="H271" s="40" t="s">
        <v>153</v>
      </c>
      <c r="I271" s="40" t="s">
        <v>154</v>
      </c>
      <c r="J271" s="40">
        <v>1.3051656188574106</v>
      </c>
      <c r="K271" s="40">
        <v>0.20237232874532105</v>
      </c>
      <c r="L271" s="40"/>
      <c r="M271" s="40"/>
      <c r="N271" s="40"/>
      <c r="O271" s="40"/>
      <c r="P271" s="40"/>
      <c r="Q271" s="41" t="s">
        <v>26</v>
      </c>
    </row>
    <row r="272" spans="1:17" x14ac:dyDescent="0.25">
      <c r="A272" s="40" t="s">
        <v>17</v>
      </c>
      <c r="B272" s="40" t="s">
        <v>18</v>
      </c>
      <c r="C272" s="40" t="s">
        <v>19</v>
      </c>
      <c r="D272" s="40" t="s">
        <v>20</v>
      </c>
      <c r="E272" s="40" t="s">
        <v>21</v>
      </c>
      <c r="F272" s="40" t="s">
        <v>75</v>
      </c>
      <c r="G272" s="40" t="s">
        <v>76</v>
      </c>
      <c r="H272" s="40" t="s">
        <v>153</v>
      </c>
      <c r="I272" s="40" t="s">
        <v>158</v>
      </c>
      <c r="J272" s="40">
        <v>0.5925637091954794</v>
      </c>
      <c r="K272" s="40">
        <v>0.55335817077989946</v>
      </c>
      <c r="L272" s="40">
        <v>0</v>
      </c>
      <c r="M272" s="40">
        <v>9.4093292197391811</v>
      </c>
      <c r="N272" s="40">
        <v>0.22403164808902812</v>
      </c>
      <c r="O272" s="40">
        <v>0.58360244327191824</v>
      </c>
      <c r="P272" s="40">
        <v>0</v>
      </c>
      <c r="Q272" s="41" t="s">
        <v>26</v>
      </c>
    </row>
    <row r="273" spans="1:17" x14ac:dyDescent="0.25">
      <c r="A273" s="40" t="s">
        <v>17</v>
      </c>
      <c r="B273" s="40" t="s">
        <v>18</v>
      </c>
      <c r="C273" s="40" t="s">
        <v>19</v>
      </c>
      <c r="D273" s="40" t="s">
        <v>20</v>
      </c>
      <c r="E273" s="40" t="s">
        <v>21</v>
      </c>
      <c r="F273" s="40" t="s">
        <v>75</v>
      </c>
      <c r="G273" s="40" t="s">
        <v>76</v>
      </c>
      <c r="H273" s="40" t="s">
        <v>24</v>
      </c>
      <c r="I273" s="40" t="s">
        <v>25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1" t="s">
        <v>26</v>
      </c>
    </row>
    <row r="274" spans="1:17" x14ac:dyDescent="0.25">
      <c r="A274" s="40" t="s">
        <v>17</v>
      </c>
      <c r="B274" s="40" t="s">
        <v>18</v>
      </c>
      <c r="C274" s="40" t="s">
        <v>19</v>
      </c>
      <c r="D274" s="40" t="s">
        <v>20</v>
      </c>
      <c r="E274" s="40" t="s">
        <v>21</v>
      </c>
      <c r="F274" s="40" t="s">
        <v>75</v>
      </c>
      <c r="G274" s="40" t="s">
        <v>76</v>
      </c>
      <c r="H274" s="40" t="s">
        <v>139</v>
      </c>
      <c r="I274" s="40" t="s">
        <v>140</v>
      </c>
      <c r="J274" s="40">
        <v>0</v>
      </c>
      <c r="K274" s="40">
        <v>0</v>
      </c>
      <c r="L274" s="40"/>
      <c r="M274" s="40"/>
      <c r="N274" s="40"/>
      <c r="O274" s="40"/>
      <c r="P274" s="40"/>
      <c r="Q274" s="41" t="s">
        <v>26</v>
      </c>
    </row>
    <row r="275" spans="1:17" x14ac:dyDescent="0.25">
      <c r="A275" s="40" t="s">
        <v>17</v>
      </c>
      <c r="B275" s="40" t="s">
        <v>18</v>
      </c>
      <c r="C275" s="40" t="s">
        <v>19</v>
      </c>
      <c r="D275" s="40" t="s">
        <v>20</v>
      </c>
      <c r="E275" s="40" t="s">
        <v>21</v>
      </c>
      <c r="F275" s="40" t="s">
        <v>75</v>
      </c>
      <c r="G275" s="40" t="s">
        <v>76</v>
      </c>
      <c r="H275" s="40" t="s">
        <v>143</v>
      </c>
      <c r="I275" s="40" t="s">
        <v>147</v>
      </c>
      <c r="J275" s="40">
        <v>0</v>
      </c>
      <c r="K275" s="40">
        <v>0</v>
      </c>
      <c r="L275" s="40"/>
      <c r="M275" s="40"/>
      <c r="N275" s="40"/>
      <c r="O275" s="40"/>
      <c r="P275" s="40"/>
      <c r="Q275" s="41" t="s">
        <v>26</v>
      </c>
    </row>
    <row r="276" spans="1:17" x14ac:dyDescent="0.25">
      <c r="A276" s="40" t="s">
        <v>17</v>
      </c>
      <c r="B276" s="40" t="s">
        <v>18</v>
      </c>
      <c r="C276" s="40" t="s">
        <v>19</v>
      </c>
      <c r="D276" s="40" t="s">
        <v>20</v>
      </c>
      <c r="E276" s="40" t="s">
        <v>21</v>
      </c>
      <c r="F276" s="40" t="s">
        <v>75</v>
      </c>
      <c r="G276" s="40" t="s">
        <v>76</v>
      </c>
      <c r="H276" s="40" t="s">
        <v>143</v>
      </c>
      <c r="I276" s="40" t="s">
        <v>148</v>
      </c>
      <c r="J276" s="40">
        <v>0</v>
      </c>
      <c r="K276" s="40">
        <v>0</v>
      </c>
      <c r="L276" s="40"/>
      <c r="M276" s="40"/>
      <c r="N276" s="40"/>
      <c r="O276" s="40"/>
      <c r="P276" s="40"/>
      <c r="Q276" s="41" t="s">
        <v>26</v>
      </c>
    </row>
    <row r="277" spans="1:17" x14ac:dyDescent="0.25">
      <c r="A277" s="40" t="s">
        <v>17</v>
      </c>
      <c r="B277" s="40" t="s">
        <v>18</v>
      </c>
      <c r="C277" s="40" t="s">
        <v>19</v>
      </c>
      <c r="D277" s="40" t="s">
        <v>20</v>
      </c>
      <c r="E277" s="40" t="s">
        <v>21</v>
      </c>
      <c r="F277" s="40" t="s">
        <v>75</v>
      </c>
      <c r="G277" s="40" t="s">
        <v>76</v>
      </c>
      <c r="H277" s="40" t="s">
        <v>149</v>
      </c>
      <c r="I277" s="40" t="s">
        <v>152</v>
      </c>
      <c r="J277" s="40">
        <v>0</v>
      </c>
      <c r="K277" s="40">
        <v>0</v>
      </c>
      <c r="L277" s="40">
        <v>0</v>
      </c>
      <c r="M277" s="40">
        <v>0</v>
      </c>
      <c r="N277" s="40"/>
      <c r="O277" s="40">
        <v>0</v>
      </c>
      <c r="P277" s="40"/>
      <c r="Q277" s="41" t="s">
        <v>26</v>
      </c>
    </row>
    <row r="278" spans="1:17" x14ac:dyDescent="0.25">
      <c r="A278" s="40" t="s">
        <v>17</v>
      </c>
      <c r="B278" s="40" t="s">
        <v>18</v>
      </c>
      <c r="C278" s="40" t="s">
        <v>19</v>
      </c>
      <c r="D278" s="40" t="s">
        <v>20</v>
      </c>
      <c r="E278" s="40" t="s">
        <v>21</v>
      </c>
      <c r="F278" s="40" t="s">
        <v>75</v>
      </c>
      <c r="G278" s="40" t="s">
        <v>76</v>
      </c>
      <c r="H278" s="40" t="s">
        <v>153</v>
      </c>
      <c r="I278" s="40" t="s">
        <v>156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1" t="s">
        <v>137</v>
      </c>
    </row>
    <row r="279" spans="1:17" x14ac:dyDescent="0.25">
      <c r="A279" s="40" t="s">
        <v>17</v>
      </c>
      <c r="B279" s="40" t="s">
        <v>18</v>
      </c>
      <c r="C279" s="40" t="s">
        <v>19</v>
      </c>
      <c r="D279" s="40" t="s">
        <v>20</v>
      </c>
      <c r="E279" s="40" t="s">
        <v>21</v>
      </c>
      <c r="F279" s="40" t="s">
        <v>75</v>
      </c>
      <c r="G279" s="40" t="s">
        <v>76</v>
      </c>
      <c r="H279" s="40" t="s">
        <v>153</v>
      </c>
      <c r="I279" s="40" t="s">
        <v>159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1" t="s">
        <v>26</v>
      </c>
    </row>
    <row r="280" spans="1:17" x14ac:dyDescent="0.25">
      <c r="A280" s="40" t="s">
        <v>17</v>
      </c>
      <c r="B280" s="43" t="s">
        <v>18</v>
      </c>
      <c r="C280" s="40" t="s">
        <v>19</v>
      </c>
      <c r="D280" s="43" t="s">
        <v>20</v>
      </c>
      <c r="E280" s="43" t="s">
        <v>21</v>
      </c>
      <c r="F280" s="43" t="s">
        <v>75</v>
      </c>
      <c r="G280" s="43" t="s">
        <v>76</v>
      </c>
      <c r="H280" s="43" t="s">
        <v>143</v>
      </c>
      <c r="I280" s="43" t="s">
        <v>243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1" t="s">
        <v>26</v>
      </c>
    </row>
    <row r="281" spans="1:17" x14ac:dyDescent="0.25">
      <c r="A281" s="40" t="s">
        <v>17</v>
      </c>
      <c r="B281" s="40" t="s">
        <v>18</v>
      </c>
      <c r="C281" s="40" t="s">
        <v>19</v>
      </c>
      <c r="D281" s="40" t="s">
        <v>20</v>
      </c>
      <c r="E281" s="40" t="s">
        <v>21</v>
      </c>
      <c r="F281" s="40" t="s">
        <v>75</v>
      </c>
      <c r="G281" s="40" t="s">
        <v>76</v>
      </c>
      <c r="H281" s="40" t="s">
        <v>127</v>
      </c>
      <c r="I281" s="40" t="s">
        <v>128</v>
      </c>
      <c r="J281" s="40"/>
      <c r="K281" s="40"/>
      <c r="L281" s="40"/>
      <c r="M281" s="40"/>
      <c r="N281" s="40"/>
      <c r="O281" s="40">
        <v>0.29207098253902181</v>
      </c>
      <c r="P281" s="40"/>
      <c r="Q281" s="41" t="s">
        <v>26</v>
      </c>
    </row>
    <row r="282" spans="1:17" x14ac:dyDescent="0.25">
      <c r="A282" s="40" t="s">
        <v>17</v>
      </c>
      <c r="B282" s="40" t="s">
        <v>18</v>
      </c>
      <c r="C282" s="40" t="s">
        <v>19</v>
      </c>
      <c r="D282" s="40" t="s">
        <v>20</v>
      </c>
      <c r="E282" s="40" t="s">
        <v>21</v>
      </c>
      <c r="F282" s="40" t="s">
        <v>75</v>
      </c>
      <c r="G282" s="40" t="s">
        <v>76</v>
      </c>
      <c r="H282" s="40" t="s">
        <v>127</v>
      </c>
      <c r="I282" s="40" t="s">
        <v>129</v>
      </c>
      <c r="J282" s="40"/>
      <c r="K282" s="40"/>
      <c r="L282" s="40"/>
      <c r="M282" s="40"/>
      <c r="N282" s="40"/>
      <c r="O282" s="40">
        <v>3.0131798316660805</v>
      </c>
      <c r="P282" s="40"/>
      <c r="Q282" s="41" t="s">
        <v>26</v>
      </c>
    </row>
    <row r="283" spans="1:17" x14ac:dyDescent="0.25">
      <c r="A283" s="40" t="s">
        <v>17</v>
      </c>
      <c r="B283" s="40" t="s">
        <v>18</v>
      </c>
      <c r="C283" s="40" t="s">
        <v>19</v>
      </c>
      <c r="D283" s="40" t="s">
        <v>20</v>
      </c>
      <c r="E283" s="40" t="s">
        <v>21</v>
      </c>
      <c r="F283" s="40" t="s">
        <v>75</v>
      </c>
      <c r="G283" s="40" t="s">
        <v>76</v>
      </c>
      <c r="H283" s="40" t="s">
        <v>127</v>
      </c>
      <c r="I283" s="40" t="s">
        <v>130</v>
      </c>
      <c r="J283" s="40"/>
      <c r="K283" s="40"/>
      <c r="L283" s="40"/>
      <c r="M283" s="40"/>
      <c r="N283" s="40"/>
      <c r="O283" s="40">
        <v>1566.1444531529164</v>
      </c>
      <c r="P283" s="40"/>
      <c r="Q283" s="41" t="s">
        <v>26</v>
      </c>
    </row>
    <row r="284" spans="1:17" x14ac:dyDescent="0.25">
      <c r="A284" s="40" t="s">
        <v>17</v>
      </c>
      <c r="B284" s="40" t="s">
        <v>18</v>
      </c>
      <c r="C284" s="40" t="s">
        <v>19</v>
      </c>
      <c r="D284" s="40" t="s">
        <v>20</v>
      </c>
      <c r="E284" s="40" t="s">
        <v>21</v>
      </c>
      <c r="F284" s="40" t="s">
        <v>75</v>
      </c>
      <c r="G284" s="40" t="s">
        <v>76</v>
      </c>
      <c r="H284" s="40" t="s">
        <v>127</v>
      </c>
      <c r="I284" s="40" t="s">
        <v>131</v>
      </c>
      <c r="J284" s="40"/>
      <c r="K284" s="40"/>
      <c r="L284" s="40"/>
      <c r="M284" s="40"/>
      <c r="N284" s="40"/>
      <c r="O284" s="40">
        <v>186.60338054597062</v>
      </c>
      <c r="P284" s="40"/>
      <c r="Q284" s="41" t="s">
        <v>26</v>
      </c>
    </row>
    <row r="285" spans="1:17" x14ac:dyDescent="0.25">
      <c r="A285" s="40" t="s">
        <v>17</v>
      </c>
      <c r="B285" s="40" t="s">
        <v>18</v>
      </c>
      <c r="C285" s="40" t="s">
        <v>19</v>
      </c>
      <c r="D285" s="40" t="s">
        <v>20</v>
      </c>
      <c r="E285" s="40" t="s">
        <v>21</v>
      </c>
      <c r="F285" s="40" t="s">
        <v>75</v>
      </c>
      <c r="G285" s="40" t="s">
        <v>76</v>
      </c>
      <c r="H285" s="40" t="s">
        <v>127</v>
      </c>
      <c r="I285" s="40" t="s">
        <v>132</v>
      </c>
      <c r="J285" s="40"/>
      <c r="K285" s="40"/>
      <c r="L285" s="40"/>
      <c r="M285" s="40"/>
      <c r="N285" s="40"/>
      <c r="O285" s="40">
        <v>754.73802970618294</v>
      </c>
      <c r="P285" s="40"/>
      <c r="Q285" s="41" t="s">
        <v>26</v>
      </c>
    </row>
    <row r="286" spans="1:17" x14ac:dyDescent="0.25">
      <c r="A286" s="40" t="s">
        <v>17</v>
      </c>
      <c r="B286" s="40" t="s">
        <v>18</v>
      </c>
      <c r="C286" s="40" t="s">
        <v>19</v>
      </c>
      <c r="D286" s="40" t="s">
        <v>20</v>
      </c>
      <c r="E286" s="40" t="s">
        <v>21</v>
      </c>
      <c r="F286" s="40" t="s">
        <v>75</v>
      </c>
      <c r="G286" s="40" t="s">
        <v>76</v>
      </c>
      <c r="H286" s="40" t="s">
        <v>127</v>
      </c>
      <c r="I286" s="40" t="s">
        <v>133</v>
      </c>
      <c r="J286" s="40"/>
      <c r="K286" s="40"/>
      <c r="L286" s="40"/>
      <c r="M286" s="40"/>
      <c r="N286" s="40"/>
      <c r="O286" s="40">
        <v>377.48609578447457</v>
      </c>
      <c r="P286" s="40"/>
      <c r="Q286" s="41" t="s">
        <v>26</v>
      </c>
    </row>
    <row r="287" spans="1:17" x14ac:dyDescent="0.25">
      <c r="A287" s="40" t="s">
        <v>17</v>
      </c>
      <c r="B287" s="40" t="s">
        <v>18</v>
      </c>
      <c r="C287" s="40" t="s">
        <v>19</v>
      </c>
      <c r="D287" s="40" t="s">
        <v>20</v>
      </c>
      <c r="E287" s="40" t="s">
        <v>21</v>
      </c>
      <c r="F287" s="40" t="s">
        <v>75</v>
      </c>
      <c r="G287" s="40" t="s">
        <v>76</v>
      </c>
      <c r="H287" s="40" t="s">
        <v>127</v>
      </c>
      <c r="I287" s="40" t="s">
        <v>134</v>
      </c>
      <c r="J287" s="40"/>
      <c r="K287" s="40"/>
      <c r="L287" s="40"/>
      <c r="M287" s="40"/>
      <c r="N287" s="40"/>
      <c r="O287" s="40">
        <v>1805.143050000001</v>
      </c>
      <c r="P287" s="40"/>
      <c r="Q287" s="41" t="s">
        <v>26</v>
      </c>
    </row>
    <row r="288" spans="1:17" x14ac:dyDescent="0.25">
      <c r="A288" s="40" t="s">
        <v>17</v>
      </c>
      <c r="B288" s="40" t="s">
        <v>18</v>
      </c>
      <c r="C288" s="40" t="s">
        <v>19</v>
      </c>
      <c r="D288" s="40" t="s">
        <v>20</v>
      </c>
      <c r="E288" s="40" t="s">
        <v>21</v>
      </c>
      <c r="F288" s="40" t="s">
        <v>75</v>
      </c>
      <c r="G288" s="40" t="s">
        <v>76</v>
      </c>
      <c r="H288" s="40" t="s">
        <v>135</v>
      </c>
      <c r="I288" s="40" t="s">
        <v>136</v>
      </c>
      <c r="J288" s="40"/>
      <c r="K288" s="40"/>
      <c r="L288" s="40"/>
      <c r="M288" s="40"/>
      <c r="N288" s="40"/>
      <c r="O288" s="40">
        <v>1991.7053820703586</v>
      </c>
      <c r="P288" s="40"/>
      <c r="Q288" s="41" t="s">
        <v>137</v>
      </c>
    </row>
    <row r="289" spans="1:17" x14ac:dyDescent="0.25">
      <c r="A289" s="40" t="s">
        <v>17</v>
      </c>
      <c r="B289" s="40" t="s">
        <v>18</v>
      </c>
      <c r="C289" s="40" t="s">
        <v>19</v>
      </c>
      <c r="D289" s="40" t="s">
        <v>20</v>
      </c>
      <c r="E289" s="40" t="s">
        <v>21</v>
      </c>
      <c r="F289" s="40" t="s">
        <v>75</v>
      </c>
      <c r="G289" s="40" t="s">
        <v>76</v>
      </c>
      <c r="H289" s="40" t="s">
        <v>135</v>
      </c>
      <c r="I289" s="40" t="s">
        <v>138</v>
      </c>
      <c r="J289" s="40"/>
      <c r="K289" s="40"/>
      <c r="L289" s="40"/>
      <c r="M289" s="40"/>
      <c r="N289" s="40"/>
      <c r="O289" s="40">
        <v>258.6810398070682</v>
      </c>
      <c r="P289" s="40"/>
      <c r="Q289" s="41" t="s">
        <v>137</v>
      </c>
    </row>
    <row r="290" spans="1:17" x14ac:dyDescent="0.25">
      <c r="A290" s="40" t="s">
        <v>17</v>
      </c>
      <c r="B290" s="40" t="s">
        <v>18</v>
      </c>
      <c r="C290" s="40" t="s">
        <v>19</v>
      </c>
      <c r="D290" s="40" t="s">
        <v>20</v>
      </c>
      <c r="E290" s="40" t="s">
        <v>21</v>
      </c>
      <c r="F290" s="40" t="s">
        <v>75</v>
      </c>
      <c r="G290" s="40" t="s">
        <v>76</v>
      </c>
      <c r="H290" s="40" t="s">
        <v>139</v>
      </c>
      <c r="I290" s="40" t="s">
        <v>142</v>
      </c>
      <c r="J290" s="40"/>
      <c r="K290" s="40"/>
      <c r="L290" s="40"/>
      <c r="M290" s="40"/>
      <c r="N290" s="40"/>
      <c r="O290" s="40">
        <v>20.400647798315887</v>
      </c>
      <c r="P290" s="40"/>
      <c r="Q290" s="41" t="s">
        <v>26</v>
      </c>
    </row>
    <row r="291" spans="1:17" x14ac:dyDescent="0.25">
      <c r="A291" s="40" t="s">
        <v>17</v>
      </c>
      <c r="B291" s="40" t="s">
        <v>18</v>
      </c>
      <c r="C291" s="40" t="s">
        <v>19</v>
      </c>
      <c r="D291" s="40" t="s">
        <v>20</v>
      </c>
      <c r="E291" s="40" t="s">
        <v>21</v>
      </c>
      <c r="F291" s="40" t="s">
        <v>75</v>
      </c>
      <c r="G291" s="40" t="s">
        <v>76</v>
      </c>
      <c r="H291" s="40" t="s">
        <v>143</v>
      </c>
      <c r="I291" s="40" t="s">
        <v>144</v>
      </c>
      <c r="J291" s="40"/>
      <c r="K291" s="40"/>
      <c r="L291" s="40"/>
      <c r="M291" s="40"/>
      <c r="N291" s="40"/>
      <c r="O291" s="40"/>
      <c r="P291" s="40">
        <v>0</v>
      </c>
      <c r="Q291" s="41" t="s">
        <v>26</v>
      </c>
    </row>
    <row r="292" spans="1:17" x14ac:dyDescent="0.25">
      <c r="A292" s="40" t="s">
        <v>17</v>
      </c>
      <c r="B292" s="40" t="s">
        <v>18</v>
      </c>
      <c r="C292" s="40" t="s">
        <v>19</v>
      </c>
      <c r="D292" s="40" t="s">
        <v>20</v>
      </c>
      <c r="E292" s="40" t="s">
        <v>21</v>
      </c>
      <c r="F292" s="40" t="s">
        <v>75</v>
      </c>
      <c r="G292" s="40" t="s">
        <v>76</v>
      </c>
      <c r="H292" s="40" t="s">
        <v>143</v>
      </c>
      <c r="I292" s="40" t="s">
        <v>145</v>
      </c>
      <c r="J292" s="40"/>
      <c r="K292" s="40"/>
      <c r="L292" s="40"/>
      <c r="M292" s="40"/>
      <c r="N292" s="40"/>
      <c r="O292" s="40">
        <v>0</v>
      </c>
      <c r="P292" s="40"/>
      <c r="Q292" s="41" t="s">
        <v>26</v>
      </c>
    </row>
    <row r="293" spans="1:17" x14ac:dyDescent="0.25">
      <c r="A293" s="40" t="s">
        <v>17</v>
      </c>
      <c r="B293" s="40" t="s">
        <v>18</v>
      </c>
      <c r="C293" s="40" t="s">
        <v>19</v>
      </c>
      <c r="D293" s="40" t="s">
        <v>20</v>
      </c>
      <c r="E293" s="40" t="s">
        <v>21</v>
      </c>
      <c r="F293" s="40" t="s">
        <v>75</v>
      </c>
      <c r="G293" s="40" t="s">
        <v>76</v>
      </c>
      <c r="H293" s="40" t="s">
        <v>143</v>
      </c>
      <c r="I293" s="40" t="s">
        <v>146</v>
      </c>
      <c r="J293" s="40"/>
      <c r="K293" s="40"/>
      <c r="L293" s="40"/>
      <c r="M293" s="40"/>
      <c r="N293" s="40"/>
      <c r="O293" s="40"/>
      <c r="P293" s="40">
        <v>0.62219999999999998</v>
      </c>
      <c r="Q293" s="41" t="s">
        <v>26</v>
      </c>
    </row>
    <row r="294" spans="1:17" x14ac:dyDescent="0.25">
      <c r="A294" s="40" t="s">
        <v>17</v>
      </c>
      <c r="B294" s="40" t="s">
        <v>18</v>
      </c>
      <c r="C294" s="40" t="s">
        <v>19</v>
      </c>
      <c r="D294" s="40" t="s">
        <v>20</v>
      </c>
      <c r="E294" s="40" t="s">
        <v>21</v>
      </c>
      <c r="F294" s="40" t="s">
        <v>75</v>
      </c>
      <c r="G294" s="40" t="s">
        <v>76</v>
      </c>
      <c r="H294" s="40" t="s">
        <v>149</v>
      </c>
      <c r="I294" s="40" t="s">
        <v>150</v>
      </c>
      <c r="J294" s="40"/>
      <c r="K294" s="40"/>
      <c r="L294" s="40"/>
      <c r="M294" s="40"/>
      <c r="N294" s="40"/>
      <c r="O294" s="40">
        <v>0</v>
      </c>
      <c r="P294" s="40"/>
      <c r="Q294" s="41" t="s">
        <v>26</v>
      </c>
    </row>
    <row r="295" spans="1:17" x14ac:dyDescent="0.25">
      <c r="A295" s="40" t="s">
        <v>17</v>
      </c>
      <c r="B295" s="40" t="s">
        <v>18</v>
      </c>
      <c r="C295" s="40" t="s">
        <v>19</v>
      </c>
      <c r="D295" s="40" t="s">
        <v>20</v>
      </c>
      <c r="E295" s="40" t="s">
        <v>21</v>
      </c>
      <c r="F295" s="40" t="s">
        <v>75</v>
      </c>
      <c r="G295" s="40" t="s">
        <v>76</v>
      </c>
      <c r="H295" s="40" t="s">
        <v>153</v>
      </c>
      <c r="I295" s="40" t="s">
        <v>155</v>
      </c>
      <c r="J295" s="40"/>
      <c r="K295" s="40"/>
      <c r="L295" s="40"/>
      <c r="M295" s="40"/>
      <c r="N295" s="40"/>
      <c r="O295" s="40"/>
      <c r="P295" s="40">
        <v>671.97755558731524</v>
      </c>
      <c r="Q295" s="41" t="s">
        <v>26</v>
      </c>
    </row>
    <row r="296" spans="1:17" x14ac:dyDescent="0.25">
      <c r="A296" s="40" t="s">
        <v>17</v>
      </c>
      <c r="B296" s="40" t="s">
        <v>18</v>
      </c>
      <c r="C296" s="40" t="s">
        <v>19</v>
      </c>
      <c r="D296" s="40" t="s">
        <v>20</v>
      </c>
      <c r="E296" s="40" t="s">
        <v>21</v>
      </c>
      <c r="F296" s="40" t="s">
        <v>75</v>
      </c>
      <c r="G296" s="40" t="s">
        <v>76</v>
      </c>
      <c r="H296" s="40" t="s">
        <v>153</v>
      </c>
      <c r="I296" s="40" t="s">
        <v>157</v>
      </c>
      <c r="J296" s="40"/>
      <c r="K296" s="40"/>
      <c r="L296" s="40"/>
      <c r="M296" s="40"/>
      <c r="N296" s="40"/>
      <c r="O296" s="40">
        <v>0.36989</v>
      </c>
      <c r="P296" s="40"/>
      <c r="Q296" s="41" t="s">
        <v>26</v>
      </c>
    </row>
    <row r="297" spans="1:17" x14ac:dyDescent="0.25">
      <c r="A297" s="40" t="s">
        <v>17</v>
      </c>
      <c r="B297" s="43" t="s">
        <v>18</v>
      </c>
      <c r="C297" s="40" t="s">
        <v>19</v>
      </c>
      <c r="D297" s="43" t="s">
        <v>20</v>
      </c>
      <c r="E297" s="43" t="s">
        <v>21</v>
      </c>
      <c r="F297" s="43" t="s">
        <v>75</v>
      </c>
      <c r="G297" s="43" t="s">
        <v>76</v>
      </c>
      <c r="H297" s="43" t="s">
        <v>240</v>
      </c>
      <c r="I297" s="43" t="s">
        <v>241</v>
      </c>
      <c r="J297" s="43"/>
      <c r="K297" s="43"/>
      <c r="L297" s="43"/>
      <c r="M297" s="43"/>
      <c r="N297" s="43"/>
      <c r="O297" s="43">
        <v>219.84639479839433</v>
      </c>
      <c r="P297" s="43"/>
      <c r="Q297" s="41" t="s">
        <v>26</v>
      </c>
    </row>
    <row r="298" spans="1:17" x14ac:dyDescent="0.25">
      <c r="A298" s="40" t="s">
        <v>17</v>
      </c>
      <c r="B298" s="43" t="s">
        <v>18</v>
      </c>
      <c r="C298" s="40" t="s">
        <v>19</v>
      </c>
      <c r="D298" s="43" t="s">
        <v>20</v>
      </c>
      <c r="E298" s="43" t="s">
        <v>21</v>
      </c>
      <c r="F298" s="43" t="s">
        <v>75</v>
      </c>
      <c r="G298" s="43" t="s">
        <v>76</v>
      </c>
      <c r="H298" s="43" t="s">
        <v>240</v>
      </c>
      <c r="I298" s="43" t="s">
        <v>242</v>
      </c>
      <c r="J298" s="43"/>
      <c r="K298" s="43"/>
      <c r="L298" s="43"/>
      <c r="M298" s="43"/>
      <c r="N298" s="43"/>
      <c r="O298" s="43">
        <v>0.52601749029790457</v>
      </c>
      <c r="P298" s="43"/>
      <c r="Q298" s="41" t="s">
        <v>26</v>
      </c>
    </row>
    <row r="299" spans="1:17" x14ac:dyDescent="0.25">
      <c r="A299" s="40" t="s">
        <v>17</v>
      </c>
      <c r="B299" s="40" t="s">
        <v>18</v>
      </c>
      <c r="C299" s="40" t="s">
        <v>19</v>
      </c>
      <c r="D299" s="40" t="s">
        <v>20</v>
      </c>
      <c r="E299" s="40" t="s">
        <v>21</v>
      </c>
      <c r="F299" s="40" t="s">
        <v>116</v>
      </c>
      <c r="G299" s="40" t="s">
        <v>117</v>
      </c>
      <c r="H299" s="40" t="s">
        <v>143</v>
      </c>
      <c r="I299" s="40" t="s">
        <v>147</v>
      </c>
      <c r="J299" s="40">
        <v>5.0071260000000004</v>
      </c>
      <c r="K299" s="40">
        <v>0.57181378919999992</v>
      </c>
      <c r="L299" s="40"/>
      <c r="M299" s="40"/>
      <c r="N299" s="40"/>
      <c r="O299" s="40"/>
      <c r="P299" s="40"/>
      <c r="Q299" s="41" t="s">
        <v>26</v>
      </c>
    </row>
    <row r="300" spans="1:17" x14ac:dyDescent="0.25">
      <c r="A300" s="40" t="s">
        <v>17</v>
      </c>
      <c r="B300" s="40" t="s">
        <v>18</v>
      </c>
      <c r="C300" s="40" t="s">
        <v>19</v>
      </c>
      <c r="D300" s="40" t="s">
        <v>20</v>
      </c>
      <c r="E300" s="40" t="s">
        <v>21</v>
      </c>
      <c r="F300" s="40" t="s">
        <v>116</v>
      </c>
      <c r="G300" s="40" t="s">
        <v>117</v>
      </c>
      <c r="H300" s="40" t="s">
        <v>139</v>
      </c>
      <c r="I300" s="40" t="s">
        <v>141</v>
      </c>
      <c r="J300" s="40">
        <v>1.2626503500000001</v>
      </c>
      <c r="K300" s="40">
        <v>1.0077212443350001</v>
      </c>
      <c r="L300" s="40">
        <v>0</v>
      </c>
      <c r="M300" s="40">
        <v>2.5137718099999997</v>
      </c>
      <c r="N300" s="40">
        <v>4.6273490000000007E-2</v>
      </c>
      <c r="O300" s="40">
        <v>0.16219410999999997</v>
      </c>
      <c r="P300" s="40">
        <v>0</v>
      </c>
      <c r="Q300" s="41" t="s">
        <v>26</v>
      </c>
    </row>
    <row r="301" spans="1:17" x14ac:dyDescent="0.25">
      <c r="A301" s="40" t="s">
        <v>17</v>
      </c>
      <c r="B301" s="40" t="s">
        <v>18</v>
      </c>
      <c r="C301" s="40" t="s">
        <v>19</v>
      </c>
      <c r="D301" s="40" t="s">
        <v>20</v>
      </c>
      <c r="E301" s="40" t="s">
        <v>21</v>
      </c>
      <c r="F301" s="40" t="s">
        <v>116</v>
      </c>
      <c r="G301" s="40" t="s">
        <v>117</v>
      </c>
      <c r="H301" s="40" t="s">
        <v>24</v>
      </c>
      <c r="I301" s="40" t="s">
        <v>126</v>
      </c>
      <c r="J301" s="40">
        <v>0.75905980494855452</v>
      </c>
      <c r="K301" s="40">
        <v>0.73508010028737081</v>
      </c>
      <c r="L301" s="40">
        <v>3.1154414134295001E-2</v>
      </c>
      <c r="M301" s="40">
        <v>6.4209857325832793</v>
      </c>
      <c r="N301" s="40">
        <v>1.7571858373950164</v>
      </c>
      <c r="O301" s="40">
        <v>2.5030042922804454</v>
      </c>
      <c r="P301" s="40">
        <v>4.2689831111577405E-2</v>
      </c>
      <c r="Q301" s="41" t="s">
        <v>26</v>
      </c>
    </row>
    <row r="302" spans="1:17" x14ac:dyDescent="0.25">
      <c r="A302" s="40" t="s">
        <v>17</v>
      </c>
      <c r="B302" s="40" t="s">
        <v>18</v>
      </c>
      <c r="C302" s="40" t="s">
        <v>19</v>
      </c>
      <c r="D302" s="40" t="s">
        <v>20</v>
      </c>
      <c r="E302" s="40" t="s">
        <v>21</v>
      </c>
      <c r="F302" s="40" t="s">
        <v>116</v>
      </c>
      <c r="G302" s="40" t="s">
        <v>117</v>
      </c>
      <c r="H302" s="40" t="s">
        <v>149</v>
      </c>
      <c r="I302" s="40" t="s">
        <v>151</v>
      </c>
      <c r="J302" s="40">
        <v>0.57647088528430712</v>
      </c>
      <c r="K302" s="40">
        <v>0.5279259686287866</v>
      </c>
      <c r="L302" s="40">
        <v>1.5170286454850189E-2</v>
      </c>
      <c r="M302" s="40">
        <v>1.289474348662266</v>
      </c>
      <c r="N302" s="40">
        <v>9.1021718729101128E-2</v>
      </c>
      <c r="O302" s="40">
        <v>0.12979697090769818</v>
      </c>
      <c r="P302" s="40"/>
      <c r="Q302" s="41" t="s">
        <v>26</v>
      </c>
    </row>
    <row r="303" spans="1:17" x14ac:dyDescent="0.25">
      <c r="A303" s="40" t="s">
        <v>17</v>
      </c>
      <c r="B303" s="40" t="s">
        <v>18</v>
      </c>
      <c r="C303" s="40" t="s">
        <v>19</v>
      </c>
      <c r="D303" s="40" t="s">
        <v>20</v>
      </c>
      <c r="E303" s="40" t="s">
        <v>21</v>
      </c>
      <c r="F303" s="40" t="s">
        <v>116</v>
      </c>
      <c r="G303" s="40" t="s">
        <v>117</v>
      </c>
      <c r="H303" s="40" t="s">
        <v>143</v>
      </c>
      <c r="I303" s="40" t="s">
        <v>148</v>
      </c>
      <c r="J303" s="40">
        <v>0.38432591252779835</v>
      </c>
      <c r="K303" s="40">
        <v>8.5205054807412903E-2</v>
      </c>
      <c r="L303" s="40"/>
      <c r="M303" s="40"/>
      <c r="N303" s="40"/>
      <c r="O303" s="40"/>
      <c r="P303" s="40"/>
      <c r="Q303" s="41" t="s">
        <v>26</v>
      </c>
    </row>
    <row r="304" spans="1:17" x14ac:dyDescent="0.25">
      <c r="A304" s="40" t="s">
        <v>17</v>
      </c>
      <c r="B304" s="40" t="s">
        <v>18</v>
      </c>
      <c r="C304" s="40" t="s">
        <v>19</v>
      </c>
      <c r="D304" s="40" t="s">
        <v>20</v>
      </c>
      <c r="E304" s="40" t="s">
        <v>21</v>
      </c>
      <c r="F304" s="40" t="s">
        <v>116</v>
      </c>
      <c r="G304" s="40" t="s">
        <v>117</v>
      </c>
      <c r="H304" s="40" t="s">
        <v>153</v>
      </c>
      <c r="I304" s="40" t="s">
        <v>154</v>
      </c>
      <c r="J304" s="40">
        <v>0.14640945794284269</v>
      </c>
      <c r="K304" s="40">
        <v>2.2701504334884114E-2</v>
      </c>
      <c r="L304" s="40"/>
      <c r="M304" s="40"/>
      <c r="N304" s="40"/>
      <c r="O304" s="40"/>
      <c r="P304" s="40"/>
      <c r="Q304" s="41" t="s">
        <v>26</v>
      </c>
    </row>
    <row r="305" spans="1:17" x14ac:dyDescent="0.25">
      <c r="A305" s="40" t="s">
        <v>17</v>
      </c>
      <c r="B305" s="43" t="s">
        <v>18</v>
      </c>
      <c r="C305" s="40" t="s">
        <v>19</v>
      </c>
      <c r="D305" s="43" t="s">
        <v>20</v>
      </c>
      <c r="E305" s="43" t="s">
        <v>21</v>
      </c>
      <c r="F305" s="43" t="s">
        <v>116</v>
      </c>
      <c r="G305" s="43" t="s">
        <v>117</v>
      </c>
      <c r="H305" s="43" t="s">
        <v>143</v>
      </c>
      <c r="I305" s="43" t="s">
        <v>243</v>
      </c>
      <c r="J305" s="43">
        <v>6.4485462493687404E-2</v>
      </c>
      <c r="K305" s="43">
        <v>6.1396980274185921E-2</v>
      </c>
      <c r="L305" s="43">
        <v>1.8695554557461649E-3</v>
      </c>
      <c r="M305" s="43">
        <v>0.42257573091535849</v>
      </c>
      <c r="N305" s="43">
        <v>1.4269666114601696E-2</v>
      </c>
      <c r="O305" s="43">
        <v>3.2845211903123492E-2</v>
      </c>
      <c r="P305" s="43">
        <v>8.4544085421289633E-3</v>
      </c>
      <c r="Q305" s="41" t="s">
        <v>26</v>
      </c>
    </row>
    <row r="306" spans="1:17" x14ac:dyDescent="0.25">
      <c r="A306" s="40" t="s">
        <v>17</v>
      </c>
      <c r="B306" s="43" t="s">
        <v>18</v>
      </c>
      <c r="C306" s="40" t="s">
        <v>19</v>
      </c>
      <c r="D306" s="43" t="s">
        <v>20</v>
      </c>
      <c r="E306" s="43" t="s">
        <v>21</v>
      </c>
      <c r="F306" s="43" t="s">
        <v>116</v>
      </c>
      <c r="G306" s="43" t="s">
        <v>117</v>
      </c>
      <c r="H306" s="40" t="s">
        <v>24</v>
      </c>
      <c r="I306" s="40" t="s">
        <v>238</v>
      </c>
      <c r="J306" s="43">
        <v>2.536757401657487E-2</v>
      </c>
      <c r="K306" s="43">
        <v>2.536757401657487E-2</v>
      </c>
      <c r="L306" s="43">
        <v>2.9686230469174947E-3</v>
      </c>
      <c r="M306" s="43">
        <v>0.21752410054287147</v>
      </c>
      <c r="N306" s="43">
        <v>0.36064779046608247</v>
      </c>
      <c r="O306" s="43">
        <v>2.1689600479744844E-2</v>
      </c>
      <c r="P306" s="43">
        <v>2.1945087800060692E-4</v>
      </c>
      <c r="Q306" s="41" t="s">
        <v>26</v>
      </c>
    </row>
    <row r="307" spans="1:17" x14ac:dyDescent="0.25">
      <c r="A307" s="40" t="s">
        <v>17</v>
      </c>
      <c r="B307" s="43" t="s">
        <v>18</v>
      </c>
      <c r="C307" s="40" t="s">
        <v>19</v>
      </c>
      <c r="D307" s="43" t="s">
        <v>20</v>
      </c>
      <c r="E307" s="43" t="s">
        <v>21</v>
      </c>
      <c r="F307" s="43" t="s">
        <v>116</v>
      </c>
      <c r="G307" s="43" t="s">
        <v>117</v>
      </c>
      <c r="H307" s="43" t="s">
        <v>24</v>
      </c>
      <c r="I307" s="43" t="s">
        <v>239</v>
      </c>
      <c r="J307" s="43">
        <v>1.7378767842929368E-2</v>
      </c>
      <c r="K307" s="43">
        <v>1.182147965013128E-2</v>
      </c>
      <c r="L307" s="43">
        <v>1.6319985667420029E-3</v>
      </c>
      <c r="M307" s="43">
        <v>0.11901531221914716</v>
      </c>
      <c r="N307" s="43">
        <v>0.29101135214262863</v>
      </c>
      <c r="O307" s="43">
        <v>6.518796314877659E-3</v>
      </c>
      <c r="P307" s="43">
        <v>5.8497770450506199E-3</v>
      </c>
      <c r="Q307" s="41" t="s">
        <v>26</v>
      </c>
    </row>
    <row r="308" spans="1:17" x14ac:dyDescent="0.25">
      <c r="A308" s="40" t="s">
        <v>17</v>
      </c>
      <c r="B308" s="40" t="s">
        <v>18</v>
      </c>
      <c r="C308" s="40" t="s">
        <v>19</v>
      </c>
      <c r="D308" s="40" t="s">
        <v>20</v>
      </c>
      <c r="E308" s="40" t="s">
        <v>21</v>
      </c>
      <c r="F308" s="40" t="s">
        <v>116</v>
      </c>
      <c r="G308" s="40" t="s">
        <v>117</v>
      </c>
      <c r="H308" s="40" t="s">
        <v>153</v>
      </c>
      <c r="I308" s="40" t="s">
        <v>158</v>
      </c>
      <c r="J308" s="40">
        <v>1.2211144870550668E-2</v>
      </c>
      <c r="K308" s="40">
        <v>1.1403224132423499E-2</v>
      </c>
      <c r="L308" s="40">
        <v>0</v>
      </c>
      <c r="M308" s="40">
        <v>0.19390097715052101</v>
      </c>
      <c r="N308" s="40">
        <v>4.616689932155262E-3</v>
      </c>
      <c r="O308" s="40">
        <v>1.2026477273264459E-2</v>
      </c>
      <c r="P308" s="40">
        <v>0</v>
      </c>
      <c r="Q308" s="41" t="s">
        <v>26</v>
      </c>
    </row>
    <row r="309" spans="1:17" x14ac:dyDescent="0.25">
      <c r="A309" s="40" t="s">
        <v>17</v>
      </c>
      <c r="B309" s="40" t="s">
        <v>18</v>
      </c>
      <c r="C309" s="40" t="s">
        <v>19</v>
      </c>
      <c r="D309" s="40" t="s">
        <v>20</v>
      </c>
      <c r="E309" s="40" t="s">
        <v>21</v>
      </c>
      <c r="F309" s="40" t="s">
        <v>116</v>
      </c>
      <c r="G309" s="40" t="s">
        <v>117</v>
      </c>
      <c r="H309" s="40" t="s">
        <v>24</v>
      </c>
      <c r="I309" s="40" t="s">
        <v>25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0">
        <v>0</v>
      </c>
      <c r="P309" s="40">
        <v>0</v>
      </c>
      <c r="Q309" s="41" t="s">
        <v>26</v>
      </c>
    </row>
    <row r="310" spans="1:17" x14ac:dyDescent="0.25">
      <c r="A310" s="40" t="s">
        <v>17</v>
      </c>
      <c r="B310" s="40" t="s">
        <v>18</v>
      </c>
      <c r="C310" s="40" t="s">
        <v>19</v>
      </c>
      <c r="D310" s="40" t="s">
        <v>20</v>
      </c>
      <c r="E310" s="40" t="s">
        <v>21</v>
      </c>
      <c r="F310" s="40" t="s">
        <v>116</v>
      </c>
      <c r="G310" s="40" t="s">
        <v>117</v>
      </c>
      <c r="H310" s="40" t="s">
        <v>139</v>
      </c>
      <c r="I310" s="40" t="s">
        <v>140</v>
      </c>
      <c r="J310" s="40">
        <v>0</v>
      </c>
      <c r="K310" s="40">
        <v>0</v>
      </c>
      <c r="L310" s="40"/>
      <c r="M310" s="40"/>
      <c r="N310" s="40"/>
      <c r="O310" s="40"/>
      <c r="P310" s="40"/>
      <c r="Q310" s="41" t="s">
        <v>26</v>
      </c>
    </row>
    <row r="311" spans="1:17" x14ac:dyDescent="0.25">
      <c r="A311" s="40" t="s">
        <v>17</v>
      </c>
      <c r="B311" s="40" t="s">
        <v>18</v>
      </c>
      <c r="C311" s="40" t="s">
        <v>19</v>
      </c>
      <c r="D311" s="40" t="s">
        <v>20</v>
      </c>
      <c r="E311" s="40" t="s">
        <v>21</v>
      </c>
      <c r="F311" s="40" t="s">
        <v>116</v>
      </c>
      <c r="G311" s="40" t="s">
        <v>117</v>
      </c>
      <c r="H311" s="40" t="s">
        <v>149</v>
      </c>
      <c r="I311" s="40" t="s">
        <v>152</v>
      </c>
      <c r="J311" s="40">
        <v>0</v>
      </c>
      <c r="K311" s="40">
        <v>0</v>
      </c>
      <c r="L311" s="40">
        <v>0</v>
      </c>
      <c r="M311" s="40">
        <v>0</v>
      </c>
      <c r="N311" s="40"/>
      <c r="O311" s="40">
        <v>0</v>
      </c>
      <c r="P311" s="40"/>
      <c r="Q311" s="41" t="s">
        <v>26</v>
      </c>
    </row>
    <row r="312" spans="1:17" x14ac:dyDescent="0.25">
      <c r="A312" s="40" t="s">
        <v>17</v>
      </c>
      <c r="B312" s="40" t="s">
        <v>18</v>
      </c>
      <c r="C312" s="40" t="s">
        <v>19</v>
      </c>
      <c r="D312" s="40" t="s">
        <v>20</v>
      </c>
      <c r="E312" s="40" t="s">
        <v>21</v>
      </c>
      <c r="F312" s="40" t="s">
        <v>116</v>
      </c>
      <c r="G312" s="40" t="s">
        <v>117</v>
      </c>
      <c r="H312" s="40" t="s">
        <v>153</v>
      </c>
      <c r="I312" s="40" t="s">
        <v>156</v>
      </c>
      <c r="J312" s="40">
        <v>0</v>
      </c>
      <c r="K312" s="40">
        <v>0</v>
      </c>
      <c r="L312" s="40">
        <v>0</v>
      </c>
      <c r="M312" s="40">
        <v>0</v>
      </c>
      <c r="N312" s="40">
        <v>0</v>
      </c>
      <c r="O312" s="40">
        <v>0</v>
      </c>
      <c r="P312" s="40">
        <v>0</v>
      </c>
      <c r="Q312" s="41" t="s">
        <v>137</v>
      </c>
    </row>
    <row r="313" spans="1:17" x14ac:dyDescent="0.25">
      <c r="A313" s="40" t="s">
        <v>17</v>
      </c>
      <c r="B313" s="40" t="s">
        <v>18</v>
      </c>
      <c r="C313" s="40" t="s">
        <v>19</v>
      </c>
      <c r="D313" s="40" t="s">
        <v>20</v>
      </c>
      <c r="E313" s="40" t="s">
        <v>21</v>
      </c>
      <c r="F313" s="40" t="s">
        <v>116</v>
      </c>
      <c r="G313" s="40" t="s">
        <v>117</v>
      </c>
      <c r="H313" s="40" t="s">
        <v>153</v>
      </c>
      <c r="I313" s="40" t="s">
        <v>159</v>
      </c>
      <c r="J313" s="40">
        <v>0</v>
      </c>
      <c r="K313" s="40">
        <v>0</v>
      </c>
      <c r="L313" s="40">
        <v>0</v>
      </c>
      <c r="M313" s="40">
        <v>0</v>
      </c>
      <c r="N313" s="40">
        <v>0</v>
      </c>
      <c r="O313" s="40">
        <v>0</v>
      </c>
      <c r="P313" s="40">
        <v>0</v>
      </c>
      <c r="Q313" s="41" t="s">
        <v>26</v>
      </c>
    </row>
    <row r="314" spans="1:17" x14ac:dyDescent="0.25">
      <c r="A314" s="40" t="s">
        <v>17</v>
      </c>
      <c r="B314" s="40" t="s">
        <v>18</v>
      </c>
      <c r="C314" s="40" t="s">
        <v>19</v>
      </c>
      <c r="D314" s="40" t="s">
        <v>20</v>
      </c>
      <c r="E314" s="40" t="s">
        <v>21</v>
      </c>
      <c r="F314" s="40" t="s">
        <v>116</v>
      </c>
      <c r="G314" s="40" t="s">
        <v>117</v>
      </c>
      <c r="H314" s="40" t="s">
        <v>127</v>
      </c>
      <c r="I314" s="40" t="s">
        <v>128</v>
      </c>
      <c r="J314" s="40"/>
      <c r="K314" s="40"/>
      <c r="L314" s="40"/>
      <c r="M314" s="40"/>
      <c r="N314" s="40"/>
      <c r="O314" s="40">
        <v>9.7822817118332656E-2</v>
      </c>
      <c r="P314" s="40"/>
      <c r="Q314" s="41" t="s">
        <v>26</v>
      </c>
    </row>
    <row r="315" spans="1:17" x14ac:dyDescent="0.25">
      <c r="A315" s="40" t="s">
        <v>17</v>
      </c>
      <c r="B315" s="40" t="s">
        <v>18</v>
      </c>
      <c r="C315" s="40" t="s">
        <v>19</v>
      </c>
      <c r="D315" s="40" t="s">
        <v>20</v>
      </c>
      <c r="E315" s="40" t="s">
        <v>21</v>
      </c>
      <c r="F315" s="40" t="s">
        <v>116</v>
      </c>
      <c r="G315" s="40" t="s">
        <v>117</v>
      </c>
      <c r="H315" s="40" t="s">
        <v>127</v>
      </c>
      <c r="I315" s="40" t="s">
        <v>129</v>
      </c>
      <c r="J315" s="40"/>
      <c r="K315" s="40"/>
      <c r="L315" s="40"/>
      <c r="M315" s="40"/>
      <c r="N315" s="40"/>
      <c r="O315" s="40">
        <v>0</v>
      </c>
      <c r="P315" s="40"/>
      <c r="Q315" s="41" t="s">
        <v>26</v>
      </c>
    </row>
    <row r="316" spans="1:17" x14ac:dyDescent="0.25">
      <c r="A316" s="40" t="s">
        <v>17</v>
      </c>
      <c r="B316" s="40" t="s">
        <v>18</v>
      </c>
      <c r="C316" s="40" t="s">
        <v>19</v>
      </c>
      <c r="D316" s="40" t="s">
        <v>20</v>
      </c>
      <c r="E316" s="40" t="s">
        <v>21</v>
      </c>
      <c r="F316" s="40" t="s">
        <v>116</v>
      </c>
      <c r="G316" s="40" t="s">
        <v>117</v>
      </c>
      <c r="H316" s="40" t="s">
        <v>127</v>
      </c>
      <c r="I316" s="40" t="s">
        <v>130</v>
      </c>
      <c r="J316" s="40"/>
      <c r="K316" s="40"/>
      <c r="L316" s="40"/>
      <c r="M316" s="40"/>
      <c r="N316" s="40"/>
      <c r="O316" s="40">
        <v>7.2871100085841292</v>
      </c>
      <c r="P316" s="40"/>
      <c r="Q316" s="41" t="s">
        <v>26</v>
      </c>
    </row>
    <row r="317" spans="1:17" x14ac:dyDescent="0.25">
      <c r="A317" s="40" t="s">
        <v>17</v>
      </c>
      <c r="B317" s="40" t="s">
        <v>18</v>
      </c>
      <c r="C317" s="40" t="s">
        <v>19</v>
      </c>
      <c r="D317" s="40" t="s">
        <v>20</v>
      </c>
      <c r="E317" s="40" t="s">
        <v>21</v>
      </c>
      <c r="F317" s="40" t="s">
        <v>116</v>
      </c>
      <c r="G317" s="40" t="s">
        <v>117</v>
      </c>
      <c r="H317" s="40" t="s">
        <v>127</v>
      </c>
      <c r="I317" s="40" t="s">
        <v>131</v>
      </c>
      <c r="J317" s="40"/>
      <c r="K317" s="40"/>
      <c r="L317" s="40"/>
      <c r="M317" s="40"/>
      <c r="N317" s="40"/>
      <c r="O317" s="40">
        <v>0.77751408560821056</v>
      </c>
      <c r="P317" s="40"/>
      <c r="Q317" s="41" t="s">
        <v>26</v>
      </c>
    </row>
    <row r="318" spans="1:17" x14ac:dyDescent="0.25">
      <c r="A318" s="40" t="s">
        <v>17</v>
      </c>
      <c r="B318" s="40" t="s">
        <v>18</v>
      </c>
      <c r="C318" s="40" t="s">
        <v>19</v>
      </c>
      <c r="D318" s="40" t="s">
        <v>20</v>
      </c>
      <c r="E318" s="40" t="s">
        <v>21</v>
      </c>
      <c r="F318" s="40" t="s">
        <v>116</v>
      </c>
      <c r="G318" s="40" t="s">
        <v>117</v>
      </c>
      <c r="H318" s="40" t="s">
        <v>127</v>
      </c>
      <c r="I318" s="40" t="s">
        <v>132</v>
      </c>
      <c r="J318" s="40"/>
      <c r="K318" s="40"/>
      <c r="L318" s="40"/>
      <c r="M318" s="40"/>
      <c r="N318" s="40"/>
      <c r="O318" s="40">
        <v>16.980341174897365</v>
      </c>
      <c r="P318" s="40"/>
      <c r="Q318" s="41" t="s">
        <v>26</v>
      </c>
    </row>
    <row r="319" spans="1:17" x14ac:dyDescent="0.25">
      <c r="A319" s="40" t="s">
        <v>17</v>
      </c>
      <c r="B319" s="40" t="s">
        <v>18</v>
      </c>
      <c r="C319" s="40" t="s">
        <v>19</v>
      </c>
      <c r="D319" s="40" t="s">
        <v>20</v>
      </c>
      <c r="E319" s="40" t="s">
        <v>21</v>
      </c>
      <c r="F319" s="40" t="s">
        <v>116</v>
      </c>
      <c r="G319" s="40" t="s">
        <v>117</v>
      </c>
      <c r="H319" s="40" t="s">
        <v>127</v>
      </c>
      <c r="I319" s="40" t="s">
        <v>133</v>
      </c>
      <c r="J319" s="40"/>
      <c r="K319" s="40"/>
      <c r="L319" s="40"/>
      <c r="M319" s="40"/>
      <c r="N319" s="40"/>
      <c r="O319" s="40">
        <v>1.1432722118567549</v>
      </c>
      <c r="P319" s="40"/>
      <c r="Q319" s="41" t="s">
        <v>26</v>
      </c>
    </row>
    <row r="320" spans="1:17" x14ac:dyDescent="0.25">
      <c r="A320" s="40" t="s">
        <v>17</v>
      </c>
      <c r="B320" s="40" t="s">
        <v>18</v>
      </c>
      <c r="C320" s="40" t="s">
        <v>19</v>
      </c>
      <c r="D320" s="40" t="s">
        <v>20</v>
      </c>
      <c r="E320" s="40" t="s">
        <v>21</v>
      </c>
      <c r="F320" s="40" t="s">
        <v>116</v>
      </c>
      <c r="G320" s="40" t="s">
        <v>117</v>
      </c>
      <c r="H320" s="40" t="s">
        <v>127</v>
      </c>
      <c r="I320" s="40" t="s">
        <v>134</v>
      </c>
      <c r="J320" s="40"/>
      <c r="K320" s="40"/>
      <c r="L320" s="40"/>
      <c r="M320" s="40"/>
      <c r="N320" s="40"/>
      <c r="O320" s="40">
        <v>40.604899999999994</v>
      </c>
      <c r="P320" s="40"/>
      <c r="Q320" s="41" t="s">
        <v>26</v>
      </c>
    </row>
    <row r="321" spans="1:17" x14ac:dyDescent="0.25">
      <c r="A321" s="40" t="s">
        <v>17</v>
      </c>
      <c r="B321" s="40" t="s">
        <v>18</v>
      </c>
      <c r="C321" s="40" t="s">
        <v>19</v>
      </c>
      <c r="D321" s="40" t="s">
        <v>20</v>
      </c>
      <c r="E321" s="40" t="s">
        <v>21</v>
      </c>
      <c r="F321" s="40" t="s">
        <v>116</v>
      </c>
      <c r="G321" s="40" t="s">
        <v>117</v>
      </c>
      <c r="H321" s="40" t="s">
        <v>135</v>
      </c>
      <c r="I321" s="40" t="s">
        <v>136</v>
      </c>
      <c r="J321" s="40"/>
      <c r="K321" s="40"/>
      <c r="L321" s="40"/>
      <c r="M321" s="40"/>
      <c r="N321" s="40"/>
      <c r="O321" s="40">
        <v>47.564426896387253</v>
      </c>
      <c r="P321" s="40"/>
      <c r="Q321" s="41" t="s">
        <v>137</v>
      </c>
    </row>
    <row r="322" spans="1:17" x14ac:dyDescent="0.25">
      <c r="A322" s="40" t="s">
        <v>17</v>
      </c>
      <c r="B322" s="40" t="s">
        <v>18</v>
      </c>
      <c r="C322" s="40" t="s">
        <v>19</v>
      </c>
      <c r="D322" s="40" t="s">
        <v>20</v>
      </c>
      <c r="E322" s="40" t="s">
        <v>21</v>
      </c>
      <c r="F322" s="40" t="s">
        <v>116</v>
      </c>
      <c r="G322" s="40" t="s">
        <v>117</v>
      </c>
      <c r="H322" s="40" t="s">
        <v>135</v>
      </c>
      <c r="I322" s="40" t="s">
        <v>138</v>
      </c>
      <c r="J322" s="40"/>
      <c r="K322" s="40"/>
      <c r="L322" s="40"/>
      <c r="M322" s="40"/>
      <c r="N322" s="40"/>
      <c r="O322" s="40">
        <v>7.9461503634575879</v>
      </c>
      <c r="P322" s="40"/>
      <c r="Q322" s="41" t="s">
        <v>137</v>
      </c>
    </row>
    <row r="323" spans="1:17" x14ac:dyDescent="0.25">
      <c r="A323" s="40" t="s">
        <v>17</v>
      </c>
      <c r="B323" s="40" t="s">
        <v>18</v>
      </c>
      <c r="C323" s="40" t="s">
        <v>19</v>
      </c>
      <c r="D323" s="40" t="s">
        <v>20</v>
      </c>
      <c r="E323" s="40" t="s">
        <v>21</v>
      </c>
      <c r="F323" s="40" t="s">
        <v>116</v>
      </c>
      <c r="G323" s="40" t="s">
        <v>117</v>
      </c>
      <c r="H323" s="40" t="s">
        <v>139</v>
      </c>
      <c r="I323" s="40" t="s">
        <v>142</v>
      </c>
      <c r="J323" s="40"/>
      <c r="K323" s="40"/>
      <c r="L323" s="40"/>
      <c r="M323" s="40"/>
      <c r="N323" s="40"/>
      <c r="O323" s="40">
        <v>0.33409453917405696</v>
      </c>
      <c r="P323" s="40"/>
      <c r="Q323" s="41" t="s">
        <v>26</v>
      </c>
    </row>
    <row r="324" spans="1:17" x14ac:dyDescent="0.25">
      <c r="A324" s="40" t="s">
        <v>17</v>
      </c>
      <c r="B324" s="40" t="s">
        <v>18</v>
      </c>
      <c r="C324" s="40" t="s">
        <v>19</v>
      </c>
      <c r="D324" s="40" t="s">
        <v>20</v>
      </c>
      <c r="E324" s="40" t="s">
        <v>21</v>
      </c>
      <c r="F324" s="40" t="s">
        <v>116</v>
      </c>
      <c r="G324" s="40" t="s">
        <v>117</v>
      </c>
      <c r="H324" s="40" t="s">
        <v>143</v>
      </c>
      <c r="I324" s="40" t="s">
        <v>144</v>
      </c>
      <c r="J324" s="40"/>
      <c r="K324" s="40"/>
      <c r="L324" s="40"/>
      <c r="M324" s="40"/>
      <c r="N324" s="40"/>
      <c r="O324" s="40"/>
      <c r="P324" s="40">
        <v>4.4218241605263144E-2</v>
      </c>
      <c r="Q324" s="41" t="s">
        <v>26</v>
      </c>
    </row>
    <row r="325" spans="1:17" x14ac:dyDescent="0.25">
      <c r="A325" s="40" t="s">
        <v>17</v>
      </c>
      <c r="B325" s="40" t="s">
        <v>18</v>
      </c>
      <c r="C325" s="40" t="s">
        <v>19</v>
      </c>
      <c r="D325" s="40" t="s">
        <v>20</v>
      </c>
      <c r="E325" s="40" t="s">
        <v>21</v>
      </c>
      <c r="F325" s="40" t="s">
        <v>116</v>
      </c>
      <c r="G325" s="40" t="s">
        <v>117</v>
      </c>
      <c r="H325" s="40" t="s">
        <v>143</v>
      </c>
      <c r="I325" s="40" t="s">
        <v>145</v>
      </c>
      <c r="J325" s="40"/>
      <c r="K325" s="40"/>
      <c r="L325" s="40"/>
      <c r="M325" s="40"/>
      <c r="N325" s="40"/>
      <c r="O325" s="40">
        <v>2.7797257022886472E-3</v>
      </c>
      <c r="P325" s="40"/>
      <c r="Q325" s="41" t="s">
        <v>26</v>
      </c>
    </row>
    <row r="326" spans="1:17" x14ac:dyDescent="0.25">
      <c r="A326" s="40" t="s">
        <v>17</v>
      </c>
      <c r="B326" s="40" t="s">
        <v>18</v>
      </c>
      <c r="C326" s="40" t="s">
        <v>19</v>
      </c>
      <c r="D326" s="40" t="s">
        <v>20</v>
      </c>
      <c r="E326" s="40" t="s">
        <v>21</v>
      </c>
      <c r="F326" s="40" t="s">
        <v>116</v>
      </c>
      <c r="G326" s="40" t="s">
        <v>117</v>
      </c>
      <c r="H326" s="40" t="s">
        <v>143</v>
      </c>
      <c r="I326" s="40" t="s">
        <v>146</v>
      </c>
      <c r="J326" s="40"/>
      <c r="K326" s="40"/>
      <c r="L326" s="40"/>
      <c r="M326" s="40"/>
      <c r="N326" s="40"/>
      <c r="O326" s="40"/>
      <c r="P326" s="40">
        <v>88.180669999999992</v>
      </c>
      <c r="Q326" s="41" t="s">
        <v>26</v>
      </c>
    </row>
    <row r="327" spans="1:17" x14ac:dyDescent="0.25">
      <c r="A327" s="40" t="s">
        <v>17</v>
      </c>
      <c r="B327" s="40" t="s">
        <v>18</v>
      </c>
      <c r="C327" s="40" t="s">
        <v>19</v>
      </c>
      <c r="D327" s="40" t="s">
        <v>20</v>
      </c>
      <c r="E327" s="40" t="s">
        <v>21</v>
      </c>
      <c r="F327" s="40" t="s">
        <v>116</v>
      </c>
      <c r="G327" s="40" t="s">
        <v>117</v>
      </c>
      <c r="H327" s="40" t="s">
        <v>149</v>
      </c>
      <c r="I327" s="40" t="s">
        <v>150</v>
      </c>
      <c r="J327" s="40"/>
      <c r="K327" s="40"/>
      <c r="L327" s="40"/>
      <c r="M327" s="40"/>
      <c r="N327" s="40"/>
      <c r="O327" s="40">
        <v>7.2841484852865248</v>
      </c>
      <c r="P327" s="40"/>
      <c r="Q327" s="41" t="s">
        <v>26</v>
      </c>
    </row>
    <row r="328" spans="1:17" x14ac:dyDescent="0.25">
      <c r="A328" s="40" t="s">
        <v>17</v>
      </c>
      <c r="B328" s="40" t="s">
        <v>18</v>
      </c>
      <c r="C328" s="40" t="s">
        <v>19</v>
      </c>
      <c r="D328" s="40" t="s">
        <v>20</v>
      </c>
      <c r="E328" s="40" t="s">
        <v>21</v>
      </c>
      <c r="F328" s="40" t="s">
        <v>116</v>
      </c>
      <c r="G328" s="40" t="s">
        <v>117</v>
      </c>
      <c r="H328" s="40" t="s">
        <v>153</v>
      </c>
      <c r="I328" s="40" t="s">
        <v>155</v>
      </c>
      <c r="J328" s="40"/>
      <c r="K328" s="40"/>
      <c r="L328" s="40"/>
      <c r="M328" s="40"/>
      <c r="N328" s="40"/>
      <c r="O328" s="40"/>
      <c r="P328" s="40">
        <v>23.319511506657093</v>
      </c>
      <c r="Q328" s="41" t="s">
        <v>26</v>
      </c>
    </row>
    <row r="329" spans="1:17" x14ac:dyDescent="0.25">
      <c r="A329" s="40" t="s">
        <v>17</v>
      </c>
      <c r="B329" s="40" t="s">
        <v>18</v>
      </c>
      <c r="C329" s="40" t="s">
        <v>19</v>
      </c>
      <c r="D329" s="40" t="s">
        <v>20</v>
      </c>
      <c r="E329" s="40" t="s">
        <v>21</v>
      </c>
      <c r="F329" s="40" t="s">
        <v>116</v>
      </c>
      <c r="G329" s="40" t="s">
        <v>117</v>
      </c>
      <c r="H329" s="40" t="s">
        <v>153</v>
      </c>
      <c r="I329" s="40" t="s">
        <v>157</v>
      </c>
      <c r="J329" s="40"/>
      <c r="K329" s="40"/>
      <c r="L329" s="40"/>
      <c r="M329" s="40"/>
      <c r="N329" s="40"/>
      <c r="O329" s="40">
        <v>2.4599999999999999E-3</v>
      </c>
      <c r="P329" s="40"/>
      <c r="Q329" s="41" t="s">
        <v>26</v>
      </c>
    </row>
    <row r="330" spans="1:17" x14ac:dyDescent="0.25">
      <c r="A330" s="40" t="s">
        <v>17</v>
      </c>
      <c r="B330" s="43" t="s">
        <v>18</v>
      </c>
      <c r="C330" s="40" t="s">
        <v>19</v>
      </c>
      <c r="D330" s="43" t="s">
        <v>20</v>
      </c>
      <c r="E330" s="43" t="s">
        <v>21</v>
      </c>
      <c r="F330" s="43" t="s">
        <v>116</v>
      </c>
      <c r="G330" s="43" t="s">
        <v>117</v>
      </c>
      <c r="H330" s="43" t="s">
        <v>240</v>
      </c>
      <c r="I330" s="43" t="s">
        <v>241</v>
      </c>
      <c r="J330" s="43"/>
      <c r="K330" s="43"/>
      <c r="L330" s="43"/>
      <c r="M330" s="43"/>
      <c r="N330" s="43"/>
      <c r="O330" s="43">
        <v>1.9629142392713781</v>
      </c>
      <c r="P330" s="43"/>
      <c r="Q330" s="41" t="s">
        <v>26</v>
      </c>
    </row>
    <row r="331" spans="1:17" x14ac:dyDescent="0.25">
      <c r="A331" s="40" t="s">
        <v>17</v>
      </c>
      <c r="B331" s="43" t="s">
        <v>18</v>
      </c>
      <c r="C331" s="40" t="s">
        <v>19</v>
      </c>
      <c r="D331" s="43" t="s">
        <v>20</v>
      </c>
      <c r="E331" s="43" t="s">
        <v>21</v>
      </c>
      <c r="F331" s="43" t="s">
        <v>116</v>
      </c>
      <c r="G331" s="43" t="s">
        <v>117</v>
      </c>
      <c r="H331" s="43" t="s">
        <v>240</v>
      </c>
      <c r="I331" s="43" t="s">
        <v>242</v>
      </c>
      <c r="J331" s="43"/>
      <c r="K331" s="43"/>
      <c r="L331" s="43"/>
      <c r="M331" s="43"/>
      <c r="N331" s="43"/>
      <c r="O331" s="43">
        <v>0.17617810679834123</v>
      </c>
      <c r="P331" s="43"/>
      <c r="Q331" s="41" t="s">
        <v>26</v>
      </c>
    </row>
    <row r="332" spans="1:17" x14ac:dyDescent="0.25">
      <c r="A332" s="40" t="s">
        <v>17</v>
      </c>
      <c r="B332" s="40" t="s">
        <v>18</v>
      </c>
      <c r="C332" s="40" t="s">
        <v>19</v>
      </c>
      <c r="D332" s="40" t="s">
        <v>20</v>
      </c>
      <c r="E332" s="40" t="s">
        <v>21</v>
      </c>
      <c r="F332" s="40" t="s">
        <v>85</v>
      </c>
      <c r="G332" s="40" t="s">
        <v>86</v>
      </c>
      <c r="H332" s="40" t="s">
        <v>139</v>
      </c>
      <c r="I332" s="40" t="s">
        <v>141</v>
      </c>
      <c r="J332" s="40">
        <v>28.579086900000039</v>
      </c>
      <c r="K332" s="40">
        <v>22.80896925488997</v>
      </c>
      <c r="L332" s="40">
        <v>0</v>
      </c>
      <c r="M332" s="40">
        <v>56.89722653999997</v>
      </c>
      <c r="N332" s="40">
        <v>1.0473636600000009</v>
      </c>
      <c r="O332" s="40">
        <v>3.6711347400000043</v>
      </c>
      <c r="P332" s="40">
        <v>0</v>
      </c>
      <c r="Q332" s="41" t="s">
        <v>26</v>
      </c>
    </row>
    <row r="333" spans="1:17" x14ac:dyDescent="0.25">
      <c r="A333" s="40" t="s">
        <v>17</v>
      </c>
      <c r="B333" s="40" t="s">
        <v>18</v>
      </c>
      <c r="C333" s="40" t="s">
        <v>19</v>
      </c>
      <c r="D333" s="40" t="s">
        <v>20</v>
      </c>
      <c r="E333" s="40" t="s">
        <v>21</v>
      </c>
      <c r="F333" s="40" t="s">
        <v>85</v>
      </c>
      <c r="G333" s="40" t="s">
        <v>86</v>
      </c>
      <c r="H333" s="40" t="s">
        <v>24</v>
      </c>
      <c r="I333" s="40" t="s">
        <v>126</v>
      </c>
      <c r="J333" s="40">
        <v>24.3104921282651</v>
      </c>
      <c r="K333" s="40">
        <v>23.502819293440869</v>
      </c>
      <c r="L333" s="40">
        <v>0.91139019422530376</v>
      </c>
      <c r="M333" s="40">
        <v>204.91325807826283</v>
      </c>
      <c r="N333" s="40">
        <v>41.582094820543951</v>
      </c>
      <c r="O333" s="40">
        <v>83.591490559955147</v>
      </c>
      <c r="P333" s="40">
        <v>1.4137698301918691</v>
      </c>
      <c r="Q333" s="41" t="s">
        <v>26</v>
      </c>
    </row>
    <row r="334" spans="1:17" x14ac:dyDescent="0.25">
      <c r="A334" s="40" t="s">
        <v>17</v>
      </c>
      <c r="B334" s="40" t="s">
        <v>18</v>
      </c>
      <c r="C334" s="40" t="s">
        <v>19</v>
      </c>
      <c r="D334" s="40" t="s">
        <v>20</v>
      </c>
      <c r="E334" s="40" t="s">
        <v>21</v>
      </c>
      <c r="F334" s="40" t="s">
        <v>85</v>
      </c>
      <c r="G334" s="40" t="s">
        <v>86</v>
      </c>
      <c r="H334" s="40" t="s">
        <v>153</v>
      </c>
      <c r="I334" s="40" t="s">
        <v>154</v>
      </c>
      <c r="J334" s="40">
        <v>13.45296750074356</v>
      </c>
      <c r="K334" s="40">
        <v>2.0859485741311348</v>
      </c>
      <c r="L334" s="40"/>
      <c r="M334" s="40"/>
      <c r="N334" s="40"/>
      <c r="O334" s="40"/>
      <c r="P334" s="40"/>
      <c r="Q334" s="41" t="s">
        <v>26</v>
      </c>
    </row>
    <row r="335" spans="1:17" x14ac:dyDescent="0.25">
      <c r="A335" s="40" t="s">
        <v>17</v>
      </c>
      <c r="B335" s="40" t="s">
        <v>18</v>
      </c>
      <c r="C335" s="40" t="s">
        <v>19</v>
      </c>
      <c r="D335" s="40" t="s">
        <v>20</v>
      </c>
      <c r="E335" s="40" t="s">
        <v>21</v>
      </c>
      <c r="F335" s="40" t="s">
        <v>85</v>
      </c>
      <c r="G335" s="40" t="s">
        <v>86</v>
      </c>
      <c r="H335" s="40" t="s">
        <v>149</v>
      </c>
      <c r="I335" s="40" t="s">
        <v>151</v>
      </c>
      <c r="J335" s="40">
        <v>3.4852654009447162</v>
      </c>
      <c r="K335" s="40">
        <v>3.1917693671809508</v>
      </c>
      <c r="L335" s="40">
        <v>9.1717510551176745E-2</v>
      </c>
      <c r="M335" s="40">
        <v>7.7959883968500234</v>
      </c>
      <c r="N335" s="40">
        <v>0.55030506330706042</v>
      </c>
      <c r="O335" s="40">
        <v>0.78473502027586817</v>
      </c>
      <c r="P335" s="40"/>
      <c r="Q335" s="41" t="s">
        <v>26</v>
      </c>
    </row>
    <row r="336" spans="1:17" x14ac:dyDescent="0.25">
      <c r="A336" s="40" t="s">
        <v>17</v>
      </c>
      <c r="B336" s="40" t="s">
        <v>18</v>
      </c>
      <c r="C336" s="40" t="s">
        <v>19</v>
      </c>
      <c r="D336" s="40" t="s">
        <v>20</v>
      </c>
      <c r="E336" s="40" t="s">
        <v>21</v>
      </c>
      <c r="F336" s="40" t="s">
        <v>85</v>
      </c>
      <c r="G336" s="40" t="s">
        <v>86</v>
      </c>
      <c r="H336" s="40" t="s">
        <v>143</v>
      </c>
      <c r="I336" s="40" t="s">
        <v>148</v>
      </c>
      <c r="J336" s="40">
        <v>1.7069046914751669</v>
      </c>
      <c r="K336" s="40">
        <v>0.37842077010004449</v>
      </c>
      <c r="L336" s="40"/>
      <c r="M336" s="40"/>
      <c r="N336" s="40"/>
      <c r="O336" s="40"/>
      <c r="P336" s="40"/>
      <c r="Q336" s="41" t="s">
        <v>26</v>
      </c>
    </row>
    <row r="337" spans="1:17" x14ac:dyDescent="0.25">
      <c r="A337" s="40" t="s">
        <v>17</v>
      </c>
      <c r="B337" s="40" t="s">
        <v>18</v>
      </c>
      <c r="C337" s="40" t="s">
        <v>19</v>
      </c>
      <c r="D337" s="40" t="s">
        <v>20</v>
      </c>
      <c r="E337" s="40" t="s">
        <v>21</v>
      </c>
      <c r="F337" s="40" t="s">
        <v>85</v>
      </c>
      <c r="G337" s="40" t="s">
        <v>86</v>
      </c>
      <c r="H337" s="40" t="s">
        <v>143</v>
      </c>
      <c r="I337" s="40" t="s">
        <v>147</v>
      </c>
      <c r="J337" s="40">
        <v>0.43805880000000003</v>
      </c>
      <c r="K337" s="40">
        <v>5.0026314959999998E-2</v>
      </c>
      <c r="L337" s="40"/>
      <c r="M337" s="40"/>
      <c r="N337" s="40"/>
      <c r="O337" s="40"/>
      <c r="P337" s="40"/>
      <c r="Q337" s="41" t="s">
        <v>26</v>
      </c>
    </row>
    <row r="338" spans="1:17" x14ac:dyDescent="0.25">
      <c r="A338" s="40" t="s">
        <v>17</v>
      </c>
      <c r="B338" s="40" t="s">
        <v>18</v>
      </c>
      <c r="C338" s="40" t="s">
        <v>19</v>
      </c>
      <c r="D338" s="40" t="s">
        <v>20</v>
      </c>
      <c r="E338" s="40" t="s">
        <v>21</v>
      </c>
      <c r="F338" s="40" t="s">
        <v>85</v>
      </c>
      <c r="G338" s="40" t="s">
        <v>86</v>
      </c>
      <c r="H338" s="40" t="s">
        <v>153</v>
      </c>
      <c r="I338" s="40" t="s">
        <v>158</v>
      </c>
      <c r="J338" s="40">
        <v>0.28096574349680514</v>
      </c>
      <c r="K338" s="40">
        <v>0.26237632757546647</v>
      </c>
      <c r="L338" s="40">
        <v>0</v>
      </c>
      <c r="M338" s="40">
        <v>4.4614598211212915</v>
      </c>
      <c r="N338" s="40">
        <v>0.10622523383622122</v>
      </c>
      <c r="O338" s="40">
        <v>0.27671673414335629</v>
      </c>
      <c r="P338" s="40">
        <v>0</v>
      </c>
      <c r="Q338" s="41" t="s">
        <v>26</v>
      </c>
    </row>
    <row r="339" spans="1:17" x14ac:dyDescent="0.25">
      <c r="A339" s="40" t="s">
        <v>17</v>
      </c>
      <c r="B339" s="43" t="s">
        <v>18</v>
      </c>
      <c r="C339" s="40" t="s">
        <v>19</v>
      </c>
      <c r="D339" s="43" t="s">
        <v>20</v>
      </c>
      <c r="E339" s="43" t="s">
        <v>21</v>
      </c>
      <c r="F339" s="43" t="s">
        <v>85</v>
      </c>
      <c r="G339" s="43" t="s">
        <v>86</v>
      </c>
      <c r="H339" s="40" t="s">
        <v>24</v>
      </c>
      <c r="I339" s="40" t="s">
        <v>238</v>
      </c>
      <c r="J339" s="43">
        <v>0.25051338676530843</v>
      </c>
      <c r="K339" s="43">
        <v>0.25051338676530843</v>
      </c>
      <c r="L339" s="43">
        <v>2.9316158219423721E-2</v>
      </c>
      <c r="M339" s="43">
        <v>2.1481241798867847</v>
      </c>
      <c r="N339" s="43">
        <v>3.5615191015132917</v>
      </c>
      <c r="O339" s="43">
        <v>0.21419215216311713</v>
      </c>
      <c r="P339" s="43">
        <v>2.1671517599843142E-3</v>
      </c>
      <c r="Q339" s="41" t="s">
        <v>26</v>
      </c>
    </row>
    <row r="340" spans="1:17" x14ac:dyDescent="0.25">
      <c r="A340" s="40" t="s">
        <v>17</v>
      </c>
      <c r="B340" s="43" t="s">
        <v>18</v>
      </c>
      <c r="C340" s="40" t="s">
        <v>19</v>
      </c>
      <c r="D340" s="43" t="s">
        <v>20</v>
      </c>
      <c r="E340" s="43" t="s">
        <v>21</v>
      </c>
      <c r="F340" s="43" t="s">
        <v>85</v>
      </c>
      <c r="G340" s="43" t="s">
        <v>86</v>
      </c>
      <c r="H340" s="43" t="s">
        <v>24</v>
      </c>
      <c r="I340" s="43" t="s">
        <v>239</v>
      </c>
      <c r="J340" s="43">
        <v>0.22604814514688298</v>
      </c>
      <c r="K340" s="43">
        <v>0.1537636944089224</v>
      </c>
      <c r="L340" s="43">
        <v>2.1227641236055417E-2</v>
      </c>
      <c r="M340" s="43">
        <v>1.5480493677324227</v>
      </c>
      <c r="N340" s="43">
        <v>3.7852267182043948</v>
      </c>
      <c r="O340" s="43">
        <v>8.4790925851970358E-2</v>
      </c>
      <c r="P340" s="43">
        <v>7.6088895513642729E-2</v>
      </c>
      <c r="Q340" s="41" t="s">
        <v>26</v>
      </c>
    </row>
    <row r="341" spans="1:17" x14ac:dyDescent="0.25">
      <c r="A341" s="40" t="s">
        <v>17</v>
      </c>
      <c r="B341" s="43" t="s">
        <v>18</v>
      </c>
      <c r="C341" s="40" t="s">
        <v>19</v>
      </c>
      <c r="D341" s="43" t="s">
        <v>20</v>
      </c>
      <c r="E341" s="43" t="s">
        <v>21</v>
      </c>
      <c r="F341" s="43" t="s">
        <v>85</v>
      </c>
      <c r="G341" s="43" t="s">
        <v>86</v>
      </c>
      <c r="H341" s="43" t="s">
        <v>143</v>
      </c>
      <c r="I341" s="43" t="s">
        <v>243</v>
      </c>
      <c r="J341" s="43">
        <v>5.1773563193574609E-2</v>
      </c>
      <c r="K341" s="43">
        <v>4.9476798255641483E-2</v>
      </c>
      <c r="L341" s="43">
        <v>1.7343376214246282E-3</v>
      </c>
      <c r="M341" s="43">
        <v>0.23707319726659831</v>
      </c>
      <c r="N341" s="43">
        <v>1.3394060894141751E-2</v>
      </c>
      <c r="O341" s="43">
        <v>1.7710858604315583E-2</v>
      </c>
      <c r="P341" s="43">
        <v>4.7408589438361209E-3</v>
      </c>
      <c r="Q341" s="41" t="s">
        <v>26</v>
      </c>
    </row>
    <row r="342" spans="1:17" x14ac:dyDescent="0.25">
      <c r="A342" s="40" t="s">
        <v>17</v>
      </c>
      <c r="B342" s="40" t="s">
        <v>18</v>
      </c>
      <c r="C342" s="40" t="s">
        <v>19</v>
      </c>
      <c r="D342" s="40" t="s">
        <v>20</v>
      </c>
      <c r="E342" s="40" t="s">
        <v>21</v>
      </c>
      <c r="F342" s="40" t="s">
        <v>85</v>
      </c>
      <c r="G342" s="40" t="s">
        <v>86</v>
      </c>
      <c r="H342" s="40" t="s">
        <v>24</v>
      </c>
      <c r="I342" s="40" t="s">
        <v>25</v>
      </c>
      <c r="J342" s="40">
        <v>0</v>
      </c>
      <c r="K342" s="40">
        <v>0</v>
      </c>
      <c r="L342" s="40">
        <v>0</v>
      </c>
      <c r="M342" s="40">
        <v>0</v>
      </c>
      <c r="N342" s="40">
        <v>0</v>
      </c>
      <c r="O342" s="40">
        <v>0</v>
      </c>
      <c r="P342" s="40">
        <v>0</v>
      </c>
      <c r="Q342" s="41" t="s">
        <v>26</v>
      </c>
    </row>
    <row r="343" spans="1:17" x14ac:dyDescent="0.25">
      <c r="A343" s="40" t="s">
        <v>17</v>
      </c>
      <c r="B343" s="40" t="s">
        <v>18</v>
      </c>
      <c r="C343" s="40" t="s">
        <v>19</v>
      </c>
      <c r="D343" s="40" t="s">
        <v>20</v>
      </c>
      <c r="E343" s="40" t="s">
        <v>21</v>
      </c>
      <c r="F343" s="40" t="s">
        <v>85</v>
      </c>
      <c r="G343" s="40" t="s">
        <v>86</v>
      </c>
      <c r="H343" s="40" t="s">
        <v>139</v>
      </c>
      <c r="I343" s="40" t="s">
        <v>140</v>
      </c>
      <c r="J343" s="40">
        <v>0</v>
      </c>
      <c r="K343" s="40">
        <v>0</v>
      </c>
      <c r="L343" s="40"/>
      <c r="M343" s="40"/>
      <c r="N343" s="40"/>
      <c r="O343" s="40"/>
      <c r="P343" s="40"/>
      <c r="Q343" s="41" t="s">
        <v>26</v>
      </c>
    </row>
    <row r="344" spans="1:17" x14ac:dyDescent="0.25">
      <c r="A344" s="40" t="s">
        <v>17</v>
      </c>
      <c r="B344" s="40" t="s">
        <v>18</v>
      </c>
      <c r="C344" s="40" t="s">
        <v>19</v>
      </c>
      <c r="D344" s="40" t="s">
        <v>20</v>
      </c>
      <c r="E344" s="40" t="s">
        <v>21</v>
      </c>
      <c r="F344" s="40" t="s">
        <v>85</v>
      </c>
      <c r="G344" s="40" t="s">
        <v>86</v>
      </c>
      <c r="H344" s="40" t="s">
        <v>149</v>
      </c>
      <c r="I344" s="40" t="s">
        <v>152</v>
      </c>
      <c r="J344" s="40">
        <v>0</v>
      </c>
      <c r="K344" s="40">
        <v>0</v>
      </c>
      <c r="L344" s="40">
        <v>0</v>
      </c>
      <c r="M344" s="40">
        <v>0</v>
      </c>
      <c r="N344" s="40"/>
      <c r="O344" s="40">
        <v>0</v>
      </c>
      <c r="P344" s="40"/>
      <c r="Q344" s="41" t="s">
        <v>26</v>
      </c>
    </row>
    <row r="345" spans="1:17" x14ac:dyDescent="0.25">
      <c r="A345" s="40" t="s">
        <v>17</v>
      </c>
      <c r="B345" s="40" t="s">
        <v>18</v>
      </c>
      <c r="C345" s="40" t="s">
        <v>19</v>
      </c>
      <c r="D345" s="40" t="s">
        <v>20</v>
      </c>
      <c r="E345" s="40" t="s">
        <v>21</v>
      </c>
      <c r="F345" s="40" t="s">
        <v>85</v>
      </c>
      <c r="G345" s="40" t="s">
        <v>86</v>
      </c>
      <c r="H345" s="40" t="s">
        <v>153</v>
      </c>
      <c r="I345" s="40" t="s">
        <v>156</v>
      </c>
      <c r="J345" s="40">
        <v>0</v>
      </c>
      <c r="K345" s="40">
        <v>0</v>
      </c>
      <c r="L345" s="40">
        <v>0</v>
      </c>
      <c r="M345" s="40">
        <v>0</v>
      </c>
      <c r="N345" s="40">
        <v>0</v>
      </c>
      <c r="O345" s="40">
        <v>0</v>
      </c>
      <c r="P345" s="40">
        <v>0</v>
      </c>
      <c r="Q345" s="41" t="s">
        <v>137</v>
      </c>
    </row>
    <row r="346" spans="1:17" x14ac:dyDescent="0.25">
      <c r="A346" s="40" t="s">
        <v>17</v>
      </c>
      <c r="B346" s="40" t="s">
        <v>18</v>
      </c>
      <c r="C346" s="40" t="s">
        <v>19</v>
      </c>
      <c r="D346" s="40" t="s">
        <v>20</v>
      </c>
      <c r="E346" s="40" t="s">
        <v>21</v>
      </c>
      <c r="F346" s="40" t="s">
        <v>85</v>
      </c>
      <c r="G346" s="40" t="s">
        <v>86</v>
      </c>
      <c r="H346" s="40" t="s">
        <v>153</v>
      </c>
      <c r="I346" s="40" t="s">
        <v>159</v>
      </c>
      <c r="J346" s="40">
        <v>0</v>
      </c>
      <c r="K346" s="40">
        <v>0</v>
      </c>
      <c r="L346" s="40">
        <v>0</v>
      </c>
      <c r="M346" s="40">
        <v>0</v>
      </c>
      <c r="N346" s="40">
        <v>0</v>
      </c>
      <c r="O346" s="40">
        <v>0</v>
      </c>
      <c r="P346" s="40">
        <v>0</v>
      </c>
      <c r="Q346" s="41" t="s">
        <v>26</v>
      </c>
    </row>
    <row r="347" spans="1:17" x14ac:dyDescent="0.25">
      <c r="A347" s="40" t="s">
        <v>17</v>
      </c>
      <c r="B347" s="40" t="s">
        <v>18</v>
      </c>
      <c r="C347" s="40" t="s">
        <v>19</v>
      </c>
      <c r="D347" s="40" t="s">
        <v>20</v>
      </c>
      <c r="E347" s="40" t="s">
        <v>21</v>
      </c>
      <c r="F347" s="40" t="s">
        <v>85</v>
      </c>
      <c r="G347" s="40" t="s">
        <v>86</v>
      </c>
      <c r="H347" s="40" t="s">
        <v>127</v>
      </c>
      <c r="I347" s="40" t="s">
        <v>128</v>
      </c>
      <c r="J347" s="40"/>
      <c r="K347" s="40"/>
      <c r="L347" s="40"/>
      <c r="M347" s="40"/>
      <c r="N347" s="40"/>
      <c r="O347" s="40">
        <v>0.93770157552001732</v>
      </c>
      <c r="P347" s="40"/>
      <c r="Q347" s="41" t="s">
        <v>26</v>
      </c>
    </row>
    <row r="348" spans="1:17" x14ac:dyDescent="0.25">
      <c r="A348" s="40" t="s">
        <v>17</v>
      </c>
      <c r="B348" s="40" t="s">
        <v>18</v>
      </c>
      <c r="C348" s="40" t="s">
        <v>19</v>
      </c>
      <c r="D348" s="40" t="s">
        <v>20</v>
      </c>
      <c r="E348" s="40" t="s">
        <v>21</v>
      </c>
      <c r="F348" s="40" t="s">
        <v>85</v>
      </c>
      <c r="G348" s="40" t="s">
        <v>86</v>
      </c>
      <c r="H348" s="40" t="s">
        <v>127</v>
      </c>
      <c r="I348" s="40" t="s">
        <v>129</v>
      </c>
      <c r="J348" s="40"/>
      <c r="K348" s="40"/>
      <c r="L348" s="40"/>
      <c r="M348" s="40"/>
      <c r="N348" s="40"/>
      <c r="O348" s="40">
        <v>0.23327843858059993</v>
      </c>
      <c r="P348" s="40"/>
      <c r="Q348" s="41" t="s">
        <v>26</v>
      </c>
    </row>
    <row r="349" spans="1:17" x14ac:dyDescent="0.25">
      <c r="A349" s="40" t="s">
        <v>17</v>
      </c>
      <c r="B349" s="40" t="s">
        <v>18</v>
      </c>
      <c r="C349" s="40" t="s">
        <v>19</v>
      </c>
      <c r="D349" s="40" t="s">
        <v>20</v>
      </c>
      <c r="E349" s="40" t="s">
        <v>21</v>
      </c>
      <c r="F349" s="40" t="s">
        <v>85</v>
      </c>
      <c r="G349" s="40" t="s">
        <v>86</v>
      </c>
      <c r="H349" s="40" t="s">
        <v>127</v>
      </c>
      <c r="I349" s="40" t="s">
        <v>130</v>
      </c>
      <c r="J349" s="40"/>
      <c r="K349" s="40"/>
      <c r="L349" s="40"/>
      <c r="M349" s="40"/>
      <c r="N349" s="40"/>
      <c r="O349" s="40">
        <v>173.41476982453369</v>
      </c>
      <c r="P349" s="40"/>
      <c r="Q349" s="41" t="s">
        <v>26</v>
      </c>
    </row>
    <row r="350" spans="1:17" x14ac:dyDescent="0.25">
      <c r="A350" s="40" t="s">
        <v>17</v>
      </c>
      <c r="B350" s="40" t="s">
        <v>18</v>
      </c>
      <c r="C350" s="40" t="s">
        <v>19</v>
      </c>
      <c r="D350" s="40" t="s">
        <v>20</v>
      </c>
      <c r="E350" s="40" t="s">
        <v>21</v>
      </c>
      <c r="F350" s="40" t="s">
        <v>85</v>
      </c>
      <c r="G350" s="40" t="s">
        <v>86</v>
      </c>
      <c r="H350" s="40" t="s">
        <v>127</v>
      </c>
      <c r="I350" s="40" t="s">
        <v>131</v>
      </c>
      <c r="J350" s="40"/>
      <c r="K350" s="40"/>
      <c r="L350" s="40"/>
      <c r="M350" s="40"/>
      <c r="N350" s="40"/>
      <c r="O350" s="40">
        <v>17.299688404782685</v>
      </c>
      <c r="P350" s="40"/>
      <c r="Q350" s="41" t="s">
        <v>26</v>
      </c>
    </row>
    <row r="351" spans="1:17" x14ac:dyDescent="0.25">
      <c r="A351" s="40" t="s">
        <v>17</v>
      </c>
      <c r="B351" s="40" t="s">
        <v>18</v>
      </c>
      <c r="C351" s="40" t="s">
        <v>19</v>
      </c>
      <c r="D351" s="40" t="s">
        <v>20</v>
      </c>
      <c r="E351" s="40" t="s">
        <v>21</v>
      </c>
      <c r="F351" s="40" t="s">
        <v>85</v>
      </c>
      <c r="G351" s="40" t="s">
        <v>86</v>
      </c>
      <c r="H351" s="40" t="s">
        <v>127</v>
      </c>
      <c r="I351" s="40" t="s">
        <v>132</v>
      </c>
      <c r="J351" s="40"/>
      <c r="K351" s="40"/>
      <c r="L351" s="40"/>
      <c r="M351" s="40"/>
      <c r="N351" s="40"/>
      <c r="O351" s="40">
        <v>384.18925117842292</v>
      </c>
      <c r="P351" s="40"/>
      <c r="Q351" s="41" t="s">
        <v>26</v>
      </c>
    </row>
    <row r="352" spans="1:17" x14ac:dyDescent="0.25">
      <c r="A352" s="40" t="s">
        <v>17</v>
      </c>
      <c r="B352" s="40" t="s">
        <v>18</v>
      </c>
      <c r="C352" s="40" t="s">
        <v>19</v>
      </c>
      <c r="D352" s="40" t="s">
        <v>20</v>
      </c>
      <c r="E352" s="40" t="s">
        <v>21</v>
      </c>
      <c r="F352" s="40" t="s">
        <v>85</v>
      </c>
      <c r="G352" s="40" t="s">
        <v>86</v>
      </c>
      <c r="H352" s="40" t="s">
        <v>127</v>
      </c>
      <c r="I352" s="40" t="s">
        <v>133</v>
      </c>
      <c r="J352" s="40"/>
      <c r="K352" s="40"/>
      <c r="L352" s="40"/>
      <c r="M352" s="40"/>
      <c r="N352" s="40"/>
      <c r="O352" s="40">
        <v>21.591773987074458</v>
      </c>
      <c r="P352" s="40"/>
      <c r="Q352" s="41" t="s">
        <v>26</v>
      </c>
    </row>
    <row r="353" spans="1:17" x14ac:dyDescent="0.25">
      <c r="A353" s="40" t="s">
        <v>17</v>
      </c>
      <c r="B353" s="40" t="s">
        <v>18</v>
      </c>
      <c r="C353" s="40" t="s">
        <v>19</v>
      </c>
      <c r="D353" s="40" t="s">
        <v>20</v>
      </c>
      <c r="E353" s="40" t="s">
        <v>21</v>
      </c>
      <c r="F353" s="40" t="s">
        <v>85</v>
      </c>
      <c r="G353" s="40" t="s">
        <v>86</v>
      </c>
      <c r="H353" s="40" t="s">
        <v>127</v>
      </c>
      <c r="I353" s="40" t="s">
        <v>134</v>
      </c>
      <c r="J353" s="40"/>
      <c r="K353" s="40"/>
      <c r="L353" s="40"/>
      <c r="M353" s="40"/>
      <c r="N353" s="40"/>
      <c r="O353" s="40">
        <v>918.64060000000109</v>
      </c>
      <c r="P353" s="40"/>
      <c r="Q353" s="41" t="s">
        <v>26</v>
      </c>
    </row>
    <row r="354" spans="1:17" x14ac:dyDescent="0.25">
      <c r="A354" s="40" t="s">
        <v>17</v>
      </c>
      <c r="B354" s="40" t="s">
        <v>18</v>
      </c>
      <c r="C354" s="40" t="s">
        <v>19</v>
      </c>
      <c r="D354" s="40" t="s">
        <v>20</v>
      </c>
      <c r="E354" s="40" t="s">
        <v>21</v>
      </c>
      <c r="F354" s="40" t="s">
        <v>85</v>
      </c>
      <c r="G354" s="40" t="s">
        <v>86</v>
      </c>
      <c r="H354" s="40" t="s">
        <v>135</v>
      </c>
      <c r="I354" s="40" t="s">
        <v>136</v>
      </c>
      <c r="J354" s="40"/>
      <c r="K354" s="40"/>
      <c r="L354" s="40"/>
      <c r="M354" s="40"/>
      <c r="N354" s="40"/>
      <c r="O354" s="40">
        <v>782.89365425842573</v>
      </c>
      <c r="P354" s="40"/>
      <c r="Q354" s="41" t="s">
        <v>137</v>
      </c>
    </row>
    <row r="355" spans="1:17" x14ac:dyDescent="0.25">
      <c r="A355" s="40" t="s">
        <v>17</v>
      </c>
      <c r="B355" s="40" t="s">
        <v>18</v>
      </c>
      <c r="C355" s="40" t="s">
        <v>19</v>
      </c>
      <c r="D355" s="40" t="s">
        <v>20</v>
      </c>
      <c r="E355" s="40" t="s">
        <v>21</v>
      </c>
      <c r="F355" s="40" t="s">
        <v>85</v>
      </c>
      <c r="G355" s="40" t="s">
        <v>86</v>
      </c>
      <c r="H355" s="40" t="s">
        <v>135</v>
      </c>
      <c r="I355" s="40" t="s">
        <v>138</v>
      </c>
      <c r="J355" s="40"/>
      <c r="K355" s="40"/>
      <c r="L355" s="40"/>
      <c r="M355" s="40"/>
      <c r="N355" s="40"/>
      <c r="O355" s="40">
        <v>57.896228627685872</v>
      </c>
      <c r="P355" s="40"/>
      <c r="Q355" s="41" t="s">
        <v>137</v>
      </c>
    </row>
    <row r="356" spans="1:17" x14ac:dyDescent="0.25">
      <c r="A356" s="40" t="s">
        <v>17</v>
      </c>
      <c r="B356" s="40" t="s">
        <v>18</v>
      </c>
      <c r="C356" s="40" t="s">
        <v>19</v>
      </c>
      <c r="D356" s="40" t="s">
        <v>20</v>
      </c>
      <c r="E356" s="40" t="s">
        <v>21</v>
      </c>
      <c r="F356" s="40" t="s">
        <v>85</v>
      </c>
      <c r="G356" s="40" t="s">
        <v>86</v>
      </c>
      <c r="H356" s="40" t="s">
        <v>139</v>
      </c>
      <c r="I356" s="40" t="s">
        <v>142</v>
      </c>
      <c r="J356" s="40"/>
      <c r="K356" s="40"/>
      <c r="L356" s="40"/>
      <c r="M356" s="40"/>
      <c r="N356" s="40"/>
      <c r="O356" s="40">
        <v>5.074060813705989</v>
      </c>
      <c r="P356" s="40"/>
      <c r="Q356" s="41" t="s">
        <v>26</v>
      </c>
    </row>
    <row r="357" spans="1:17" x14ac:dyDescent="0.25">
      <c r="A357" s="40" t="s">
        <v>17</v>
      </c>
      <c r="B357" s="40" t="s">
        <v>18</v>
      </c>
      <c r="C357" s="40" t="s">
        <v>19</v>
      </c>
      <c r="D357" s="40" t="s">
        <v>20</v>
      </c>
      <c r="E357" s="40" t="s">
        <v>21</v>
      </c>
      <c r="F357" s="40" t="s">
        <v>85</v>
      </c>
      <c r="G357" s="40" t="s">
        <v>86</v>
      </c>
      <c r="H357" s="40" t="s">
        <v>143</v>
      </c>
      <c r="I357" s="40" t="s">
        <v>144</v>
      </c>
      <c r="J357" s="40"/>
      <c r="K357" s="40"/>
      <c r="L357" s="40"/>
      <c r="M357" s="40"/>
      <c r="N357" s="40"/>
      <c r="O357" s="40"/>
      <c r="P357" s="40">
        <v>0.2452383618575486</v>
      </c>
      <c r="Q357" s="41" t="s">
        <v>26</v>
      </c>
    </row>
    <row r="358" spans="1:17" x14ac:dyDescent="0.25">
      <c r="A358" s="40" t="s">
        <v>17</v>
      </c>
      <c r="B358" s="40" t="s">
        <v>18</v>
      </c>
      <c r="C358" s="40" t="s">
        <v>19</v>
      </c>
      <c r="D358" s="40" t="s">
        <v>20</v>
      </c>
      <c r="E358" s="40" t="s">
        <v>21</v>
      </c>
      <c r="F358" s="40" t="s">
        <v>85</v>
      </c>
      <c r="G358" s="40" t="s">
        <v>86</v>
      </c>
      <c r="H358" s="40" t="s">
        <v>143</v>
      </c>
      <c r="I358" s="40" t="s">
        <v>145</v>
      </c>
      <c r="J358" s="40"/>
      <c r="K358" s="40"/>
      <c r="L358" s="40"/>
      <c r="M358" s="40"/>
      <c r="N358" s="40"/>
      <c r="O358" s="40">
        <v>1.1138475119905771E-2</v>
      </c>
      <c r="P358" s="40"/>
      <c r="Q358" s="41" t="s">
        <v>26</v>
      </c>
    </row>
    <row r="359" spans="1:17" x14ac:dyDescent="0.25">
      <c r="A359" s="40" t="s">
        <v>17</v>
      </c>
      <c r="B359" s="40" t="s">
        <v>18</v>
      </c>
      <c r="C359" s="40" t="s">
        <v>19</v>
      </c>
      <c r="D359" s="40" t="s">
        <v>20</v>
      </c>
      <c r="E359" s="40" t="s">
        <v>21</v>
      </c>
      <c r="F359" s="40" t="s">
        <v>85</v>
      </c>
      <c r="G359" s="40" t="s">
        <v>86</v>
      </c>
      <c r="H359" s="40" t="s">
        <v>143</v>
      </c>
      <c r="I359" s="40" t="s">
        <v>146</v>
      </c>
      <c r="J359" s="40"/>
      <c r="K359" s="40"/>
      <c r="L359" s="40"/>
      <c r="M359" s="40"/>
      <c r="N359" s="40"/>
      <c r="O359" s="40"/>
      <c r="P359" s="40">
        <v>274.44958000000003</v>
      </c>
      <c r="Q359" s="41" t="s">
        <v>26</v>
      </c>
    </row>
    <row r="360" spans="1:17" x14ac:dyDescent="0.25">
      <c r="A360" s="40" t="s">
        <v>17</v>
      </c>
      <c r="B360" s="40" t="s">
        <v>18</v>
      </c>
      <c r="C360" s="40" t="s">
        <v>19</v>
      </c>
      <c r="D360" s="40" t="s">
        <v>20</v>
      </c>
      <c r="E360" s="40" t="s">
        <v>21</v>
      </c>
      <c r="F360" s="40" t="s">
        <v>85</v>
      </c>
      <c r="G360" s="40" t="s">
        <v>86</v>
      </c>
      <c r="H360" s="40" t="s">
        <v>149</v>
      </c>
      <c r="I360" s="40" t="s">
        <v>150</v>
      </c>
      <c r="J360" s="40"/>
      <c r="K360" s="40"/>
      <c r="L360" s="40"/>
      <c r="M360" s="40"/>
      <c r="N360" s="40"/>
      <c r="O360" s="40">
        <v>0</v>
      </c>
      <c r="P360" s="40"/>
      <c r="Q360" s="41" t="s">
        <v>26</v>
      </c>
    </row>
    <row r="361" spans="1:17" x14ac:dyDescent="0.25">
      <c r="A361" s="40" t="s">
        <v>17</v>
      </c>
      <c r="B361" s="40" t="s">
        <v>18</v>
      </c>
      <c r="C361" s="40" t="s">
        <v>19</v>
      </c>
      <c r="D361" s="40" t="s">
        <v>20</v>
      </c>
      <c r="E361" s="40" t="s">
        <v>21</v>
      </c>
      <c r="F361" s="40" t="s">
        <v>85</v>
      </c>
      <c r="G361" s="40" t="s">
        <v>86</v>
      </c>
      <c r="H361" s="40" t="s">
        <v>153</v>
      </c>
      <c r="I361" s="40" t="s">
        <v>155</v>
      </c>
      <c r="J361" s="40"/>
      <c r="K361" s="40"/>
      <c r="L361" s="40"/>
      <c r="M361" s="40"/>
      <c r="N361" s="40"/>
      <c r="O361" s="40"/>
      <c r="P361" s="40">
        <v>381.6606039147639</v>
      </c>
      <c r="Q361" s="41" t="s">
        <v>26</v>
      </c>
    </row>
    <row r="362" spans="1:17" x14ac:dyDescent="0.25">
      <c r="A362" s="40" t="s">
        <v>17</v>
      </c>
      <c r="B362" s="40" t="s">
        <v>18</v>
      </c>
      <c r="C362" s="40" t="s">
        <v>19</v>
      </c>
      <c r="D362" s="40" t="s">
        <v>20</v>
      </c>
      <c r="E362" s="40" t="s">
        <v>21</v>
      </c>
      <c r="F362" s="40" t="s">
        <v>85</v>
      </c>
      <c r="G362" s="40" t="s">
        <v>86</v>
      </c>
      <c r="H362" s="40" t="s">
        <v>153</v>
      </c>
      <c r="I362" s="40" t="s">
        <v>157</v>
      </c>
      <c r="J362" s="40"/>
      <c r="K362" s="40"/>
      <c r="L362" s="40"/>
      <c r="M362" s="40"/>
      <c r="N362" s="40"/>
      <c r="O362" s="40">
        <v>1.64E-3</v>
      </c>
      <c r="P362" s="40"/>
      <c r="Q362" s="41" t="s">
        <v>26</v>
      </c>
    </row>
    <row r="363" spans="1:17" x14ac:dyDescent="0.25">
      <c r="A363" s="40" t="s">
        <v>17</v>
      </c>
      <c r="B363" s="43" t="s">
        <v>18</v>
      </c>
      <c r="C363" s="40" t="s">
        <v>19</v>
      </c>
      <c r="D363" s="43" t="s">
        <v>20</v>
      </c>
      <c r="E363" s="43" t="s">
        <v>21</v>
      </c>
      <c r="F363" s="43" t="s">
        <v>85</v>
      </c>
      <c r="G363" s="43" t="s">
        <v>86</v>
      </c>
      <c r="H363" s="43" t="s">
        <v>240</v>
      </c>
      <c r="I363" s="43" t="s">
        <v>241</v>
      </c>
      <c r="J363" s="43"/>
      <c r="K363" s="43"/>
      <c r="L363" s="43"/>
      <c r="M363" s="43"/>
      <c r="N363" s="43"/>
      <c r="O363" s="43">
        <v>2.944371358907067</v>
      </c>
      <c r="P363" s="43"/>
      <c r="Q363" s="41" t="s">
        <v>26</v>
      </c>
    </row>
    <row r="364" spans="1:17" x14ac:dyDescent="0.25">
      <c r="A364" s="40" t="s">
        <v>17</v>
      </c>
      <c r="B364" s="43" t="s">
        <v>18</v>
      </c>
      <c r="C364" s="40" t="s">
        <v>19</v>
      </c>
      <c r="D364" s="43" t="s">
        <v>20</v>
      </c>
      <c r="E364" s="43" t="s">
        <v>21</v>
      </c>
      <c r="F364" s="43" t="s">
        <v>85</v>
      </c>
      <c r="G364" s="43" t="s">
        <v>86</v>
      </c>
      <c r="H364" s="43" t="s">
        <v>240</v>
      </c>
      <c r="I364" s="43" t="s">
        <v>242</v>
      </c>
      <c r="J364" s="43"/>
      <c r="K364" s="43"/>
      <c r="L364" s="43"/>
      <c r="M364" s="43"/>
      <c r="N364" s="43"/>
      <c r="O364" s="43">
        <v>1.6887929951669567</v>
      </c>
      <c r="P364" s="43"/>
      <c r="Q364" s="41" t="s">
        <v>26</v>
      </c>
    </row>
    <row r="365" spans="1:17" x14ac:dyDescent="0.25">
      <c r="A365" s="40" t="s">
        <v>17</v>
      </c>
      <c r="B365" s="40" t="s">
        <v>18</v>
      </c>
      <c r="C365" s="40" t="s">
        <v>19</v>
      </c>
      <c r="D365" s="40" t="s">
        <v>20</v>
      </c>
      <c r="E365" s="40" t="s">
        <v>21</v>
      </c>
      <c r="F365" s="40" t="s">
        <v>101</v>
      </c>
      <c r="G365" s="40" t="s">
        <v>21</v>
      </c>
      <c r="H365" s="40" t="s">
        <v>139</v>
      </c>
      <c r="I365" s="40" t="s">
        <v>141</v>
      </c>
      <c r="J365" s="40">
        <v>88.487060999999983</v>
      </c>
      <c r="K365" s="40">
        <v>70.621523384099831</v>
      </c>
      <c r="L365" s="40">
        <v>0</v>
      </c>
      <c r="M365" s="40">
        <v>176.16617260000012</v>
      </c>
      <c r="N365" s="40">
        <v>3.2428653999999995</v>
      </c>
      <c r="O365" s="40">
        <v>11.366630600000002</v>
      </c>
      <c r="P365" s="40">
        <v>0</v>
      </c>
      <c r="Q365" s="41" t="s">
        <v>26</v>
      </c>
    </row>
    <row r="366" spans="1:17" x14ac:dyDescent="0.25">
      <c r="A366" s="40" t="s">
        <v>17</v>
      </c>
      <c r="B366" s="40" t="s">
        <v>18</v>
      </c>
      <c r="C366" s="40" t="s">
        <v>19</v>
      </c>
      <c r="D366" s="40" t="s">
        <v>20</v>
      </c>
      <c r="E366" s="40" t="s">
        <v>21</v>
      </c>
      <c r="F366" s="40" t="s">
        <v>101</v>
      </c>
      <c r="G366" s="40" t="s">
        <v>21</v>
      </c>
      <c r="H366" s="40" t="s">
        <v>24</v>
      </c>
      <c r="I366" s="40" t="s">
        <v>126</v>
      </c>
      <c r="J366" s="40">
        <v>41.363363304498939</v>
      </c>
      <c r="K366" s="40">
        <v>40.160983415199681</v>
      </c>
      <c r="L366" s="40">
        <v>1.9250193560906141</v>
      </c>
      <c r="M366" s="40">
        <v>351.8182857319548</v>
      </c>
      <c r="N366" s="40">
        <v>134.40794946217241</v>
      </c>
      <c r="O366" s="40">
        <v>127.38066987810537</v>
      </c>
      <c r="P366" s="40">
        <v>2.2037557036469972</v>
      </c>
      <c r="Q366" s="41" t="s">
        <v>26</v>
      </c>
    </row>
    <row r="367" spans="1:17" x14ac:dyDescent="0.25">
      <c r="A367" s="40" t="s">
        <v>17</v>
      </c>
      <c r="B367" s="43" t="s">
        <v>18</v>
      </c>
      <c r="C367" s="40" t="s">
        <v>19</v>
      </c>
      <c r="D367" s="43" t="s">
        <v>20</v>
      </c>
      <c r="E367" s="43" t="s">
        <v>21</v>
      </c>
      <c r="F367" s="43" t="s">
        <v>101</v>
      </c>
      <c r="G367" s="43" t="s">
        <v>21</v>
      </c>
      <c r="H367" s="40" t="s">
        <v>24</v>
      </c>
      <c r="I367" s="40" t="s">
        <v>238</v>
      </c>
      <c r="J367" s="43">
        <v>4.3900339879415666</v>
      </c>
      <c r="K367" s="43">
        <v>4.3900339879415666</v>
      </c>
      <c r="L367" s="43">
        <v>0.51374073314378699</v>
      </c>
      <c r="M367" s="43">
        <v>37.644048814272864</v>
      </c>
      <c r="N367" s="43">
        <v>62.412592421634407</v>
      </c>
      <c r="O367" s="43">
        <v>3.7535352505028361</v>
      </c>
      <c r="P367" s="43">
        <v>3.797749096846275E-2</v>
      </c>
      <c r="Q367" s="41" t="s">
        <v>26</v>
      </c>
    </row>
    <row r="368" spans="1:17" x14ac:dyDescent="0.25">
      <c r="A368" s="40" t="s">
        <v>17</v>
      </c>
      <c r="B368" s="43" t="s">
        <v>18</v>
      </c>
      <c r="C368" s="40" t="s">
        <v>19</v>
      </c>
      <c r="D368" s="43" t="s">
        <v>20</v>
      </c>
      <c r="E368" s="43" t="s">
        <v>21</v>
      </c>
      <c r="F368" s="43" t="s">
        <v>101</v>
      </c>
      <c r="G368" s="43" t="s">
        <v>21</v>
      </c>
      <c r="H368" s="43" t="s">
        <v>24</v>
      </c>
      <c r="I368" s="43" t="s">
        <v>239</v>
      </c>
      <c r="J368" s="43">
        <v>3.4911414425132739</v>
      </c>
      <c r="K368" s="43">
        <v>2.3747631530270832</v>
      </c>
      <c r="L368" s="43">
        <v>0.32784475182418304</v>
      </c>
      <c r="M368" s="43">
        <v>23.908443483291531</v>
      </c>
      <c r="N368" s="43">
        <v>58.459943817035551</v>
      </c>
      <c r="O368" s="43">
        <v>1.3095312726345798</v>
      </c>
      <c r="P368" s="43">
        <v>1.1751350415644113</v>
      </c>
      <c r="Q368" s="41" t="s">
        <v>26</v>
      </c>
    </row>
    <row r="369" spans="1:17" x14ac:dyDescent="0.25">
      <c r="A369" s="40" t="s">
        <v>17</v>
      </c>
      <c r="B369" s="40" t="s">
        <v>18</v>
      </c>
      <c r="C369" s="40" t="s">
        <v>19</v>
      </c>
      <c r="D369" s="40" t="s">
        <v>20</v>
      </c>
      <c r="E369" s="40" t="s">
        <v>21</v>
      </c>
      <c r="F369" s="40" t="s">
        <v>101</v>
      </c>
      <c r="G369" s="40" t="s">
        <v>21</v>
      </c>
      <c r="H369" s="40" t="s">
        <v>149</v>
      </c>
      <c r="I369" s="40" t="s">
        <v>151</v>
      </c>
      <c r="J369" s="40">
        <v>1.5934126524506473</v>
      </c>
      <c r="K369" s="40">
        <v>1.4592305343495402</v>
      </c>
      <c r="L369" s="40">
        <v>4.1931911906595988E-2</v>
      </c>
      <c r="M369" s="40">
        <v>3.5642125120606587</v>
      </c>
      <c r="N369" s="40">
        <v>0.25159147143957589</v>
      </c>
      <c r="O369" s="40">
        <v>0.35876943827283519</v>
      </c>
      <c r="P369" s="40"/>
      <c r="Q369" s="41" t="s">
        <v>26</v>
      </c>
    </row>
    <row r="370" spans="1:17" x14ac:dyDescent="0.25">
      <c r="A370" s="40" t="s">
        <v>17</v>
      </c>
      <c r="B370" s="40" t="s">
        <v>18</v>
      </c>
      <c r="C370" s="40" t="s">
        <v>19</v>
      </c>
      <c r="D370" s="40" t="s">
        <v>20</v>
      </c>
      <c r="E370" s="40" t="s">
        <v>21</v>
      </c>
      <c r="F370" s="40" t="s">
        <v>101</v>
      </c>
      <c r="G370" s="40" t="s">
        <v>21</v>
      </c>
      <c r="H370" s="40" t="s">
        <v>153</v>
      </c>
      <c r="I370" s="40" t="s">
        <v>158</v>
      </c>
      <c r="J370" s="40">
        <v>0.96594077743383455</v>
      </c>
      <c r="K370" s="40">
        <v>0.90203165227280591</v>
      </c>
      <c r="L370" s="40">
        <v>0</v>
      </c>
      <c r="M370" s="40">
        <v>15.338190038646902</v>
      </c>
      <c r="N370" s="40">
        <v>0.36519500092016433</v>
      </c>
      <c r="O370" s="40">
        <v>0.95133297739702805</v>
      </c>
      <c r="P370" s="40">
        <v>0</v>
      </c>
      <c r="Q370" s="41" t="s">
        <v>26</v>
      </c>
    </row>
    <row r="371" spans="1:17" x14ac:dyDescent="0.25">
      <c r="A371" s="40" t="s">
        <v>17</v>
      </c>
      <c r="B371" s="40" t="s">
        <v>18</v>
      </c>
      <c r="C371" s="40" t="s">
        <v>19</v>
      </c>
      <c r="D371" s="40" t="s">
        <v>20</v>
      </c>
      <c r="E371" s="40" t="s">
        <v>21</v>
      </c>
      <c r="F371" s="40" t="s">
        <v>101</v>
      </c>
      <c r="G371" s="40" t="s">
        <v>21</v>
      </c>
      <c r="H371" s="40" t="s">
        <v>153</v>
      </c>
      <c r="I371" s="40" t="s">
        <v>154</v>
      </c>
      <c r="J371" s="40">
        <v>0.12624080812418578</v>
      </c>
      <c r="K371" s="40">
        <v>1.9574256288752118E-2</v>
      </c>
      <c r="L371" s="40"/>
      <c r="M371" s="40"/>
      <c r="N371" s="40"/>
      <c r="O371" s="40"/>
      <c r="P371" s="40"/>
      <c r="Q371" s="41" t="s">
        <v>26</v>
      </c>
    </row>
    <row r="372" spans="1:17" x14ac:dyDescent="0.25">
      <c r="A372" s="40" t="s">
        <v>17</v>
      </c>
      <c r="B372" s="40" t="s">
        <v>18</v>
      </c>
      <c r="C372" s="40" t="s">
        <v>19</v>
      </c>
      <c r="D372" s="40" t="s">
        <v>20</v>
      </c>
      <c r="E372" s="40" t="s">
        <v>21</v>
      </c>
      <c r="F372" s="40" t="s">
        <v>101</v>
      </c>
      <c r="G372" s="40" t="s">
        <v>21</v>
      </c>
      <c r="H372" s="40" t="s">
        <v>24</v>
      </c>
      <c r="I372" s="40" t="s">
        <v>25</v>
      </c>
      <c r="J372" s="40">
        <v>0</v>
      </c>
      <c r="K372" s="40">
        <v>0</v>
      </c>
      <c r="L372" s="40">
        <v>0</v>
      </c>
      <c r="M372" s="40">
        <v>0</v>
      </c>
      <c r="N372" s="40">
        <v>0</v>
      </c>
      <c r="O372" s="40">
        <v>0</v>
      </c>
      <c r="P372" s="40">
        <v>0</v>
      </c>
      <c r="Q372" s="41" t="s">
        <v>26</v>
      </c>
    </row>
    <row r="373" spans="1:17" x14ac:dyDescent="0.25">
      <c r="A373" s="40" t="s">
        <v>17</v>
      </c>
      <c r="B373" s="40" t="s">
        <v>18</v>
      </c>
      <c r="C373" s="40" t="s">
        <v>19</v>
      </c>
      <c r="D373" s="40" t="s">
        <v>20</v>
      </c>
      <c r="E373" s="40" t="s">
        <v>21</v>
      </c>
      <c r="F373" s="40" t="s">
        <v>101</v>
      </c>
      <c r="G373" s="40" t="s">
        <v>21</v>
      </c>
      <c r="H373" s="40" t="s">
        <v>139</v>
      </c>
      <c r="I373" s="40" t="s">
        <v>140</v>
      </c>
      <c r="J373" s="40">
        <v>0</v>
      </c>
      <c r="K373" s="40">
        <v>0</v>
      </c>
      <c r="L373" s="40"/>
      <c r="M373" s="40"/>
      <c r="N373" s="40"/>
      <c r="O373" s="40"/>
      <c r="P373" s="40"/>
      <c r="Q373" s="41" t="s">
        <v>26</v>
      </c>
    </row>
    <row r="374" spans="1:17" x14ac:dyDescent="0.25">
      <c r="A374" s="40" t="s">
        <v>17</v>
      </c>
      <c r="B374" s="40" t="s">
        <v>18</v>
      </c>
      <c r="C374" s="40" t="s">
        <v>19</v>
      </c>
      <c r="D374" s="40" t="s">
        <v>20</v>
      </c>
      <c r="E374" s="40" t="s">
        <v>21</v>
      </c>
      <c r="F374" s="40" t="s">
        <v>101</v>
      </c>
      <c r="G374" s="40" t="s">
        <v>21</v>
      </c>
      <c r="H374" s="40" t="s">
        <v>143</v>
      </c>
      <c r="I374" s="40" t="s">
        <v>147</v>
      </c>
      <c r="J374" s="40">
        <v>0</v>
      </c>
      <c r="K374" s="40">
        <v>0</v>
      </c>
      <c r="L374" s="40"/>
      <c r="M374" s="40"/>
      <c r="N374" s="40"/>
      <c r="O374" s="40"/>
      <c r="P374" s="40"/>
      <c r="Q374" s="41" t="s">
        <v>26</v>
      </c>
    </row>
    <row r="375" spans="1:17" x14ac:dyDescent="0.25">
      <c r="A375" s="40" t="s">
        <v>17</v>
      </c>
      <c r="B375" s="40" t="s">
        <v>18</v>
      </c>
      <c r="C375" s="40" t="s">
        <v>19</v>
      </c>
      <c r="D375" s="40" t="s">
        <v>20</v>
      </c>
      <c r="E375" s="40" t="s">
        <v>21</v>
      </c>
      <c r="F375" s="40" t="s">
        <v>101</v>
      </c>
      <c r="G375" s="40" t="s">
        <v>21</v>
      </c>
      <c r="H375" s="40" t="s">
        <v>143</v>
      </c>
      <c r="I375" s="40" t="s">
        <v>148</v>
      </c>
      <c r="J375" s="40">
        <v>0</v>
      </c>
      <c r="K375" s="40">
        <v>0</v>
      </c>
      <c r="L375" s="40"/>
      <c r="M375" s="40"/>
      <c r="N375" s="40"/>
      <c r="O375" s="40"/>
      <c r="P375" s="40"/>
      <c r="Q375" s="41" t="s">
        <v>26</v>
      </c>
    </row>
    <row r="376" spans="1:17" x14ac:dyDescent="0.25">
      <c r="A376" s="40" t="s">
        <v>17</v>
      </c>
      <c r="B376" s="40" t="s">
        <v>18</v>
      </c>
      <c r="C376" s="40" t="s">
        <v>19</v>
      </c>
      <c r="D376" s="40" t="s">
        <v>20</v>
      </c>
      <c r="E376" s="40" t="s">
        <v>21</v>
      </c>
      <c r="F376" s="40" t="s">
        <v>101</v>
      </c>
      <c r="G376" s="40" t="s">
        <v>21</v>
      </c>
      <c r="H376" s="40" t="s">
        <v>149</v>
      </c>
      <c r="I376" s="40" t="s">
        <v>152</v>
      </c>
      <c r="J376" s="40">
        <v>0</v>
      </c>
      <c r="K376" s="40">
        <v>0</v>
      </c>
      <c r="L376" s="40">
        <v>0</v>
      </c>
      <c r="M376" s="40">
        <v>0</v>
      </c>
      <c r="N376" s="40"/>
      <c r="O376" s="40">
        <v>0</v>
      </c>
      <c r="P376" s="40"/>
      <c r="Q376" s="41" t="s">
        <v>26</v>
      </c>
    </row>
    <row r="377" spans="1:17" x14ac:dyDescent="0.25">
      <c r="A377" s="40" t="s">
        <v>17</v>
      </c>
      <c r="B377" s="40" t="s">
        <v>18</v>
      </c>
      <c r="C377" s="40" t="s">
        <v>19</v>
      </c>
      <c r="D377" s="40" t="s">
        <v>20</v>
      </c>
      <c r="E377" s="40" t="s">
        <v>21</v>
      </c>
      <c r="F377" s="40" t="s">
        <v>101</v>
      </c>
      <c r="G377" s="40" t="s">
        <v>21</v>
      </c>
      <c r="H377" s="40" t="s">
        <v>153</v>
      </c>
      <c r="I377" s="40" t="s">
        <v>156</v>
      </c>
      <c r="J377" s="40">
        <v>0</v>
      </c>
      <c r="K377" s="40">
        <v>0</v>
      </c>
      <c r="L377" s="40">
        <v>0</v>
      </c>
      <c r="M377" s="40">
        <v>0</v>
      </c>
      <c r="N377" s="40">
        <v>0</v>
      </c>
      <c r="O377" s="40">
        <v>0</v>
      </c>
      <c r="P377" s="40">
        <v>0</v>
      </c>
      <c r="Q377" s="41" t="s">
        <v>137</v>
      </c>
    </row>
    <row r="378" spans="1:17" x14ac:dyDescent="0.25">
      <c r="A378" s="40" t="s">
        <v>17</v>
      </c>
      <c r="B378" s="40" t="s">
        <v>18</v>
      </c>
      <c r="C378" s="40" t="s">
        <v>19</v>
      </c>
      <c r="D378" s="40" t="s">
        <v>20</v>
      </c>
      <c r="E378" s="40" t="s">
        <v>21</v>
      </c>
      <c r="F378" s="40" t="s">
        <v>101</v>
      </c>
      <c r="G378" s="40" t="s">
        <v>21</v>
      </c>
      <c r="H378" s="40" t="s">
        <v>153</v>
      </c>
      <c r="I378" s="40" t="s">
        <v>159</v>
      </c>
      <c r="J378" s="40">
        <v>0</v>
      </c>
      <c r="K378" s="40">
        <v>0</v>
      </c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1" t="s">
        <v>26</v>
      </c>
    </row>
    <row r="379" spans="1:17" x14ac:dyDescent="0.25">
      <c r="A379" s="40" t="s">
        <v>17</v>
      </c>
      <c r="B379" s="43" t="s">
        <v>18</v>
      </c>
      <c r="C379" s="40" t="s">
        <v>19</v>
      </c>
      <c r="D379" s="43" t="s">
        <v>20</v>
      </c>
      <c r="E379" s="43" t="s">
        <v>21</v>
      </c>
      <c r="F379" s="43" t="s">
        <v>101</v>
      </c>
      <c r="G379" s="43" t="s">
        <v>21</v>
      </c>
      <c r="H379" s="43" t="s">
        <v>143</v>
      </c>
      <c r="I379" s="43" t="s">
        <v>243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1" t="s">
        <v>26</v>
      </c>
    </row>
    <row r="380" spans="1:17" x14ac:dyDescent="0.25">
      <c r="A380" s="40" t="s">
        <v>17</v>
      </c>
      <c r="B380" s="40" t="s">
        <v>18</v>
      </c>
      <c r="C380" s="40" t="s">
        <v>19</v>
      </c>
      <c r="D380" s="40" t="s">
        <v>20</v>
      </c>
      <c r="E380" s="40" t="s">
        <v>21</v>
      </c>
      <c r="F380" s="40" t="s">
        <v>101</v>
      </c>
      <c r="G380" s="40" t="s">
        <v>21</v>
      </c>
      <c r="H380" s="40" t="s">
        <v>127</v>
      </c>
      <c r="I380" s="40" t="s">
        <v>128</v>
      </c>
      <c r="J380" s="40"/>
      <c r="K380" s="40"/>
      <c r="L380" s="40"/>
      <c r="M380" s="40"/>
      <c r="N380" s="40"/>
      <c r="O380" s="40">
        <v>9.0835473038451742E-2</v>
      </c>
      <c r="P380" s="40"/>
      <c r="Q380" s="41" t="s">
        <v>26</v>
      </c>
    </row>
    <row r="381" spans="1:17" x14ac:dyDescent="0.25">
      <c r="A381" s="40" t="s">
        <v>17</v>
      </c>
      <c r="B381" s="40" t="s">
        <v>18</v>
      </c>
      <c r="C381" s="40" t="s">
        <v>19</v>
      </c>
      <c r="D381" s="40" t="s">
        <v>20</v>
      </c>
      <c r="E381" s="40" t="s">
        <v>21</v>
      </c>
      <c r="F381" s="40" t="s">
        <v>101</v>
      </c>
      <c r="G381" s="40" t="s">
        <v>21</v>
      </c>
      <c r="H381" s="40" t="s">
        <v>127</v>
      </c>
      <c r="I381" s="40" t="s">
        <v>129</v>
      </c>
      <c r="J381" s="40"/>
      <c r="K381" s="40"/>
      <c r="L381" s="40"/>
      <c r="M381" s="40"/>
      <c r="N381" s="40"/>
      <c r="O381" s="40">
        <v>9.4283368926325775</v>
      </c>
      <c r="P381" s="40"/>
      <c r="Q381" s="41" t="s">
        <v>26</v>
      </c>
    </row>
    <row r="382" spans="1:17" x14ac:dyDescent="0.25">
      <c r="A382" s="40" t="s">
        <v>17</v>
      </c>
      <c r="B382" s="40" t="s">
        <v>18</v>
      </c>
      <c r="C382" s="40" t="s">
        <v>19</v>
      </c>
      <c r="D382" s="40" t="s">
        <v>20</v>
      </c>
      <c r="E382" s="40" t="s">
        <v>21</v>
      </c>
      <c r="F382" s="40" t="s">
        <v>101</v>
      </c>
      <c r="G382" s="40" t="s">
        <v>21</v>
      </c>
      <c r="H382" s="40" t="s">
        <v>127</v>
      </c>
      <c r="I382" s="40" t="s">
        <v>130</v>
      </c>
      <c r="J382" s="40"/>
      <c r="K382" s="40"/>
      <c r="L382" s="40"/>
      <c r="M382" s="40"/>
      <c r="N382" s="40"/>
      <c r="O382" s="40">
        <v>2545.4459458677034</v>
      </c>
      <c r="P382" s="40"/>
      <c r="Q382" s="41" t="s">
        <v>26</v>
      </c>
    </row>
    <row r="383" spans="1:17" x14ac:dyDescent="0.25">
      <c r="A383" s="40" t="s">
        <v>17</v>
      </c>
      <c r="B383" s="40" t="s">
        <v>18</v>
      </c>
      <c r="C383" s="40" t="s">
        <v>19</v>
      </c>
      <c r="D383" s="40" t="s">
        <v>20</v>
      </c>
      <c r="E383" s="40" t="s">
        <v>21</v>
      </c>
      <c r="F383" s="40" t="s">
        <v>101</v>
      </c>
      <c r="G383" s="40" t="s">
        <v>21</v>
      </c>
      <c r="H383" s="40" t="s">
        <v>127</v>
      </c>
      <c r="I383" s="40" t="s">
        <v>131</v>
      </c>
      <c r="J383" s="40"/>
      <c r="K383" s="40"/>
      <c r="L383" s="40"/>
      <c r="M383" s="40"/>
      <c r="N383" s="40"/>
      <c r="O383" s="40">
        <v>487.11257463354519</v>
      </c>
      <c r="P383" s="40"/>
      <c r="Q383" s="41" t="s">
        <v>26</v>
      </c>
    </row>
    <row r="384" spans="1:17" x14ac:dyDescent="0.25">
      <c r="A384" s="40" t="s">
        <v>17</v>
      </c>
      <c r="B384" s="40" t="s">
        <v>18</v>
      </c>
      <c r="C384" s="40" t="s">
        <v>19</v>
      </c>
      <c r="D384" s="40" t="s">
        <v>20</v>
      </c>
      <c r="E384" s="40" t="s">
        <v>21</v>
      </c>
      <c r="F384" s="40" t="s">
        <v>101</v>
      </c>
      <c r="G384" s="40" t="s">
        <v>21</v>
      </c>
      <c r="H384" s="40" t="s">
        <v>127</v>
      </c>
      <c r="I384" s="40" t="s">
        <v>132</v>
      </c>
      <c r="J384" s="40"/>
      <c r="K384" s="40"/>
      <c r="L384" s="40"/>
      <c r="M384" s="40"/>
      <c r="N384" s="40"/>
      <c r="O384" s="40">
        <v>1189.4548351088188</v>
      </c>
      <c r="P384" s="40"/>
      <c r="Q384" s="41" t="s">
        <v>26</v>
      </c>
    </row>
    <row r="385" spans="1:17" x14ac:dyDescent="0.25">
      <c r="A385" s="40" t="s">
        <v>17</v>
      </c>
      <c r="B385" s="40" t="s">
        <v>18</v>
      </c>
      <c r="C385" s="40" t="s">
        <v>19</v>
      </c>
      <c r="D385" s="40" t="s">
        <v>20</v>
      </c>
      <c r="E385" s="40" t="s">
        <v>21</v>
      </c>
      <c r="F385" s="40" t="s">
        <v>101</v>
      </c>
      <c r="G385" s="40" t="s">
        <v>21</v>
      </c>
      <c r="H385" s="40" t="s">
        <v>127</v>
      </c>
      <c r="I385" s="40" t="s">
        <v>133</v>
      </c>
      <c r="J385" s="40"/>
      <c r="K385" s="40"/>
      <c r="L385" s="40"/>
      <c r="M385" s="40"/>
      <c r="N385" s="40"/>
      <c r="O385" s="40">
        <v>428.63180871810795</v>
      </c>
      <c r="P385" s="40"/>
      <c r="Q385" s="41" t="s">
        <v>26</v>
      </c>
    </row>
    <row r="386" spans="1:17" x14ac:dyDescent="0.25">
      <c r="A386" s="40" t="s">
        <v>17</v>
      </c>
      <c r="B386" s="40" t="s">
        <v>18</v>
      </c>
      <c r="C386" s="40" t="s">
        <v>19</v>
      </c>
      <c r="D386" s="40" t="s">
        <v>20</v>
      </c>
      <c r="E386" s="40" t="s">
        <v>21</v>
      </c>
      <c r="F386" s="40" t="s">
        <v>101</v>
      </c>
      <c r="G386" s="40" t="s">
        <v>21</v>
      </c>
      <c r="H386" s="40" t="s">
        <v>127</v>
      </c>
      <c r="I386" s="40" t="s">
        <v>134</v>
      </c>
      <c r="J386" s="40"/>
      <c r="K386" s="40"/>
      <c r="L386" s="40"/>
      <c r="M386" s="40"/>
      <c r="N386" s="40"/>
      <c r="O386" s="40">
        <v>2844.6753499999959</v>
      </c>
      <c r="P386" s="40"/>
      <c r="Q386" s="41" t="s">
        <v>26</v>
      </c>
    </row>
    <row r="387" spans="1:17" x14ac:dyDescent="0.25">
      <c r="A387" s="40" t="s">
        <v>17</v>
      </c>
      <c r="B387" s="40" t="s">
        <v>18</v>
      </c>
      <c r="C387" s="40" t="s">
        <v>19</v>
      </c>
      <c r="D387" s="40" t="s">
        <v>20</v>
      </c>
      <c r="E387" s="40" t="s">
        <v>21</v>
      </c>
      <c r="F387" s="40" t="s">
        <v>101</v>
      </c>
      <c r="G387" s="40" t="s">
        <v>21</v>
      </c>
      <c r="H387" s="40" t="s">
        <v>135</v>
      </c>
      <c r="I387" s="40" t="s">
        <v>136</v>
      </c>
      <c r="J387" s="40"/>
      <c r="K387" s="40"/>
      <c r="L387" s="40"/>
      <c r="M387" s="40"/>
      <c r="N387" s="40"/>
      <c r="O387" s="40">
        <v>4121.0500617897524</v>
      </c>
      <c r="P387" s="40"/>
      <c r="Q387" s="41" t="s">
        <v>137</v>
      </c>
    </row>
    <row r="388" spans="1:17" x14ac:dyDescent="0.25">
      <c r="A388" s="40" t="s">
        <v>17</v>
      </c>
      <c r="B388" s="40" t="s">
        <v>18</v>
      </c>
      <c r="C388" s="40" t="s">
        <v>19</v>
      </c>
      <c r="D388" s="40" t="s">
        <v>20</v>
      </c>
      <c r="E388" s="40" t="s">
        <v>21</v>
      </c>
      <c r="F388" s="40" t="s">
        <v>101</v>
      </c>
      <c r="G388" s="40" t="s">
        <v>21</v>
      </c>
      <c r="H388" s="40" t="s">
        <v>135</v>
      </c>
      <c r="I388" s="40" t="s">
        <v>138</v>
      </c>
      <c r="J388" s="40"/>
      <c r="K388" s="40"/>
      <c r="L388" s="40"/>
      <c r="M388" s="40"/>
      <c r="N388" s="40"/>
      <c r="O388" s="40">
        <v>656.56427494360855</v>
      </c>
      <c r="P388" s="40"/>
      <c r="Q388" s="41" t="s">
        <v>137</v>
      </c>
    </row>
    <row r="389" spans="1:17" x14ac:dyDescent="0.25">
      <c r="A389" s="40" t="s">
        <v>17</v>
      </c>
      <c r="B389" s="40" t="s">
        <v>18</v>
      </c>
      <c r="C389" s="40" t="s">
        <v>19</v>
      </c>
      <c r="D389" s="40" t="s">
        <v>20</v>
      </c>
      <c r="E389" s="40" t="s">
        <v>21</v>
      </c>
      <c r="F389" s="40" t="s">
        <v>101</v>
      </c>
      <c r="G389" s="40" t="s">
        <v>21</v>
      </c>
      <c r="H389" s="40" t="s">
        <v>139</v>
      </c>
      <c r="I389" s="40" t="s">
        <v>142</v>
      </c>
      <c r="J389" s="40"/>
      <c r="K389" s="40"/>
      <c r="L389" s="40"/>
      <c r="M389" s="40"/>
      <c r="N389" s="40"/>
      <c r="O389" s="40">
        <v>36.478947496067448</v>
      </c>
      <c r="P389" s="40"/>
      <c r="Q389" s="41" t="s">
        <v>26</v>
      </c>
    </row>
    <row r="390" spans="1:17" x14ac:dyDescent="0.25">
      <c r="A390" s="40" t="s">
        <v>17</v>
      </c>
      <c r="B390" s="40" t="s">
        <v>18</v>
      </c>
      <c r="C390" s="40" t="s">
        <v>19</v>
      </c>
      <c r="D390" s="40" t="s">
        <v>20</v>
      </c>
      <c r="E390" s="40" t="s">
        <v>21</v>
      </c>
      <c r="F390" s="40" t="s">
        <v>101</v>
      </c>
      <c r="G390" s="40" t="s">
        <v>21</v>
      </c>
      <c r="H390" s="40" t="s">
        <v>143</v>
      </c>
      <c r="I390" s="40" t="s">
        <v>144</v>
      </c>
      <c r="J390" s="40"/>
      <c r="K390" s="40"/>
      <c r="L390" s="40"/>
      <c r="M390" s="40"/>
      <c r="N390" s="40"/>
      <c r="O390" s="40"/>
      <c r="P390" s="40">
        <v>0</v>
      </c>
      <c r="Q390" s="41" t="s">
        <v>26</v>
      </c>
    </row>
    <row r="391" spans="1:17" x14ac:dyDescent="0.25">
      <c r="A391" s="40" t="s">
        <v>17</v>
      </c>
      <c r="B391" s="40" t="s">
        <v>18</v>
      </c>
      <c r="C391" s="40" t="s">
        <v>19</v>
      </c>
      <c r="D391" s="40" t="s">
        <v>20</v>
      </c>
      <c r="E391" s="40" t="s">
        <v>21</v>
      </c>
      <c r="F391" s="40" t="s">
        <v>101</v>
      </c>
      <c r="G391" s="40" t="s">
        <v>21</v>
      </c>
      <c r="H391" s="40" t="s">
        <v>143</v>
      </c>
      <c r="I391" s="40" t="s">
        <v>145</v>
      </c>
      <c r="J391" s="40"/>
      <c r="K391" s="40"/>
      <c r="L391" s="40"/>
      <c r="M391" s="40"/>
      <c r="N391" s="40"/>
      <c r="O391" s="40">
        <v>0</v>
      </c>
      <c r="P391" s="40"/>
      <c r="Q391" s="41" t="s">
        <v>26</v>
      </c>
    </row>
    <row r="392" spans="1:17" x14ac:dyDescent="0.25">
      <c r="A392" s="40" t="s">
        <v>17</v>
      </c>
      <c r="B392" s="40" t="s">
        <v>18</v>
      </c>
      <c r="C392" s="40" t="s">
        <v>19</v>
      </c>
      <c r="D392" s="40" t="s">
        <v>20</v>
      </c>
      <c r="E392" s="40" t="s">
        <v>21</v>
      </c>
      <c r="F392" s="40" t="s">
        <v>101</v>
      </c>
      <c r="G392" s="40" t="s">
        <v>21</v>
      </c>
      <c r="H392" s="40" t="s">
        <v>143</v>
      </c>
      <c r="I392" s="40" t="s">
        <v>146</v>
      </c>
      <c r="J392" s="40"/>
      <c r="K392" s="40"/>
      <c r="L392" s="40"/>
      <c r="M392" s="40"/>
      <c r="N392" s="40"/>
      <c r="O392" s="40"/>
      <c r="P392" s="40">
        <v>8.539999999999999E-2</v>
      </c>
      <c r="Q392" s="41" t="s">
        <v>26</v>
      </c>
    </row>
    <row r="393" spans="1:17" x14ac:dyDescent="0.25">
      <c r="A393" s="40" t="s">
        <v>17</v>
      </c>
      <c r="B393" s="40" t="s">
        <v>18</v>
      </c>
      <c r="C393" s="40" t="s">
        <v>19</v>
      </c>
      <c r="D393" s="40" t="s">
        <v>20</v>
      </c>
      <c r="E393" s="40" t="s">
        <v>21</v>
      </c>
      <c r="F393" s="40" t="s">
        <v>101</v>
      </c>
      <c r="G393" s="40" t="s">
        <v>21</v>
      </c>
      <c r="H393" s="40" t="s">
        <v>149</v>
      </c>
      <c r="I393" s="40" t="s">
        <v>150</v>
      </c>
      <c r="J393" s="40"/>
      <c r="K393" s="40"/>
      <c r="L393" s="40"/>
      <c r="M393" s="40"/>
      <c r="N393" s="40"/>
      <c r="O393" s="40">
        <v>0</v>
      </c>
      <c r="P393" s="40"/>
      <c r="Q393" s="41" t="s">
        <v>26</v>
      </c>
    </row>
    <row r="394" spans="1:17" x14ac:dyDescent="0.25">
      <c r="A394" s="40" t="s">
        <v>17</v>
      </c>
      <c r="B394" s="40" t="s">
        <v>18</v>
      </c>
      <c r="C394" s="40" t="s">
        <v>19</v>
      </c>
      <c r="D394" s="40" t="s">
        <v>20</v>
      </c>
      <c r="E394" s="40" t="s">
        <v>21</v>
      </c>
      <c r="F394" s="40" t="s">
        <v>101</v>
      </c>
      <c r="G394" s="40" t="s">
        <v>21</v>
      </c>
      <c r="H394" s="40" t="s">
        <v>153</v>
      </c>
      <c r="I394" s="40" t="s">
        <v>155</v>
      </c>
      <c r="J394" s="40"/>
      <c r="K394" s="40"/>
      <c r="L394" s="40"/>
      <c r="M394" s="40"/>
      <c r="N394" s="40"/>
      <c r="O394" s="40"/>
      <c r="P394" s="40">
        <v>924.98786571128437</v>
      </c>
      <c r="Q394" s="41" t="s">
        <v>26</v>
      </c>
    </row>
    <row r="395" spans="1:17" x14ac:dyDescent="0.25">
      <c r="A395" s="40" t="s">
        <v>17</v>
      </c>
      <c r="B395" s="40" t="s">
        <v>18</v>
      </c>
      <c r="C395" s="40" t="s">
        <v>19</v>
      </c>
      <c r="D395" s="40" t="s">
        <v>20</v>
      </c>
      <c r="E395" s="40" t="s">
        <v>21</v>
      </c>
      <c r="F395" s="40" t="s">
        <v>101</v>
      </c>
      <c r="G395" s="40" t="s">
        <v>21</v>
      </c>
      <c r="H395" s="40" t="s">
        <v>153</v>
      </c>
      <c r="I395" s="40" t="s">
        <v>157</v>
      </c>
      <c r="J395" s="40"/>
      <c r="K395" s="40"/>
      <c r="L395" s="40"/>
      <c r="M395" s="40"/>
      <c r="N395" s="40"/>
      <c r="O395" s="40">
        <v>2.7523000000000013</v>
      </c>
      <c r="P395" s="40"/>
      <c r="Q395" s="41" t="s">
        <v>26</v>
      </c>
    </row>
    <row r="396" spans="1:17" x14ac:dyDescent="0.25">
      <c r="A396" s="40" t="s">
        <v>17</v>
      </c>
      <c r="B396" s="43" t="s">
        <v>18</v>
      </c>
      <c r="C396" s="40" t="s">
        <v>19</v>
      </c>
      <c r="D396" s="43" t="s">
        <v>20</v>
      </c>
      <c r="E396" s="43" t="s">
        <v>21</v>
      </c>
      <c r="F396" s="43" t="s">
        <v>101</v>
      </c>
      <c r="G396" s="43" t="s">
        <v>21</v>
      </c>
      <c r="H396" s="43" t="s">
        <v>240</v>
      </c>
      <c r="I396" s="43" t="s">
        <v>241</v>
      </c>
      <c r="J396" s="43"/>
      <c r="K396" s="43"/>
      <c r="L396" s="43"/>
      <c r="M396" s="43"/>
      <c r="N396" s="43"/>
      <c r="O396" s="43">
        <v>1548.5013347851188</v>
      </c>
      <c r="P396" s="43"/>
      <c r="Q396" s="41" t="s">
        <v>26</v>
      </c>
    </row>
    <row r="397" spans="1:17" x14ac:dyDescent="0.25">
      <c r="A397" s="40" t="s">
        <v>17</v>
      </c>
      <c r="B397" s="43" t="s">
        <v>18</v>
      </c>
      <c r="C397" s="40" t="s">
        <v>19</v>
      </c>
      <c r="D397" s="43" t="s">
        <v>20</v>
      </c>
      <c r="E397" s="43" t="s">
        <v>21</v>
      </c>
      <c r="F397" s="43" t="s">
        <v>101</v>
      </c>
      <c r="G397" s="43" t="s">
        <v>21</v>
      </c>
      <c r="H397" s="43" t="s">
        <v>240</v>
      </c>
      <c r="I397" s="43" t="s">
        <v>242</v>
      </c>
      <c r="J397" s="43"/>
      <c r="K397" s="43"/>
      <c r="L397" s="43"/>
      <c r="M397" s="43"/>
      <c r="N397" s="43"/>
      <c r="O397" s="43">
        <v>0.1635939563127454</v>
      </c>
      <c r="P397" s="43"/>
      <c r="Q397" s="41" t="s">
        <v>26</v>
      </c>
    </row>
    <row r="398" spans="1:17" x14ac:dyDescent="0.25">
      <c r="A398" s="40" t="s">
        <v>17</v>
      </c>
      <c r="B398" s="40" t="s">
        <v>18</v>
      </c>
      <c r="C398" s="40" t="s">
        <v>19</v>
      </c>
      <c r="D398" s="40" t="s">
        <v>20</v>
      </c>
      <c r="E398" s="40" t="s">
        <v>21</v>
      </c>
      <c r="F398" s="40" t="s">
        <v>104</v>
      </c>
      <c r="G398" s="40" t="s">
        <v>105</v>
      </c>
      <c r="H398" s="40" t="s">
        <v>143</v>
      </c>
      <c r="I398" s="40" t="s">
        <v>148</v>
      </c>
      <c r="J398" s="40">
        <v>131.90241285198911</v>
      </c>
      <c r="K398" s="40">
        <v>29.242764929285993</v>
      </c>
      <c r="L398" s="40"/>
      <c r="M398" s="40"/>
      <c r="N398" s="40"/>
      <c r="O398" s="40"/>
      <c r="P398" s="40"/>
      <c r="Q398" s="41" t="s">
        <v>26</v>
      </c>
    </row>
    <row r="399" spans="1:17" x14ac:dyDescent="0.25">
      <c r="A399" s="40" t="s">
        <v>17</v>
      </c>
      <c r="B399" s="40" t="s">
        <v>18</v>
      </c>
      <c r="C399" s="40" t="s">
        <v>19</v>
      </c>
      <c r="D399" s="40" t="s">
        <v>20</v>
      </c>
      <c r="E399" s="40" t="s">
        <v>21</v>
      </c>
      <c r="F399" s="40" t="s">
        <v>104</v>
      </c>
      <c r="G399" s="40" t="s">
        <v>105</v>
      </c>
      <c r="H399" s="40" t="s">
        <v>153</v>
      </c>
      <c r="I399" s="40" t="s">
        <v>154</v>
      </c>
      <c r="J399" s="40">
        <v>26.326851798641982</v>
      </c>
      <c r="K399" s="40">
        <v>4.0821074582766688</v>
      </c>
      <c r="L399" s="40"/>
      <c r="M399" s="40"/>
      <c r="N399" s="40"/>
      <c r="O399" s="40"/>
      <c r="P399" s="40"/>
      <c r="Q399" s="41" t="s">
        <v>26</v>
      </c>
    </row>
    <row r="400" spans="1:17" x14ac:dyDescent="0.25">
      <c r="A400" s="40" t="s">
        <v>17</v>
      </c>
      <c r="B400" s="40" t="s">
        <v>18</v>
      </c>
      <c r="C400" s="40" t="s">
        <v>19</v>
      </c>
      <c r="D400" s="40" t="s">
        <v>20</v>
      </c>
      <c r="E400" s="40" t="s">
        <v>21</v>
      </c>
      <c r="F400" s="40" t="s">
        <v>104</v>
      </c>
      <c r="G400" s="40" t="s">
        <v>105</v>
      </c>
      <c r="H400" s="40" t="s">
        <v>24</v>
      </c>
      <c r="I400" s="40" t="s">
        <v>126</v>
      </c>
      <c r="J400" s="40">
        <v>5.5978733522859896</v>
      </c>
      <c r="K400" s="40">
        <v>5.4162797358324024</v>
      </c>
      <c r="L400" s="40">
        <v>0.21941546408005425</v>
      </c>
      <c r="M400" s="40">
        <v>47.265302951747778</v>
      </c>
      <c r="N400" s="40">
        <v>11.199588115423474</v>
      </c>
      <c r="O400" s="40">
        <v>18.869333657864363</v>
      </c>
      <c r="P400" s="40">
        <v>0.32039434021041024</v>
      </c>
      <c r="Q400" s="41" t="s">
        <v>26</v>
      </c>
    </row>
    <row r="401" spans="1:17" x14ac:dyDescent="0.25">
      <c r="A401" s="40" t="s">
        <v>17</v>
      </c>
      <c r="B401" s="40" t="s">
        <v>18</v>
      </c>
      <c r="C401" s="40" t="s">
        <v>19</v>
      </c>
      <c r="D401" s="40" t="s">
        <v>20</v>
      </c>
      <c r="E401" s="40" t="s">
        <v>21</v>
      </c>
      <c r="F401" s="40" t="s">
        <v>104</v>
      </c>
      <c r="G401" s="40" t="s">
        <v>105</v>
      </c>
      <c r="H401" s="40" t="s">
        <v>139</v>
      </c>
      <c r="I401" s="40" t="s">
        <v>141</v>
      </c>
      <c r="J401" s="40">
        <v>3.7084008000000015</v>
      </c>
      <c r="K401" s="40">
        <v>2.9596746784800008</v>
      </c>
      <c r="L401" s="40">
        <v>0</v>
      </c>
      <c r="M401" s="40">
        <v>7.3829412799999989</v>
      </c>
      <c r="N401" s="40">
        <v>0.13590511999999999</v>
      </c>
      <c r="O401" s="40">
        <v>0.4763636799999999</v>
      </c>
      <c r="P401" s="40">
        <v>0</v>
      </c>
      <c r="Q401" s="41" t="s">
        <v>26</v>
      </c>
    </row>
    <row r="402" spans="1:17" x14ac:dyDescent="0.25">
      <c r="A402" s="40" t="s">
        <v>17</v>
      </c>
      <c r="B402" s="43" t="s">
        <v>18</v>
      </c>
      <c r="C402" s="40" t="s">
        <v>19</v>
      </c>
      <c r="D402" s="43" t="s">
        <v>20</v>
      </c>
      <c r="E402" s="43" t="s">
        <v>21</v>
      </c>
      <c r="F402" s="43" t="s">
        <v>104</v>
      </c>
      <c r="G402" s="43" t="s">
        <v>105</v>
      </c>
      <c r="H402" s="43" t="s">
        <v>143</v>
      </c>
      <c r="I402" s="43" t="s">
        <v>243</v>
      </c>
      <c r="J402" s="43">
        <v>3.2415521354616983</v>
      </c>
      <c r="K402" s="43">
        <v>3.0890192003430479</v>
      </c>
      <c r="L402" s="43">
        <v>0.1582082552849475</v>
      </c>
      <c r="M402" s="43">
        <v>21.966825906912359</v>
      </c>
      <c r="N402" s="43">
        <v>0.98644013604645964</v>
      </c>
      <c r="O402" s="43">
        <v>1.6991172632786655</v>
      </c>
      <c r="P402" s="43">
        <v>0.43952809690358602</v>
      </c>
      <c r="Q402" s="41" t="s">
        <v>26</v>
      </c>
    </row>
    <row r="403" spans="1:17" x14ac:dyDescent="0.25">
      <c r="A403" s="40" t="s">
        <v>17</v>
      </c>
      <c r="B403" s="40" t="s">
        <v>18</v>
      </c>
      <c r="C403" s="40" t="s">
        <v>19</v>
      </c>
      <c r="D403" s="40" t="s">
        <v>20</v>
      </c>
      <c r="E403" s="40" t="s">
        <v>21</v>
      </c>
      <c r="F403" s="40" t="s">
        <v>104</v>
      </c>
      <c r="G403" s="40" t="s">
        <v>105</v>
      </c>
      <c r="H403" s="40" t="s">
        <v>143</v>
      </c>
      <c r="I403" s="40" t="s">
        <v>147</v>
      </c>
      <c r="J403" s="40">
        <v>2.0774136000000003</v>
      </c>
      <c r="K403" s="40">
        <v>0.23724063311999999</v>
      </c>
      <c r="L403" s="40"/>
      <c r="M403" s="40"/>
      <c r="N403" s="40"/>
      <c r="O403" s="40"/>
      <c r="P403" s="40"/>
      <c r="Q403" s="41" t="s">
        <v>26</v>
      </c>
    </row>
    <row r="404" spans="1:17" x14ac:dyDescent="0.25">
      <c r="A404" s="40" t="s">
        <v>17</v>
      </c>
      <c r="B404" s="40" t="s">
        <v>18</v>
      </c>
      <c r="C404" s="40" t="s">
        <v>19</v>
      </c>
      <c r="D404" s="40" t="s">
        <v>20</v>
      </c>
      <c r="E404" s="40" t="s">
        <v>21</v>
      </c>
      <c r="F404" s="40" t="s">
        <v>104</v>
      </c>
      <c r="G404" s="40" t="s">
        <v>105</v>
      </c>
      <c r="H404" s="40" t="s">
        <v>149</v>
      </c>
      <c r="I404" s="40" t="s">
        <v>151</v>
      </c>
      <c r="J404" s="40">
        <v>0.84791130531223846</v>
      </c>
      <c r="K404" s="40">
        <v>0.77650824802278695</v>
      </c>
      <c r="L404" s="40">
        <v>2.2313455402953646E-2</v>
      </c>
      <c r="M404" s="40">
        <v>1.89664370925106</v>
      </c>
      <c r="N404" s="40">
        <v>0.13388073241772186</v>
      </c>
      <c r="O404" s="40">
        <v>0.19091392442767136</v>
      </c>
      <c r="P404" s="40"/>
      <c r="Q404" s="41" t="s">
        <v>26</v>
      </c>
    </row>
    <row r="405" spans="1:17" x14ac:dyDescent="0.25">
      <c r="A405" s="40" t="s">
        <v>17</v>
      </c>
      <c r="B405" s="43" t="s">
        <v>18</v>
      </c>
      <c r="C405" s="40" t="s">
        <v>19</v>
      </c>
      <c r="D405" s="43" t="s">
        <v>20</v>
      </c>
      <c r="E405" s="43" t="s">
        <v>21</v>
      </c>
      <c r="F405" s="43" t="s">
        <v>104</v>
      </c>
      <c r="G405" s="43" t="s">
        <v>105</v>
      </c>
      <c r="H405" s="43" t="s">
        <v>24</v>
      </c>
      <c r="I405" s="43" t="s">
        <v>239</v>
      </c>
      <c r="J405" s="43">
        <v>0.11488913185882299</v>
      </c>
      <c r="K405" s="43">
        <v>7.8150507939658026E-2</v>
      </c>
      <c r="L405" s="43">
        <v>1.0788963879514444E-2</v>
      </c>
      <c r="M405" s="43">
        <v>0.78679720117946883</v>
      </c>
      <c r="N405" s="43">
        <v>1.9238441937258302</v>
      </c>
      <c r="O405" s="43">
        <v>4.3095048863633786E-2</v>
      </c>
      <c r="P405" s="43">
        <v>3.8672235704384161E-2</v>
      </c>
      <c r="Q405" s="41" t="s">
        <v>26</v>
      </c>
    </row>
    <row r="406" spans="1:17" x14ac:dyDescent="0.25">
      <c r="A406" s="40" t="s">
        <v>17</v>
      </c>
      <c r="B406" s="40" t="s">
        <v>18</v>
      </c>
      <c r="C406" s="40" t="s">
        <v>19</v>
      </c>
      <c r="D406" s="40" t="s">
        <v>20</v>
      </c>
      <c r="E406" s="40" t="s">
        <v>21</v>
      </c>
      <c r="F406" s="40" t="s">
        <v>104</v>
      </c>
      <c r="G406" s="40" t="s">
        <v>105</v>
      </c>
      <c r="H406" s="40" t="s">
        <v>153</v>
      </c>
      <c r="I406" s="40" t="s">
        <v>158</v>
      </c>
      <c r="J406" s="40">
        <v>7.6478772975734216E-2</v>
      </c>
      <c r="K406" s="40">
        <v>7.1418740737264091E-2</v>
      </c>
      <c r="L406" s="40">
        <v>0</v>
      </c>
      <c r="M406" s="40">
        <v>1.2144077372328304</v>
      </c>
      <c r="N406" s="40">
        <v>2.8914469934115013E-2</v>
      </c>
      <c r="O406" s="40">
        <v>7.5322194178369606E-2</v>
      </c>
      <c r="P406" s="40">
        <v>0</v>
      </c>
      <c r="Q406" s="41" t="s">
        <v>26</v>
      </c>
    </row>
    <row r="407" spans="1:17" x14ac:dyDescent="0.25">
      <c r="A407" s="40" t="s">
        <v>17</v>
      </c>
      <c r="B407" s="43" t="s">
        <v>18</v>
      </c>
      <c r="C407" s="40" t="s">
        <v>19</v>
      </c>
      <c r="D407" s="43" t="s">
        <v>20</v>
      </c>
      <c r="E407" s="43" t="s">
        <v>21</v>
      </c>
      <c r="F407" s="43" t="s">
        <v>104</v>
      </c>
      <c r="G407" s="43" t="s">
        <v>105</v>
      </c>
      <c r="H407" s="40" t="s">
        <v>24</v>
      </c>
      <c r="I407" s="40" t="s">
        <v>238</v>
      </c>
      <c r="J407" s="43">
        <v>2.1655246111710259E-2</v>
      </c>
      <c r="K407" s="43">
        <v>2.1655246111710259E-2</v>
      </c>
      <c r="L407" s="43">
        <v>2.5341904059051788E-3</v>
      </c>
      <c r="M407" s="43">
        <v>0.18569130534147565</v>
      </c>
      <c r="N407" s="43">
        <v>0.30787006503202174</v>
      </c>
      <c r="O407" s="43">
        <v>1.8515512604660236E-2</v>
      </c>
      <c r="P407" s="43">
        <v>1.8733611536637178E-4</v>
      </c>
      <c r="Q407" s="41" t="s">
        <v>26</v>
      </c>
    </row>
    <row r="408" spans="1:17" x14ac:dyDescent="0.25">
      <c r="A408" s="40" t="s">
        <v>17</v>
      </c>
      <c r="B408" s="40" t="s">
        <v>18</v>
      </c>
      <c r="C408" s="40" t="s">
        <v>19</v>
      </c>
      <c r="D408" s="40" t="s">
        <v>20</v>
      </c>
      <c r="E408" s="40" t="s">
        <v>21</v>
      </c>
      <c r="F408" s="40" t="s">
        <v>104</v>
      </c>
      <c r="G408" s="40" t="s">
        <v>105</v>
      </c>
      <c r="H408" s="40" t="s">
        <v>24</v>
      </c>
      <c r="I408" s="40" t="s">
        <v>25</v>
      </c>
      <c r="J408" s="40">
        <v>0</v>
      </c>
      <c r="K408" s="40">
        <v>0</v>
      </c>
      <c r="L408" s="40">
        <v>0</v>
      </c>
      <c r="M408" s="40">
        <v>0</v>
      </c>
      <c r="N408" s="40">
        <v>0</v>
      </c>
      <c r="O408" s="40">
        <v>0</v>
      </c>
      <c r="P408" s="40">
        <v>0</v>
      </c>
      <c r="Q408" s="41" t="s">
        <v>26</v>
      </c>
    </row>
    <row r="409" spans="1:17" x14ac:dyDescent="0.25">
      <c r="A409" s="40" t="s">
        <v>17</v>
      </c>
      <c r="B409" s="40" t="s">
        <v>18</v>
      </c>
      <c r="C409" s="40" t="s">
        <v>19</v>
      </c>
      <c r="D409" s="40" t="s">
        <v>20</v>
      </c>
      <c r="E409" s="40" t="s">
        <v>21</v>
      </c>
      <c r="F409" s="40" t="s">
        <v>104</v>
      </c>
      <c r="G409" s="40" t="s">
        <v>105</v>
      </c>
      <c r="H409" s="40" t="s">
        <v>139</v>
      </c>
      <c r="I409" s="40" t="s">
        <v>140</v>
      </c>
      <c r="J409" s="40">
        <v>0</v>
      </c>
      <c r="K409" s="40">
        <v>0</v>
      </c>
      <c r="L409" s="40"/>
      <c r="M409" s="40"/>
      <c r="N409" s="40"/>
      <c r="O409" s="40"/>
      <c r="P409" s="40"/>
      <c r="Q409" s="41" t="s">
        <v>26</v>
      </c>
    </row>
    <row r="410" spans="1:17" x14ac:dyDescent="0.25">
      <c r="A410" s="40" t="s">
        <v>17</v>
      </c>
      <c r="B410" s="40" t="s">
        <v>18</v>
      </c>
      <c r="C410" s="40" t="s">
        <v>19</v>
      </c>
      <c r="D410" s="40" t="s">
        <v>20</v>
      </c>
      <c r="E410" s="40" t="s">
        <v>21</v>
      </c>
      <c r="F410" s="40" t="s">
        <v>104</v>
      </c>
      <c r="G410" s="40" t="s">
        <v>105</v>
      </c>
      <c r="H410" s="40" t="s">
        <v>149</v>
      </c>
      <c r="I410" s="40" t="s">
        <v>152</v>
      </c>
      <c r="J410" s="40">
        <v>0</v>
      </c>
      <c r="K410" s="40">
        <v>0</v>
      </c>
      <c r="L410" s="40">
        <v>0</v>
      </c>
      <c r="M410" s="40">
        <v>0</v>
      </c>
      <c r="N410" s="40"/>
      <c r="O410" s="40">
        <v>0</v>
      </c>
      <c r="P410" s="40"/>
      <c r="Q410" s="41" t="s">
        <v>26</v>
      </c>
    </row>
    <row r="411" spans="1:17" x14ac:dyDescent="0.25">
      <c r="A411" s="40" t="s">
        <v>17</v>
      </c>
      <c r="B411" s="40" t="s">
        <v>18</v>
      </c>
      <c r="C411" s="40" t="s">
        <v>19</v>
      </c>
      <c r="D411" s="40" t="s">
        <v>20</v>
      </c>
      <c r="E411" s="40" t="s">
        <v>21</v>
      </c>
      <c r="F411" s="40" t="s">
        <v>104</v>
      </c>
      <c r="G411" s="40" t="s">
        <v>105</v>
      </c>
      <c r="H411" s="40" t="s">
        <v>153</v>
      </c>
      <c r="I411" s="40" t="s">
        <v>156</v>
      </c>
      <c r="J411" s="40">
        <v>0</v>
      </c>
      <c r="K411" s="40">
        <v>0</v>
      </c>
      <c r="L411" s="40">
        <v>0</v>
      </c>
      <c r="M411" s="40">
        <v>0</v>
      </c>
      <c r="N411" s="40">
        <v>0</v>
      </c>
      <c r="O411" s="40">
        <v>0</v>
      </c>
      <c r="P411" s="40">
        <v>0</v>
      </c>
      <c r="Q411" s="41" t="s">
        <v>137</v>
      </c>
    </row>
    <row r="412" spans="1:17" x14ac:dyDescent="0.25">
      <c r="A412" s="40" t="s">
        <v>17</v>
      </c>
      <c r="B412" s="40" t="s">
        <v>18</v>
      </c>
      <c r="C412" s="40" t="s">
        <v>19</v>
      </c>
      <c r="D412" s="40" t="s">
        <v>20</v>
      </c>
      <c r="E412" s="40" t="s">
        <v>21</v>
      </c>
      <c r="F412" s="40" t="s">
        <v>104</v>
      </c>
      <c r="G412" s="40" t="s">
        <v>105</v>
      </c>
      <c r="H412" s="40" t="s">
        <v>153</v>
      </c>
      <c r="I412" s="40" t="s">
        <v>159</v>
      </c>
      <c r="J412" s="40">
        <v>0</v>
      </c>
      <c r="K412" s="40">
        <v>0</v>
      </c>
      <c r="L412" s="40">
        <v>0</v>
      </c>
      <c r="M412" s="40">
        <v>0</v>
      </c>
      <c r="N412" s="40">
        <v>0</v>
      </c>
      <c r="O412" s="40">
        <v>0</v>
      </c>
      <c r="P412" s="40">
        <v>0</v>
      </c>
      <c r="Q412" s="41" t="s">
        <v>26</v>
      </c>
    </row>
    <row r="413" spans="1:17" x14ac:dyDescent="0.25">
      <c r="A413" s="40" t="s">
        <v>17</v>
      </c>
      <c r="B413" s="40" t="s">
        <v>18</v>
      </c>
      <c r="C413" s="40" t="s">
        <v>19</v>
      </c>
      <c r="D413" s="40" t="s">
        <v>20</v>
      </c>
      <c r="E413" s="40" t="s">
        <v>21</v>
      </c>
      <c r="F413" s="40" t="s">
        <v>104</v>
      </c>
      <c r="G413" s="40" t="s">
        <v>105</v>
      </c>
      <c r="H413" s="40" t="s">
        <v>127</v>
      </c>
      <c r="I413" s="40" t="s">
        <v>128</v>
      </c>
      <c r="J413" s="40"/>
      <c r="K413" s="40"/>
      <c r="L413" s="40"/>
      <c r="M413" s="40"/>
      <c r="N413" s="40"/>
      <c r="O413" s="40">
        <v>1.3117620534923617</v>
      </c>
      <c r="P413" s="40"/>
      <c r="Q413" s="41" t="s">
        <v>26</v>
      </c>
    </row>
    <row r="414" spans="1:17" x14ac:dyDescent="0.25">
      <c r="A414" s="40" t="s">
        <v>17</v>
      </c>
      <c r="B414" s="40" t="s">
        <v>18</v>
      </c>
      <c r="C414" s="40" t="s">
        <v>19</v>
      </c>
      <c r="D414" s="40" t="s">
        <v>20</v>
      </c>
      <c r="E414" s="40" t="s">
        <v>21</v>
      </c>
      <c r="F414" s="40" t="s">
        <v>104</v>
      </c>
      <c r="G414" s="40" t="s">
        <v>105</v>
      </c>
      <c r="H414" s="40" t="s">
        <v>127</v>
      </c>
      <c r="I414" s="40" t="s">
        <v>129</v>
      </c>
      <c r="J414" s="40"/>
      <c r="K414" s="40"/>
      <c r="L414" s="40"/>
      <c r="M414" s="40"/>
      <c r="N414" s="40"/>
      <c r="O414" s="40">
        <v>0</v>
      </c>
      <c r="P414" s="40"/>
      <c r="Q414" s="41" t="s">
        <v>26</v>
      </c>
    </row>
    <row r="415" spans="1:17" x14ac:dyDescent="0.25">
      <c r="A415" s="40" t="s">
        <v>17</v>
      </c>
      <c r="B415" s="40" t="s">
        <v>18</v>
      </c>
      <c r="C415" s="40" t="s">
        <v>19</v>
      </c>
      <c r="D415" s="40" t="s">
        <v>20</v>
      </c>
      <c r="E415" s="40" t="s">
        <v>21</v>
      </c>
      <c r="F415" s="40" t="s">
        <v>104</v>
      </c>
      <c r="G415" s="40" t="s">
        <v>105</v>
      </c>
      <c r="H415" s="40" t="s">
        <v>127</v>
      </c>
      <c r="I415" s="40" t="s">
        <v>130</v>
      </c>
      <c r="J415" s="40"/>
      <c r="K415" s="40"/>
      <c r="L415" s="40"/>
      <c r="M415" s="40"/>
      <c r="N415" s="40"/>
      <c r="O415" s="40">
        <v>51.655463351988757</v>
      </c>
      <c r="P415" s="40"/>
      <c r="Q415" s="41" t="s">
        <v>26</v>
      </c>
    </row>
    <row r="416" spans="1:17" x14ac:dyDescent="0.25">
      <c r="A416" s="40" t="s">
        <v>17</v>
      </c>
      <c r="B416" s="40" t="s">
        <v>18</v>
      </c>
      <c r="C416" s="40" t="s">
        <v>19</v>
      </c>
      <c r="D416" s="40" t="s">
        <v>20</v>
      </c>
      <c r="E416" s="40" t="s">
        <v>21</v>
      </c>
      <c r="F416" s="40" t="s">
        <v>104</v>
      </c>
      <c r="G416" s="40" t="s">
        <v>105</v>
      </c>
      <c r="H416" s="40" t="s">
        <v>127</v>
      </c>
      <c r="I416" s="40" t="s">
        <v>131</v>
      </c>
      <c r="J416" s="40"/>
      <c r="K416" s="40"/>
      <c r="L416" s="40"/>
      <c r="M416" s="40"/>
      <c r="N416" s="40"/>
      <c r="O416" s="40">
        <v>1.5550281712164211</v>
      </c>
      <c r="P416" s="40"/>
      <c r="Q416" s="41" t="s">
        <v>26</v>
      </c>
    </row>
    <row r="417" spans="1:17" x14ac:dyDescent="0.25">
      <c r="A417" s="40" t="s">
        <v>17</v>
      </c>
      <c r="B417" s="40" t="s">
        <v>18</v>
      </c>
      <c r="C417" s="40" t="s">
        <v>19</v>
      </c>
      <c r="D417" s="40" t="s">
        <v>20</v>
      </c>
      <c r="E417" s="40" t="s">
        <v>21</v>
      </c>
      <c r="F417" s="40" t="s">
        <v>104</v>
      </c>
      <c r="G417" s="40" t="s">
        <v>105</v>
      </c>
      <c r="H417" s="40" t="s">
        <v>127</v>
      </c>
      <c r="I417" s="40" t="s">
        <v>132</v>
      </c>
      <c r="J417" s="40"/>
      <c r="K417" s="40"/>
      <c r="L417" s="40"/>
      <c r="M417" s="40"/>
      <c r="N417" s="40"/>
      <c r="O417" s="40">
        <v>49.873229020549623</v>
      </c>
      <c r="P417" s="40"/>
      <c r="Q417" s="41" t="s">
        <v>26</v>
      </c>
    </row>
    <row r="418" spans="1:17" x14ac:dyDescent="0.25">
      <c r="A418" s="40" t="s">
        <v>17</v>
      </c>
      <c r="B418" s="40" t="s">
        <v>18</v>
      </c>
      <c r="C418" s="40" t="s">
        <v>19</v>
      </c>
      <c r="D418" s="40" t="s">
        <v>20</v>
      </c>
      <c r="E418" s="40" t="s">
        <v>21</v>
      </c>
      <c r="F418" s="40" t="s">
        <v>104</v>
      </c>
      <c r="G418" s="40" t="s">
        <v>105</v>
      </c>
      <c r="H418" s="40" t="s">
        <v>127</v>
      </c>
      <c r="I418" s="40" t="s">
        <v>133</v>
      </c>
      <c r="J418" s="40"/>
      <c r="K418" s="40"/>
      <c r="L418" s="40"/>
      <c r="M418" s="40"/>
      <c r="N418" s="40"/>
      <c r="O418" s="40">
        <v>50.129116709035024</v>
      </c>
      <c r="P418" s="40"/>
      <c r="Q418" s="41" t="s">
        <v>26</v>
      </c>
    </row>
    <row r="419" spans="1:17" x14ac:dyDescent="0.25">
      <c r="A419" s="40" t="s">
        <v>17</v>
      </c>
      <c r="B419" s="40" t="s">
        <v>18</v>
      </c>
      <c r="C419" s="40" t="s">
        <v>19</v>
      </c>
      <c r="D419" s="40" t="s">
        <v>20</v>
      </c>
      <c r="E419" s="40" t="s">
        <v>21</v>
      </c>
      <c r="F419" s="40" t="s">
        <v>104</v>
      </c>
      <c r="G419" s="40" t="s">
        <v>105</v>
      </c>
      <c r="H419" s="40" t="s">
        <v>127</v>
      </c>
      <c r="I419" s="40" t="s">
        <v>134</v>
      </c>
      <c r="J419" s="40"/>
      <c r="K419" s="40"/>
      <c r="L419" s="40"/>
      <c r="M419" s="40"/>
      <c r="N419" s="40"/>
      <c r="O419" s="40">
        <v>119.20190000000005</v>
      </c>
      <c r="P419" s="40"/>
      <c r="Q419" s="41" t="s">
        <v>26</v>
      </c>
    </row>
    <row r="420" spans="1:17" x14ac:dyDescent="0.25">
      <c r="A420" s="40" t="s">
        <v>17</v>
      </c>
      <c r="B420" s="40" t="s">
        <v>18</v>
      </c>
      <c r="C420" s="40" t="s">
        <v>19</v>
      </c>
      <c r="D420" s="40" t="s">
        <v>20</v>
      </c>
      <c r="E420" s="40" t="s">
        <v>21</v>
      </c>
      <c r="F420" s="40" t="s">
        <v>104</v>
      </c>
      <c r="G420" s="40" t="s">
        <v>105</v>
      </c>
      <c r="H420" s="40" t="s">
        <v>135</v>
      </c>
      <c r="I420" s="40" t="s">
        <v>136</v>
      </c>
      <c r="J420" s="40"/>
      <c r="K420" s="40"/>
      <c r="L420" s="40"/>
      <c r="M420" s="40"/>
      <c r="N420" s="40"/>
      <c r="O420" s="40">
        <v>220.5947216813029</v>
      </c>
      <c r="P420" s="40"/>
      <c r="Q420" s="41" t="s">
        <v>137</v>
      </c>
    </row>
    <row r="421" spans="1:17" x14ac:dyDescent="0.25">
      <c r="A421" s="40" t="s">
        <v>17</v>
      </c>
      <c r="B421" s="40" t="s">
        <v>18</v>
      </c>
      <c r="C421" s="40" t="s">
        <v>19</v>
      </c>
      <c r="D421" s="40" t="s">
        <v>20</v>
      </c>
      <c r="E421" s="40" t="s">
        <v>21</v>
      </c>
      <c r="F421" s="40" t="s">
        <v>104</v>
      </c>
      <c r="G421" s="40" t="s">
        <v>105</v>
      </c>
      <c r="H421" s="40" t="s">
        <v>135</v>
      </c>
      <c r="I421" s="40" t="s">
        <v>138</v>
      </c>
      <c r="J421" s="40"/>
      <c r="K421" s="40"/>
      <c r="L421" s="40"/>
      <c r="M421" s="40"/>
      <c r="N421" s="40"/>
      <c r="O421" s="40">
        <v>6.1161254194934083</v>
      </c>
      <c r="P421" s="40"/>
      <c r="Q421" s="41" t="s">
        <v>137</v>
      </c>
    </row>
    <row r="422" spans="1:17" x14ac:dyDescent="0.25">
      <c r="A422" s="40" t="s">
        <v>17</v>
      </c>
      <c r="B422" s="40" t="s">
        <v>18</v>
      </c>
      <c r="C422" s="40" t="s">
        <v>19</v>
      </c>
      <c r="D422" s="40" t="s">
        <v>20</v>
      </c>
      <c r="E422" s="40" t="s">
        <v>21</v>
      </c>
      <c r="F422" s="40" t="s">
        <v>104</v>
      </c>
      <c r="G422" s="40" t="s">
        <v>105</v>
      </c>
      <c r="H422" s="40" t="s">
        <v>139</v>
      </c>
      <c r="I422" s="40" t="s">
        <v>142</v>
      </c>
      <c r="J422" s="40"/>
      <c r="K422" s="40"/>
      <c r="L422" s="40"/>
      <c r="M422" s="40"/>
      <c r="N422" s="40"/>
      <c r="O422" s="40">
        <v>8.352363479351424E-2</v>
      </c>
      <c r="P422" s="40"/>
      <c r="Q422" s="41" t="s">
        <v>26</v>
      </c>
    </row>
    <row r="423" spans="1:17" x14ac:dyDescent="0.25">
      <c r="A423" s="40" t="s">
        <v>17</v>
      </c>
      <c r="B423" s="40" t="s">
        <v>18</v>
      </c>
      <c r="C423" s="40" t="s">
        <v>19</v>
      </c>
      <c r="D423" s="40" t="s">
        <v>20</v>
      </c>
      <c r="E423" s="40" t="s">
        <v>21</v>
      </c>
      <c r="F423" s="40" t="s">
        <v>104</v>
      </c>
      <c r="G423" s="40" t="s">
        <v>105</v>
      </c>
      <c r="H423" s="40" t="s">
        <v>143</v>
      </c>
      <c r="I423" s="40" t="s">
        <v>144</v>
      </c>
      <c r="J423" s="40"/>
      <c r="K423" s="40"/>
      <c r="L423" s="40"/>
      <c r="M423" s="40"/>
      <c r="N423" s="40"/>
      <c r="O423" s="40"/>
      <c r="P423" s="40">
        <v>26.732535882447991</v>
      </c>
      <c r="Q423" s="41" t="s">
        <v>26</v>
      </c>
    </row>
    <row r="424" spans="1:17" x14ac:dyDescent="0.25">
      <c r="A424" s="40" t="s">
        <v>17</v>
      </c>
      <c r="B424" s="40" t="s">
        <v>18</v>
      </c>
      <c r="C424" s="40" t="s">
        <v>19</v>
      </c>
      <c r="D424" s="40" t="s">
        <v>20</v>
      </c>
      <c r="E424" s="40" t="s">
        <v>21</v>
      </c>
      <c r="F424" s="40" t="s">
        <v>104</v>
      </c>
      <c r="G424" s="40" t="s">
        <v>105</v>
      </c>
      <c r="H424" s="40" t="s">
        <v>143</v>
      </c>
      <c r="I424" s="40" t="s">
        <v>145</v>
      </c>
      <c r="J424" s="40"/>
      <c r="K424" s="40"/>
      <c r="L424" s="40"/>
      <c r="M424" s="40"/>
      <c r="N424" s="40"/>
      <c r="O424" s="40">
        <v>0.36692826091641578</v>
      </c>
      <c r="P424" s="40"/>
      <c r="Q424" s="41" t="s">
        <v>26</v>
      </c>
    </row>
    <row r="425" spans="1:17" x14ac:dyDescent="0.25">
      <c r="A425" s="40" t="s">
        <v>17</v>
      </c>
      <c r="B425" s="40" t="s">
        <v>18</v>
      </c>
      <c r="C425" s="40" t="s">
        <v>19</v>
      </c>
      <c r="D425" s="40" t="s">
        <v>20</v>
      </c>
      <c r="E425" s="40" t="s">
        <v>21</v>
      </c>
      <c r="F425" s="40" t="s">
        <v>104</v>
      </c>
      <c r="G425" s="40" t="s">
        <v>105</v>
      </c>
      <c r="H425" s="40" t="s">
        <v>143</v>
      </c>
      <c r="I425" s="40" t="s">
        <v>146</v>
      </c>
      <c r="J425" s="40"/>
      <c r="K425" s="40"/>
      <c r="L425" s="40"/>
      <c r="M425" s="40"/>
      <c r="N425" s="40"/>
      <c r="O425" s="40"/>
      <c r="P425" s="40">
        <v>1880.1489300000001</v>
      </c>
      <c r="Q425" s="41" t="s">
        <v>26</v>
      </c>
    </row>
    <row r="426" spans="1:17" x14ac:dyDescent="0.25">
      <c r="A426" s="40" t="s">
        <v>17</v>
      </c>
      <c r="B426" s="40" t="s">
        <v>18</v>
      </c>
      <c r="C426" s="40" t="s">
        <v>19</v>
      </c>
      <c r="D426" s="40" t="s">
        <v>20</v>
      </c>
      <c r="E426" s="40" t="s">
        <v>21</v>
      </c>
      <c r="F426" s="40" t="s">
        <v>104</v>
      </c>
      <c r="G426" s="40" t="s">
        <v>105</v>
      </c>
      <c r="H426" s="40" t="s">
        <v>149</v>
      </c>
      <c r="I426" s="40" t="s">
        <v>150</v>
      </c>
      <c r="J426" s="40"/>
      <c r="K426" s="40"/>
      <c r="L426" s="40"/>
      <c r="M426" s="40"/>
      <c r="N426" s="40"/>
      <c r="O426" s="40">
        <v>3058.0569258523487</v>
      </c>
      <c r="P426" s="40"/>
      <c r="Q426" s="41" t="s">
        <v>26</v>
      </c>
    </row>
    <row r="427" spans="1:17" x14ac:dyDescent="0.25">
      <c r="A427" s="40" t="s">
        <v>17</v>
      </c>
      <c r="B427" s="40" t="s">
        <v>18</v>
      </c>
      <c r="C427" s="40" t="s">
        <v>19</v>
      </c>
      <c r="D427" s="40" t="s">
        <v>20</v>
      </c>
      <c r="E427" s="40" t="s">
        <v>21</v>
      </c>
      <c r="F427" s="40" t="s">
        <v>104</v>
      </c>
      <c r="G427" s="40" t="s">
        <v>105</v>
      </c>
      <c r="H427" s="40" t="s">
        <v>153</v>
      </c>
      <c r="I427" s="40" t="s">
        <v>155</v>
      </c>
      <c r="J427" s="40"/>
      <c r="K427" s="40"/>
      <c r="L427" s="40"/>
      <c r="M427" s="40"/>
      <c r="N427" s="40"/>
      <c r="O427" s="40"/>
      <c r="P427" s="40">
        <v>125.85033250552777</v>
      </c>
      <c r="Q427" s="41" t="s">
        <v>26</v>
      </c>
    </row>
    <row r="428" spans="1:17" x14ac:dyDescent="0.25">
      <c r="A428" s="40" t="s">
        <v>17</v>
      </c>
      <c r="B428" s="40" t="s">
        <v>18</v>
      </c>
      <c r="C428" s="40" t="s">
        <v>19</v>
      </c>
      <c r="D428" s="40" t="s">
        <v>20</v>
      </c>
      <c r="E428" s="40" t="s">
        <v>21</v>
      </c>
      <c r="F428" s="40" t="s">
        <v>104</v>
      </c>
      <c r="G428" s="40" t="s">
        <v>105</v>
      </c>
      <c r="H428" s="40" t="s">
        <v>153</v>
      </c>
      <c r="I428" s="40" t="s">
        <v>157</v>
      </c>
      <c r="J428" s="40"/>
      <c r="K428" s="40"/>
      <c r="L428" s="40"/>
      <c r="M428" s="40"/>
      <c r="N428" s="40"/>
      <c r="O428" s="40">
        <v>0</v>
      </c>
      <c r="P428" s="40"/>
      <c r="Q428" s="41" t="s">
        <v>26</v>
      </c>
    </row>
    <row r="429" spans="1:17" x14ac:dyDescent="0.25">
      <c r="A429" s="40" t="s">
        <v>17</v>
      </c>
      <c r="B429" s="43" t="s">
        <v>18</v>
      </c>
      <c r="C429" s="40" t="s">
        <v>19</v>
      </c>
      <c r="D429" s="43" t="s">
        <v>20</v>
      </c>
      <c r="E429" s="43" t="s">
        <v>21</v>
      </c>
      <c r="F429" s="43" t="s">
        <v>104</v>
      </c>
      <c r="G429" s="43" t="s">
        <v>105</v>
      </c>
      <c r="H429" s="43" t="s">
        <v>240</v>
      </c>
      <c r="I429" s="43" t="s">
        <v>241</v>
      </c>
      <c r="J429" s="43"/>
      <c r="K429" s="43"/>
      <c r="L429" s="43"/>
      <c r="M429" s="43"/>
      <c r="N429" s="43"/>
      <c r="O429" s="43">
        <v>9.8145711963568889</v>
      </c>
      <c r="P429" s="43"/>
      <c r="Q429" s="41" t="s">
        <v>26</v>
      </c>
    </row>
    <row r="430" spans="1:17" x14ac:dyDescent="0.25">
      <c r="A430" s="40" t="s">
        <v>17</v>
      </c>
      <c r="B430" s="43" t="s">
        <v>18</v>
      </c>
      <c r="C430" s="40" t="s">
        <v>19</v>
      </c>
      <c r="D430" s="43" t="s">
        <v>20</v>
      </c>
      <c r="E430" s="43" t="s">
        <v>21</v>
      </c>
      <c r="F430" s="43" t="s">
        <v>104</v>
      </c>
      <c r="G430" s="43" t="s">
        <v>105</v>
      </c>
      <c r="H430" s="43" t="s">
        <v>240</v>
      </c>
      <c r="I430" s="43" t="s">
        <v>242</v>
      </c>
      <c r="J430" s="43"/>
      <c r="K430" s="43"/>
      <c r="L430" s="43"/>
      <c r="M430" s="43"/>
      <c r="N430" s="43"/>
      <c r="O430" s="43">
        <v>2.3624729072628421</v>
      </c>
      <c r="P430" s="43"/>
      <c r="Q430" s="41" t="s">
        <v>26</v>
      </c>
    </row>
    <row r="431" spans="1:17" x14ac:dyDescent="0.25">
      <c r="A431" s="40" t="s">
        <v>17</v>
      </c>
      <c r="B431" s="40" t="s">
        <v>18</v>
      </c>
      <c r="C431" s="40" t="s">
        <v>19</v>
      </c>
      <c r="D431" s="40" t="s">
        <v>20</v>
      </c>
      <c r="E431" s="40" t="s">
        <v>21</v>
      </c>
      <c r="F431" s="40" t="s">
        <v>112</v>
      </c>
      <c r="G431" s="40" t="s">
        <v>113</v>
      </c>
      <c r="H431" s="40" t="s">
        <v>153</v>
      </c>
      <c r="I431" s="40" t="s">
        <v>154</v>
      </c>
      <c r="J431" s="40">
        <v>95.416209041117881</v>
      </c>
      <c r="K431" s="40">
        <v>14.794751060486641</v>
      </c>
      <c r="L431" s="40"/>
      <c r="M431" s="40"/>
      <c r="N431" s="40"/>
      <c r="O431" s="40"/>
      <c r="P431" s="40"/>
      <c r="Q431" s="41" t="s">
        <v>26</v>
      </c>
    </row>
    <row r="432" spans="1:17" x14ac:dyDescent="0.25">
      <c r="A432" s="40" t="s">
        <v>17</v>
      </c>
      <c r="B432" s="40" t="s">
        <v>18</v>
      </c>
      <c r="C432" s="40" t="s">
        <v>19</v>
      </c>
      <c r="D432" s="40" t="s">
        <v>20</v>
      </c>
      <c r="E432" s="40" t="s">
        <v>21</v>
      </c>
      <c r="F432" s="40" t="s">
        <v>112</v>
      </c>
      <c r="G432" s="40" t="s">
        <v>113</v>
      </c>
      <c r="H432" s="40" t="s">
        <v>24</v>
      </c>
      <c r="I432" s="40" t="s">
        <v>126</v>
      </c>
      <c r="J432" s="40">
        <v>7.7681768297702725</v>
      </c>
      <c r="K432" s="40">
        <v>7.4950001090863374</v>
      </c>
      <c r="L432" s="40">
        <v>0.25834952880504969</v>
      </c>
      <c r="M432" s="40">
        <v>65.199892339001323</v>
      </c>
      <c r="N432" s="40">
        <v>7.6961820093952849</v>
      </c>
      <c r="O432" s="40">
        <v>28.014826995725539</v>
      </c>
      <c r="P432" s="40">
        <v>0.46947249709396394</v>
      </c>
      <c r="Q432" s="41" t="s">
        <v>26</v>
      </c>
    </row>
    <row r="433" spans="1:17" x14ac:dyDescent="0.25">
      <c r="A433" s="40" t="s">
        <v>17</v>
      </c>
      <c r="B433" s="40" t="s">
        <v>18</v>
      </c>
      <c r="C433" s="40" t="s">
        <v>19</v>
      </c>
      <c r="D433" s="40" t="s">
        <v>20</v>
      </c>
      <c r="E433" s="40" t="s">
        <v>21</v>
      </c>
      <c r="F433" s="40" t="s">
        <v>112</v>
      </c>
      <c r="G433" s="40" t="s">
        <v>113</v>
      </c>
      <c r="H433" s="40" t="s">
        <v>149</v>
      </c>
      <c r="I433" s="40" t="s">
        <v>151</v>
      </c>
      <c r="J433" s="40">
        <v>5.3179792666942625</v>
      </c>
      <c r="K433" s="40">
        <v>4.8701494337094822</v>
      </c>
      <c r="L433" s="40">
        <v>0.13994682280774373</v>
      </c>
      <c r="M433" s="40">
        <v>11.895479938658218</v>
      </c>
      <c r="N433" s="40">
        <v>0.8396809368464625</v>
      </c>
      <c r="O433" s="40">
        <v>1.1973850159430552</v>
      </c>
      <c r="P433" s="40"/>
      <c r="Q433" s="41" t="s">
        <v>26</v>
      </c>
    </row>
    <row r="434" spans="1:17" x14ac:dyDescent="0.25">
      <c r="A434" s="40" t="s">
        <v>17</v>
      </c>
      <c r="B434" s="40" t="s">
        <v>18</v>
      </c>
      <c r="C434" s="40" t="s">
        <v>19</v>
      </c>
      <c r="D434" s="40" t="s">
        <v>20</v>
      </c>
      <c r="E434" s="40" t="s">
        <v>21</v>
      </c>
      <c r="F434" s="40" t="s">
        <v>112</v>
      </c>
      <c r="G434" s="40" t="s">
        <v>113</v>
      </c>
      <c r="H434" s="40" t="s">
        <v>153</v>
      </c>
      <c r="I434" s="40" t="s">
        <v>156</v>
      </c>
      <c r="J434" s="40">
        <v>4.6614811860308576</v>
      </c>
      <c r="K434" s="40">
        <v>3.9557589347592539</v>
      </c>
      <c r="L434" s="40">
        <v>0.42714767840123402</v>
      </c>
      <c r="M434" s="40">
        <v>46.280522372864134</v>
      </c>
      <c r="N434" s="40">
        <v>1.3743012261604921</v>
      </c>
      <c r="O434" s="40">
        <v>3.2314650452962916</v>
      </c>
      <c r="P434" s="40">
        <v>0.4642909547839501</v>
      </c>
      <c r="Q434" s="41" t="s">
        <v>137</v>
      </c>
    </row>
    <row r="435" spans="1:17" x14ac:dyDescent="0.25">
      <c r="A435" s="40" t="s">
        <v>17</v>
      </c>
      <c r="B435" s="40" t="s">
        <v>18</v>
      </c>
      <c r="C435" s="40" t="s">
        <v>19</v>
      </c>
      <c r="D435" s="40" t="s">
        <v>20</v>
      </c>
      <c r="E435" s="40" t="s">
        <v>21</v>
      </c>
      <c r="F435" s="40" t="s">
        <v>112</v>
      </c>
      <c r="G435" s="40" t="s">
        <v>113</v>
      </c>
      <c r="H435" s="40" t="s">
        <v>143</v>
      </c>
      <c r="I435" s="40" t="s">
        <v>147</v>
      </c>
      <c r="J435" s="40">
        <v>3.9062832000000003</v>
      </c>
      <c r="K435" s="40">
        <v>0.44609754143999997</v>
      </c>
      <c r="L435" s="40"/>
      <c r="M435" s="40"/>
      <c r="N435" s="40"/>
      <c r="O435" s="40"/>
      <c r="P435" s="40"/>
      <c r="Q435" s="41" t="s">
        <v>26</v>
      </c>
    </row>
    <row r="436" spans="1:17" x14ac:dyDescent="0.25">
      <c r="A436" s="40" t="s">
        <v>17</v>
      </c>
      <c r="B436" s="40" t="s">
        <v>18</v>
      </c>
      <c r="C436" s="40" t="s">
        <v>19</v>
      </c>
      <c r="D436" s="40" t="s">
        <v>20</v>
      </c>
      <c r="E436" s="40" t="s">
        <v>21</v>
      </c>
      <c r="F436" s="40" t="s">
        <v>112</v>
      </c>
      <c r="G436" s="40" t="s">
        <v>113</v>
      </c>
      <c r="H436" s="40" t="s">
        <v>139</v>
      </c>
      <c r="I436" s="40" t="s">
        <v>141</v>
      </c>
      <c r="J436" s="40">
        <v>3.8271265500000009</v>
      </c>
      <c r="K436" s="40">
        <v>3.0544296995549995</v>
      </c>
      <c r="L436" s="40">
        <v>0</v>
      </c>
      <c r="M436" s="40">
        <v>7.6193087299999984</v>
      </c>
      <c r="N436" s="40">
        <v>0.14025616999999999</v>
      </c>
      <c r="O436" s="40">
        <v>0.49161463</v>
      </c>
      <c r="P436" s="40">
        <v>0</v>
      </c>
      <c r="Q436" s="41" t="s">
        <v>26</v>
      </c>
    </row>
    <row r="437" spans="1:17" x14ac:dyDescent="0.25">
      <c r="A437" s="40" t="s">
        <v>17</v>
      </c>
      <c r="B437" s="40" t="s">
        <v>18</v>
      </c>
      <c r="C437" s="40" t="s">
        <v>19</v>
      </c>
      <c r="D437" s="40" t="s">
        <v>20</v>
      </c>
      <c r="E437" s="40" t="s">
        <v>21</v>
      </c>
      <c r="F437" s="40" t="s">
        <v>112</v>
      </c>
      <c r="G437" s="40" t="s">
        <v>113</v>
      </c>
      <c r="H437" s="40" t="s">
        <v>143</v>
      </c>
      <c r="I437" s="40" t="s">
        <v>148</v>
      </c>
      <c r="J437" s="40">
        <v>2.1924173738571784</v>
      </c>
      <c r="K437" s="40">
        <v>0.48605893178413639</v>
      </c>
      <c r="L437" s="40"/>
      <c r="M437" s="40"/>
      <c r="N437" s="40"/>
      <c r="O437" s="40"/>
      <c r="P437" s="40"/>
      <c r="Q437" s="41" t="s">
        <v>26</v>
      </c>
    </row>
    <row r="438" spans="1:17" x14ac:dyDescent="0.25">
      <c r="A438" s="40" t="s">
        <v>17</v>
      </c>
      <c r="B438" s="43" t="s">
        <v>18</v>
      </c>
      <c r="C438" s="40" t="s">
        <v>19</v>
      </c>
      <c r="D438" s="43" t="s">
        <v>20</v>
      </c>
      <c r="E438" s="43" t="s">
        <v>21</v>
      </c>
      <c r="F438" s="43" t="s">
        <v>112</v>
      </c>
      <c r="G438" s="43" t="s">
        <v>113</v>
      </c>
      <c r="H438" s="43" t="s">
        <v>143</v>
      </c>
      <c r="I438" s="43" t="s">
        <v>243</v>
      </c>
      <c r="J438" s="43">
        <v>0.16434792474285098</v>
      </c>
      <c r="K438" s="43">
        <v>0.15667444596950753</v>
      </c>
      <c r="L438" s="43">
        <v>5.0670471808810947E-3</v>
      </c>
      <c r="M438" s="43">
        <v>0.93941081364304568</v>
      </c>
      <c r="N438" s="43">
        <v>3.8666164052175864E-2</v>
      </c>
      <c r="O438" s="43">
        <v>7.0875444318165004E-2</v>
      </c>
      <c r="P438" s="43">
        <v>1.8792272169277865E-2</v>
      </c>
      <c r="Q438" s="41" t="s">
        <v>26</v>
      </c>
    </row>
    <row r="439" spans="1:17" x14ac:dyDescent="0.25">
      <c r="A439" s="40" t="s">
        <v>17</v>
      </c>
      <c r="B439" s="43" t="s">
        <v>18</v>
      </c>
      <c r="C439" s="40" t="s">
        <v>19</v>
      </c>
      <c r="D439" s="43" t="s">
        <v>20</v>
      </c>
      <c r="E439" s="43" t="s">
        <v>21</v>
      </c>
      <c r="F439" s="43" t="s">
        <v>112</v>
      </c>
      <c r="G439" s="43" t="s">
        <v>113</v>
      </c>
      <c r="H439" s="43" t="s">
        <v>24</v>
      </c>
      <c r="I439" s="43" t="s">
        <v>239</v>
      </c>
      <c r="J439" s="43">
        <v>0.10868334462161386</v>
      </c>
      <c r="K439" s="43">
        <v>7.3929173711549362E-2</v>
      </c>
      <c r="L439" s="43">
        <v>1.020619322694763E-2</v>
      </c>
      <c r="M439" s="43">
        <v>0.74429800260121426</v>
      </c>
      <c r="N439" s="43">
        <v>1.8199268992817101</v>
      </c>
      <c r="O439" s="43">
        <v>4.0767250751681181E-2</v>
      </c>
      <c r="P439" s="43">
        <v>3.6583337800067901E-2</v>
      </c>
      <c r="Q439" s="41" t="s">
        <v>26</v>
      </c>
    </row>
    <row r="440" spans="1:17" x14ac:dyDescent="0.25">
      <c r="A440" s="40" t="s">
        <v>17</v>
      </c>
      <c r="B440" s="40" t="s">
        <v>18</v>
      </c>
      <c r="C440" s="40" t="s">
        <v>19</v>
      </c>
      <c r="D440" s="40" t="s">
        <v>20</v>
      </c>
      <c r="E440" s="40" t="s">
        <v>21</v>
      </c>
      <c r="F440" s="40" t="s">
        <v>112</v>
      </c>
      <c r="G440" s="40" t="s">
        <v>113</v>
      </c>
      <c r="H440" s="40" t="s">
        <v>153</v>
      </c>
      <c r="I440" s="40" t="s">
        <v>158</v>
      </c>
      <c r="J440" s="40">
        <v>4.5483029912051047E-2</v>
      </c>
      <c r="K440" s="40">
        <v>4.2473755721272627E-2</v>
      </c>
      <c r="L440" s="40">
        <v>0</v>
      </c>
      <c r="M440" s="40">
        <v>0.72222580578682183</v>
      </c>
      <c r="N440" s="40">
        <v>1.7195852518733856E-2</v>
      </c>
      <c r="O440" s="40">
        <v>4.4795195811301688E-2</v>
      </c>
      <c r="P440" s="40">
        <v>0</v>
      </c>
      <c r="Q440" s="41" t="s">
        <v>26</v>
      </c>
    </row>
    <row r="441" spans="1:17" x14ac:dyDescent="0.25">
      <c r="A441" s="40" t="s">
        <v>17</v>
      </c>
      <c r="B441" s="43" t="s">
        <v>18</v>
      </c>
      <c r="C441" s="40" t="s">
        <v>19</v>
      </c>
      <c r="D441" s="43" t="s">
        <v>20</v>
      </c>
      <c r="E441" s="43" t="s">
        <v>21</v>
      </c>
      <c r="F441" s="43" t="s">
        <v>112</v>
      </c>
      <c r="G441" s="43" t="s">
        <v>113</v>
      </c>
      <c r="H441" s="40" t="s">
        <v>24</v>
      </c>
      <c r="I441" s="40" t="s">
        <v>238</v>
      </c>
      <c r="J441" s="43">
        <v>4.0491872888245524E-2</v>
      </c>
      <c r="K441" s="43">
        <v>4.0491872888245524E-2</v>
      </c>
      <c r="L441" s="43">
        <v>4.7385338065973033E-3</v>
      </c>
      <c r="M441" s="43">
        <v>0.34721326617818782</v>
      </c>
      <c r="N441" s="43">
        <v>0.57566815334558974</v>
      </c>
      <c r="O441" s="43">
        <v>3.4621069600459929E-2</v>
      </c>
      <c r="P441" s="43">
        <v>3.5028879984378726E-4</v>
      </c>
      <c r="Q441" s="41" t="s">
        <v>26</v>
      </c>
    </row>
    <row r="442" spans="1:17" x14ac:dyDescent="0.25">
      <c r="A442" s="40" t="s">
        <v>17</v>
      </c>
      <c r="B442" s="40" t="s">
        <v>18</v>
      </c>
      <c r="C442" s="40" t="s">
        <v>19</v>
      </c>
      <c r="D442" s="40" t="s">
        <v>20</v>
      </c>
      <c r="E442" s="40" t="s">
        <v>21</v>
      </c>
      <c r="F442" s="40" t="s">
        <v>112</v>
      </c>
      <c r="G442" s="40" t="s">
        <v>113</v>
      </c>
      <c r="H442" s="40" t="s">
        <v>24</v>
      </c>
      <c r="I442" s="40" t="s">
        <v>25</v>
      </c>
      <c r="J442" s="40">
        <v>0</v>
      </c>
      <c r="K442" s="40">
        <v>0</v>
      </c>
      <c r="L442" s="40">
        <v>0</v>
      </c>
      <c r="M442" s="40">
        <v>0</v>
      </c>
      <c r="N442" s="40">
        <v>0</v>
      </c>
      <c r="O442" s="40">
        <v>0</v>
      </c>
      <c r="P442" s="40">
        <v>0</v>
      </c>
      <c r="Q442" s="41" t="s">
        <v>26</v>
      </c>
    </row>
    <row r="443" spans="1:17" x14ac:dyDescent="0.25">
      <c r="A443" s="40" t="s">
        <v>17</v>
      </c>
      <c r="B443" s="40" t="s">
        <v>18</v>
      </c>
      <c r="C443" s="40" t="s">
        <v>19</v>
      </c>
      <c r="D443" s="40" t="s">
        <v>20</v>
      </c>
      <c r="E443" s="40" t="s">
        <v>21</v>
      </c>
      <c r="F443" s="40" t="s">
        <v>112</v>
      </c>
      <c r="G443" s="40" t="s">
        <v>113</v>
      </c>
      <c r="H443" s="40" t="s">
        <v>139</v>
      </c>
      <c r="I443" s="40" t="s">
        <v>140</v>
      </c>
      <c r="J443" s="40">
        <v>0</v>
      </c>
      <c r="K443" s="40">
        <v>0</v>
      </c>
      <c r="L443" s="40"/>
      <c r="M443" s="40"/>
      <c r="N443" s="40"/>
      <c r="O443" s="40"/>
      <c r="P443" s="40"/>
      <c r="Q443" s="41" t="s">
        <v>26</v>
      </c>
    </row>
    <row r="444" spans="1:17" x14ac:dyDescent="0.25">
      <c r="A444" s="40" t="s">
        <v>17</v>
      </c>
      <c r="B444" s="40" t="s">
        <v>18</v>
      </c>
      <c r="C444" s="40" t="s">
        <v>19</v>
      </c>
      <c r="D444" s="40" t="s">
        <v>20</v>
      </c>
      <c r="E444" s="40" t="s">
        <v>21</v>
      </c>
      <c r="F444" s="40" t="s">
        <v>112</v>
      </c>
      <c r="G444" s="40" t="s">
        <v>113</v>
      </c>
      <c r="H444" s="40" t="s">
        <v>149</v>
      </c>
      <c r="I444" s="40" t="s">
        <v>152</v>
      </c>
      <c r="J444" s="40">
        <v>0</v>
      </c>
      <c r="K444" s="40">
        <v>0</v>
      </c>
      <c r="L444" s="40">
        <v>0</v>
      </c>
      <c r="M444" s="40">
        <v>19.173565646540645</v>
      </c>
      <c r="N444" s="40"/>
      <c r="O444" s="40">
        <v>1016.6670638269527</v>
      </c>
      <c r="P444" s="40"/>
      <c r="Q444" s="41" t="s">
        <v>26</v>
      </c>
    </row>
    <row r="445" spans="1:17" x14ac:dyDescent="0.25">
      <c r="A445" s="40" t="s">
        <v>17</v>
      </c>
      <c r="B445" s="40" t="s">
        <v>18</v>
      </c>
      <c r="C445" s="40" t="s">
        <v>19</v>
      </c>
      <c r="D445" s="40" t="s">
        <v>20</v>
      </c>
      <c r="E445" s="40" t="s">
        <v>21</v>
      </c>
      <c r="F445" s="40" t="s">
        <v>112</v>
      </c>
      <c r="G445" s="40" t="s">
        <v>113</v>
      </c>
      <c r="H445" s="40" t="s">
        <v>153</v>
      </c>
      <c r="I445" s="40" t="s">
        <v>159</v>
      </c>
      <c r="J445" s="40">
        <v>0</v>
      </c>
      <c r="K445" s="40">
        <v>0</v>
      </c>
      <c r="L445" s="40">
        <v>0</v>
      </c>
      <c r="M445" s="40">
        <v>0</v>
      </c>
      <c r="N445" s="40">
        <v>0</v>
      </c>
      <c r="O445" s="40">
        <v>0</v>
      </c>
      <c r="P445" s="40">
        <v>0</v>
      </c>
      <c r="Q445" s="41" t="s">
        <v>26</v>
      </c>
    </row>
    <row r="446" spans="1:17" x14ac:dyDescent="0.25">
      <c r="A446" s="40" t="s">
        <v>17</v>
      </c>
      <c r="B446" s="40" t="s">
        <v>18</v>
      </c>
      <c r="C446" s="40" t="s">
        <v>19</v>
      </c>
      <c r="D446" s="40" t="s">
        <v>20</v>
      </c>
      <c r="E446" s="40" t="s">
        <v>21</v>
      </c>
      <c r="F446" s="40" t="s">
        <v>112</v>
      </c>
      <c r="G446" s="40" t="s">
        <v>113</v>
      </c>
      <c r="H446" s="40" t="s">
        <v>127</v>
      </c>
      <c r="I446" s="40" t="s">
        <v>128</v>
      </c>
      <c r="J446" s="40"/>
      <c r="K446" s="40"/>
      <c r="L446" s="40"/>
      <c r="M446" s="40"/>
      <c r="N446" s="40"/>
      <c r="O446" s="40">
        <v>2.4972767741494351</v>
      </c>
      <c r="P446" s="40"/>
      <c r="Q446" s="41" t="s">
        <v>26</v>
      </c>
    </row>
    <row r="447" spans="1:17" x14ac:dyDescent="0.25">
      <c r="A447" s="40" t="s">
        <v>17</v>
      </c>
      <c r="B447" s="40" t="s">
        <v>18</v>
      </c>
      <c r="C447" s="40" t="s">
        <v>19</v>
      </c>
      <c r="D447" s="40" t="s">
        <v>20</v>
      </c>
      <c r="E447" s="40" t="s">
        <v>21</v>
      </c>
      <c r="F447" s="40" t="s">
        <v>112</v>
      </c>
      <c r="G447" s="40" t="s">
        <v>113</v>
      </c>
      <c r="H447" s="40" t="s">
        <v>127</v>
      </c>
      <c r="I447" s="40" t="s">
        <v>129</v>
      </c>
      <c r="J447" s="40"/>
      <c r="K447" s="40"/>
      <c r="L447" s="40"/>
      <c r="M447" s="40"/>
      <c r="N447" s="40"/>
      <c r="O447" s="40">
        <v>5.1839653017911096E-2</v>
      </c>
      <c r="P447" s="40"/>
      <c r="Q447" s="41" t="s">
        <v>26</v>
      </c>
    </row>
    <row r="448" spans="1:17" x14ac:dyDescent="0.25">
      <c r="A448" s="40" t="s">
        <v>17</v>
      </c>
      <c r="B448" s="40" t="s">
        <v>18</v>
      </c>
      <c r="C448" s="40" t="s">
        <v>19</v>
      </c>
      <c r="D448" s="40" t="s">
        <v>20</v>
      </c>
      <c r="E448" s="40" t="s">
        <v>21</v>
      </c>
      <c r="F448" s="40" t="s">
        <v>112</v>
      </c>
      <c r="G448" s="40" t="s">
        <v>113</v>
      </c>
      <c r="H448" s="40" t="s">
        <v>127</v>
      </c>
      <c r="I448" s="40" t="s">
        <v>130</v>
      </c>
      <c r="J448" s="40"/>
      <c r="K448" s="40"/>
      <c r="L448" s="40"/>
      <c r="M448" s="40"/>
      <c r="N448" s="40"/>
      <c r="O448" s="40">
        <v>59.403782854787075</v>
      </c>
      <c r="P448" s="40"/>
      <c r="Q448" s="41" t="s">
        <v>26</v>
      </c>
    </row>
    <row r="449" spans="1:17" x14ac:dyDescent="0.25">
      <c r="A449" s="40" t="s">
        <v>17</v>
      </c>
      <c r="B449" s="40" t="s">
        <v>18</v>
      </c>
      <c r="C449" s="40" t="s">
        <v>19</v>
      </c>
      <c r="D449" s="40" t="s">
        <v>20</v>
      </c>
      <c r="E449" s="40" t="s">
        <v>21</v>
      </c>
      <c r="F449" s="40" t="s">
        <v>112</v>
      </c>
      <c r="G449" s="40" t="s">
        <v>113</v>
      </c>
      <c r="H449" s="40" t="s">
        <v>127</v>
      </c>
      <c r="I449" s="40" t="s">
        <v>131</v>
      </c>
      <c r="J449" s="40"/>
      <c r="K449" s="40"/>
      <c r="L449" s="40"/>
      <c r="M449" s="40"/>
      <c r="N449" s="40"/>
      <c r="O449" s="40">
        <v>5.6369771206595267</v>
      </c>
      <c r="P449" s="40"/>
      <c r="Q449" s="41" t="s">
        <v>26</v>
      </c>
    </row>
    <row r="450" spans="1:17" x14ac:dyDescent="0.25">
      <c r="A450" s="40" t="s">
        <v>17</v>
      </c>
      <c r="B450" s="40" t="s">
        <v>18</v>
      </c>
      <c r="C450" s="40" t="s">
        <v>19</v>
      </c>
      <c r="D450" s="40" t="s">
        <v>20</v>
      </c>
      <c r="E450" s="40" t="s">
        <v>21</v>
      </c>
      <c r="F450" s="40" t="s">
        <v>112</v>
      </c>
      <c r="G450" s="40" t="s">
        <v>113</v>
      </c>
      <c r="H450" s="40" t="s">
        <v>127</v>
      </c>
      <c r="I450" s="40" t="s">
        <v>132</v>
      </c>
      <c r="J450" s="40"/>
      <c r="K450" s="40"/>
      <c r="L450" s="40"/>
      <c r="M450" s="40"/>
      <c r="N450" s="40"/>
      <c r="O450" s="40">
        <v>51.442806656338</v>
      </c>
      <c r="P450" s="40"/>
      <c r="Q450" s="41" t="s">
        <v>26</v>
      </c>
    </row>
    <row r="451" spans="1:17" x14ac:dyDescent="0.25">
      <c r="A451" s="40" t="s">
        <v>17</v>
      </c>
      <c r="B451" s="40" t="s">
        <v>18</v>
      </c>
      <c r="C451" s="40" t="s">
        <v>19</v>
      </c>
      <c r="D451" s="40" t="s">
        <v>20</v>
      </c>
      <c r="E451" s="40" t="s">
        <v>21</v>
      </c>
      <c r="F451" s="40" t="s">
        <v>112</v>
      </c>
      <c r="G451" s="40" t="s">
        <v>113</v>
      </c>
      <c r="H451" s="40" t="s">
        <v>127</v>
      </c>
      <c r="I451" s="40" t="s">
        <v>133</v>
      </c>
      <c r="J451" s="40"/>
      <c r="K451" s="40"/>
      <c r="L451" s="40"/>
      <c r="M451" s="40"/>
      <c r="N451" s="40"/>
      <c r="O451" s="40">
        <v>27.917312485211731</v>
      </c>
      <c r="P451" s="40"/>
      <c r="Q451" s="41" t="s">
        <v>26</v>
      </c>
    </row>
    <row r="452" spans="1:17" x14ac:dyDescent="0.25">
      <c r="A452" s="40" t="s">
        <v>17</v>
      </c>
      <c r="B452" s="40" t="s">
        <v>18</v>
      </c>
      <c r="C452" s="40" t="s">
        <v>19</v>
      </c>
      <c r="D452" s="40" t="s">
        <v>20</v>
      </c>
      <c r="E452" s="40" t="s">
        <v>21</v>
      </c>
      <c r="F452" s="40" t="s">
        <v>112</v>
      </c>
      <c r="G452" s="40" t="s">
        <v>113</v>
      </c>
      <c r="H452" s="40" t="s">
        <v>127</v>
      </c>
      <c r="I452" s="40" t="s">
        <v>134</v>
      </c>
      <c r="J452" s="40"/>
      <c r="K452" s="40"/>
      <c r="L452" s="40"/>
      <c r="M452" s="40"/>
      <c r="N452" s="40"/>
      <c r="O452" s="40">
        <v>123.02880000000002</v>
      </c>
      <c r="P452" s="40"/>
      <c r="Q452" s="41" t="s">
        <v>26</v>
      </c>
    </row>
    <row r="453" spans="1:17" x14ac:dyDescent="0.25">
      <c r="A453" s="40" t="s">
        <v>17</v>
      </c>
      <c r="B453" s="40" t="s">
        <v>18</v>
      </c>
      <c r="C453" s="40" t="s">
        <v>19</v>
      </c>
      <c r="D453" s="40" t="s">
        <v>20</v>
      </c>
      <c r="E453" s="40" t="s">
        <v>21</v>
      </c>
      <c r="F453" s="40" t="s">
        <v>112</v>
      </c>
      <c r="G453" s="40" t="s">
        <v>113</v>
      </c>
      <c r="H453" s="40" t="s">
        <v>135</v>
      </c>
      <c r="I453" s="40" t="s">
        <v>136</v>
      </c>
      <c r="J453" s="40"/>
      <c r="K453" s="40"/>
      <c r="L453" s="40"/>
      <c r="M453" s="40"/>
      <c r="N453" s="40"/>
      <c r="O453" s="40">
        <v>180.63446928103306</v>
      </c>
      <c r="P453" s="40"/>
      <c r="Q453" s="41" t="s">
        <v>137</v>
      </c>
    </row>
    <row r="454" spans="1:17" x14ac:dyDescent="0.25">
      <c r="A454" s="40" t="s">
        <v>17</v>
      </c>
      <c r="B454" s="40" t="s">
        <v>18</v>
      </c>
      <c r="C454" s="40" t="s">
        <v>19</v>
      </c>
      <c r="D454" s="40" t="s">
        <v>20</v>
      </c>
      <c r="E454" s="40" t="s">
        <v>21</v>
      </c>
      <c r="F454" s="40" t="s">
        <v>112</v>
      </c>
      <c r="G454" s="40" t="s">
        <v>113</v>
      </c>
      <c r="H454" s="40" t="s">
        <v>135</v>
      </c>
      <c r="I454" s="40" t="s">
        <v>138</v>
      </c>
      <c r="J454" s="40"/>
      <c r="K454" s="40"/>
      <c r="L454" s="40"/>
      <c r="M454" s="40"/>
      <c r="N454" s="40"/>
      <c r="O454" s="40">
        <v>0</v>
      </c>
      <c r="P454" s="40"/>
      <c r="Q454" s="41" t="s">
        <v>137</v>
      </c>
    </row>
    <row r="455" spans="1:17" x14ac:dyDescent="0.25">
      <c r="A455" s="40" t="s">
        <v>17</v>
      </c>
      <c r="B455" s="40" t="s">
        <v>18</v>
      </c>
      <c r="C455" s="40" t="s">
        <v>19</v>
      </c>
      <c r="D455" s="40" t="s">
        <v>20</v>
      </c>
      <c r="E455" s="40" t="s">
        <v>21</v>
      </c>
      <c r="F455" s="40" t="s">
        <v>112</v>
      </c>
      <c r="G455" s="40" t="s">
        <v>113</v>
      </c>
      <c r="H455" s="40" t="s">
        <v>139</v>
      </c>
      <c r="I455" s="40" t="s">
        <v>142</v>
      </c>
      <c r="J455" s="40"/>
      <c r="K455" s="40"/>
      <c r="L455" s="40"/>
      <c r="M455" s="40"/>
      <c r="N455" s="40"/>
      <c r="O455" s="40">
        <v>0.60554635225297826</v>
      </c>
      <c r="P455" s="40"/>
      <c r="Q455" s="41" t="s">
        <v>26</v>
      </c>
    </row>
    <row r="456" spans="1:17" x14ac:dyDescent="0.25">
      <c r="A456" s="40" t="s">
        <v>17</v>
      </c>
      <c r="B456" s="40" t="s">
        <v>18</v>
      </c>
      <c r="C456" s="40" t="s">
        <v>19</v>
      </c>
      <c r="D456" s="40" t="s">
        <v>20</v>
      </c>
      <c r="E456" s="40" t="s">
        <v>21</v>
      </c>
      <c r="F456" s="40" t="s">
        <v>112</v>
      </c>
      <c r="G456" s="40" t="s">
        <v>113</v>
      </c>
      <c r="H456" s="40" t="s">
        <v>143</v>
      </c>
      <c r="I456" s="40" t="s">
        <v>144</v>
      </c>
      <c r="J456" s="40"/>
      <c r="K456" s="40"/>
      <c r="L456" s="40"/>
      <c r="M456" s="40"/>
      <c r="N456" s="40"/>
      <c r="O456" s="40"/>
      <c r="P456" s="40">
        <v>0.14957663992857143</v>
      </c>
      <c r="Q456" s="41" t="s">
        <v>26</v>
      </c>
    </row>
    <row r="457" spans="1:17" x14ac:dyDescent="0.25">
      <c r="A457" s="40" t="s">
        <v>17</v>
      </c>
      <c r="B457" s="40" t="s">
        <v>18</v>
      </c>
      <c r="C457" s="40" t="s">
        <v>19</v>
      </c>
      <c r="D457" s="40" t="s">
        <v>20</v>
      </c>
      <c r="E457" s="40" t="s">
        <v>21</v>
      </c>
      <c r="F457" s="40" t="s">
        <v>112</v>
      </c>
      <c r="G457" s="40" t="s">
        <v>113</v>
      </c>
      <c r="H457" s="40" t="s">
        <v>143</v>
      </c>
      <c r="I457" s="40" t="s">
        <v>145</v>
      </c>
      <c r="J457" s="40"/>
      <c r="K457" s="40"/>
      <c r="L457" s="40"/>
      <c r="M457" s="40"/>
      <c r="N457" s="40"/>
      <c r="O457" s="40">
        <v>7.492957712654705E-3</v>
      </c>
      <c r="P457" s="40"/>
      <c r="Q457" s="41" t="s">
        <v>26</v>
      </c>
    </row>
    <row r="458" spans="1:17" x14ac:dyDescent="0.25">
      <c r="A458" s="40" t="s">
        <v>17</v>
      </c>
      <c r="B458" s="40" t="s">
        <v>18</v>
      </c>
      <c r="C458" s="40" t="s">
        <v>19</v>
      </c>
      <c r="D458" s="40" t="s">
        <v>20</v>
      </c>
      <c r="E458" s="40" t="s">
        <v>21</v>
      </c>
      <c r="F458" s="40" t="s">
        <v>112</v>
      </c>
      <c r="G458" s="40" t="s">
        <v>113</v>
      </c>
      <c r="H458" s="40" t="s">
        <v>143</v>
      </c>
      <c r="I458" s="40" t="s">
        <v>146</v>
      </c>
      <c r="J458" s="40"/>
      <c r="K458" s="40"/>
      <c r="L458" s="40"/>
      <c r="M458" s="40"/>
      <c r="N458" s="40"/>
      <c r="O458" s="40"/>
      <c r="P458" s="40">
        <v>1562.1987799999997</v>
      </c>
      <c r="Q458" s="41" t="s">
        <v>26</v>
      </c>
    </row>
    <row r="459" spans="1:17" x14ac:dyDescent="0.25">
      <c r="A459" s="40" t="s">
        <v>17</v>
      </c>
      <c r="B459" s="40" t="s">
        <v>18</v>
      </c>
      <c r="C459" s="40" t="s">
        <v>19</v>
      </c>
      <c r="D459" s="40" t="s">
        <v>20</v>
      </c>
      <c r="E459" s="40" t="s">
        <v>21</v>
      </c>
      <c r="F459" s="40" t="s">
        <v>112</v>
      </c>
      <c r="G459" s="40" t="s">
        <v>113</v>
      </c>
      <c r="H459" s="40" t="s">
        <v>149</v>
      </c>
      <c r="I459" s="40" t="s">
        <v>150</v>
      </c>
      <c r="J459" s="40"/>
      <c r="K459" s="40"/>
      <c r="L459" s="40"/>
      <c r="M459" s="40"/>
      <c r="N459" s="40"/>
      <c r="O459" s="40">
        <v>0</v>
      </c>
      <c r="P459" s="40"/>
      <c r="Q459" s="41" t="s">
        <v>26</v>
      </c>
    </row>
    <row r="460" spans="1:17" x14ac:dyDescent="0.25">
      <c r="A460" s="40" t="s">
        <v>17</v>
      </c>
      <c r="B460" s="40" t="s">
        <v>18</v>
      </c>
      <c r="C460" s="40" t="s">
        <v>19</v>
      </c>
      <c r="D460" s="40" t="s">
        <v>20</v>
      </c>
      <c r="E460" s="40" t="s">
        <v>21</v>
      </c>
      <c r="F460" s="40" t="s">
        <v>112</v>
      </c>
      <c r="G460" s="40" t="s">
        <v>113</v>
      </c>
      <c r="H460" s="40" t="s">
        <v>153</v>
      </c>
      <c r="I460" s="40" t="s">
        <v>155</v>
      </c>
      <c r="J460" s="40"/>
      <c r="K460" s="40"/>
      <c r="L460" s="40"/>
      <c r="M460" s="40"/>
      <c r="N460" s="40"/>
      <c r="O460" s="40"/>
      <c r="P460" s="40">
        <v>84.61430870321783</v>
      </c>
      <c r="Q460" s="41" t="s">
        <v>26</v>
      </c>
    </row>
    <row r="461" spans="1:17" x14ac:dyDescent="0.25">
      <c r="A461" s="40" t="s">
        <v>17</v>
      </c>
      <c r="B461" s="40" t="s">
        <v>18</v>
      </c>
      <c r="C461" s="40" t="s">
        <v>19</v>
      </c>
      <c r="D461" s="40" t="s">
        <v>20</v>
      </c>
      <c r="E461" s="40" t="s">
        <v>21</v>
      </c>
      <c r="F461" s="40" t="s">
        <v>112</v>
      </c>
      <c r="G461" s="40" t="s">
        <v>113</v>
      </c>
      <c r="H461" s="40" t="s">
        <v>153</v>
      </c>
      <c r="I461" s="40" t="s">
        <v>157</v>
      </c>
      <c r="J461" s="40"/>
      <c r="K461" s="40"/>
      <c r="L461" s="40"/>
      <c r="M461" s="40"/>
      <c r="N461" s="40"/>
      <c r="O461" s="40">
        <v>1.64E-3</v>
      </c>
      <c r="P461" s="40"/>
      <c r="Q461" s="41" t="s">
        <v>26</v>
      </c>
    </row>
    <row r="462" spans="1:17" x14ac:dyDescent="0.25">
      <c r="A462" s="40" t="s">
        <v>17</v>
      </c>
      <c r="B462" s="43" t="s">
        <v>18</v>
      </c>
      <c r="C462" s="40" t="s">
        <v>19</v>
      </c>
      <c r="D462" s="43" t="s">
        <v>20</v>
      </c>
      <c r="E462" s="43" t="s">
        <v>21</v>
      </c>
      <c r="F462" s="43" t="s">
        <v>112</v>
      </c>
      <c r="G462" s="43" t="s">
        <v>113</v>
      </c>
      <c r="H462" s="43" t="s">
        <v>240</v>
      </c>
      <c r="I462" s="43" t="s">
        <v>241</v>
      </c>
      <c r="J462" s="43"/>
      <c r="K462" s="43"/>
      <c r="L462" s="43"/>
      <c r="M462" s="43"/>
      <c r="N462" s="43"/>
      <c r="O462" s="43">
        <v>4.9072855981784445</v>
      </c>
      <c r="P462" s="43"/>
      <c r="Q462" s="41" t="s">
        <v>26</v>
      </c>
    </row>
    <row r="463" spans="1:17" x14ac:dyDescent="0.25">
      <c r="A463" s="40" t="s">
        <v>17</v>
      </c>
      <c r="B463" s="43" t="s">
        <v>18</v>
      </c>
      <c r="C463" s="40" t="s">
        <v>19</v>
      </c>
      <c r="D463" s="43" t="s">
        <v>20</v>
      </c>
      <c r="E463" s="43" t="s">
        <v>21</v>
      </c>
      <c r="F463" s="43" t="s">
        <v>112</v>
      </c>
      <c r="G463" s="43" t="s">
        <v>113</v>
      </c>
      <c r="H463" s="43" t="s">
        <v>240</v>
      </c>
      <c r="I463" s="43" t="s">
        <v>242</v>
      </c>
      <c r="J463" s="43"/>
      <c r="K463" s="43"/>
      <c r="L463" s="43"/>
      <c r="M463" s="43"/>
      <c r="N463" s="43"/>
      <c r="O463" s="43">
        <v>4.497575383551939</v>
      </c>
      <c r="P463" s="43"/>
      <c r="Q463" s="41" t="s">
        <v>26</v>
      </c>
    </row>
    <row r="464" spans="1:17" x14ac:dyDescent="0.25">
      <c r="A464" s="40" t="s">
        <v>17</v>
      </c>
      <c r="B464" s="40" t="s">
        <v>18</v>
      </c>
      <c r="C464" s="40" t="s">
        <v>19</v>
      </c>
      <c r="D464" s="40" t="s">
        <v>20</v>
      </c>
      <c r="E464" s="40" t="s">
        <v>21</v>
      </c>
      <c r="F464" s="40" t="s">
        <v>114</v>
      </c>
      <c r="G464" s="40" t="s">
        <v>115</v>
      </c>
      <c r="H464" s="40" t="s">
        <v>139</v>
      </c>
      <c r="I464" s="40" t="s">
        <v>140</v>
      </c>
      <c r="J464" s="40">
        <v>43.39326744539494</v>
      </c>
      <c r="K464" s="40">
        <v>4.3393267445394939</v>
      </c>
      <c r="L464" s="40"/>
      <c r="M464" s="40"/>
      <c r="N464" s="40"/>
      <c r="O464" s="40"/>
      <c r="P464" s="40"/>
      <c r="Q464" s="41" t="s">
        <v>26</v>
      </c>
    </row>
    <row r="465" spans="1:17" x14ac:dyDescent="0.25">
      <c r="A465" s="40" t="s">
        <v>17</v>
      </c>
      <c r="B465" s="40" t="s">
        <v>18</v>
      </c>
      <c r="C465" s="40" t="s">
        <v>19</v>
      </c>
      <c r="D465" s="40" t="s">
        <v>20</v>
      </c>
      <c r="E465" s="40" t="s">
        <v>21</v>
      </c>
      <c r="F465" s="40" t="s">
        <v>114</v>
      </c>
      <c r="G465" s="40" t="s">
        <v>115</v>
      </c>
      <c r="H465" s="40" t="s">
        <v>139</v>
      </c>
      <c r="I465" s="40" t="s">
        <v>141</v>
      </c>
      <c r="J465" s="40">
        <v>37.843293150000001</v>
      </c>
      <c r="K465" s="40">
        <v>30.202732263015012</v>
      </c>
      <c r="L465" s="40">
        <v>0</v>
      </c>
      <c r="M465" s="40">
        <v>75.341050289999998</v>
      </c>
      <c r="N465" s="40">
        <v>1.3868774100000003</v>
      </c>
      <c r="O465" s="40">
        <v>4.8611709899999989</v>
      </c>
      <c r="P465" s="40">
        <v>0</v>
      </c>
      <c r="Q465" s="41" t="s">
        <v>26</v>
      </c>
    </row>
    <row r="466" spans="1:17" x14ac:dyDescent="0.25">
      <c r="A466" s="40" t="s">
        <v>17</v>
      </c>
      <c r="B466" s="40" t="s">
        <v>18</v>
      </c>
      <c r="C466" s="40" t="s">
        <v>19</v>
      </c>
      <c r="D466" s="40" t="s">
        <v>20</v>
      </c>
      <c r="E466" s="40" t="s">
        <v>21</v>
      </c>
      <c r="F466" s="40" t="s">
        <v>114</v>
      </c>
      <c r="G466" s="40" t="s">
        <v>115</v>
      </c>
      <c r="H466" s="40" t="s">
        <v>24</v>
      </c>
      <c r="I466" s="40" t="s">
        <v>126</v>
      </c>
      <c r="J466" s="40">
        <v>10.311745789492539</v>
      </c>
      <c r="K466" s="40">
        <v>10.062544147073195</v>
      </c>
      <c r="L466" s="40">
        <v>0.59000762846759891</v>
      </c>
      <c r="M466" s="40">
        <v>88.638440315030579</v>
      </c>
      <c r="N466" s="40">
        <v>52.232190666962957</v>
      </c>
      <c r="O466" s="40">
        <v>27.388349978292162</v>
      </c>
      <c r="P466" s="40">
        <v>0.49005319198584102</v>
      </c>
      <c r="Q466" s="41" t="s">
        <v>26</v>
      </c>
    </row>
    <row r="467" spans="1:17" x14ac:dyDescent="0.25">
      <c r="A467" s="40" t="s">
        <v>17</v>
      </c>
      <c r="B467" s="43" t="s">
        <v>18</v>
      </c>
      <c r="C467" s="40" t="s">
        <v>19</v>
      </c>
      <c r="D467" s="43" t="s">
        <v>20</v>
      </c>
      <c r="E467" s="43" t="s">
        <v>21</v>
      </c>
      <c r="F467" s="43" t="s">
        <v>114</v>
      </c>
      <c r="G467" s="43" t="s">
        <v>115</v>
      </c>
      <c r="H467" s="43" t="s">
        <v>24</v>
      </c>
      <c r="I467" s="43" t="s">
        <v>239</v>
      </c>
      <c r="J467" s="43">
        <v>1.2834156332641311</v>
      </c>
      <c r="K467" s="43">
        <v>0.87301193780921715</v>
      </c>
      <c r="L467" s="43">
        <v>0.12052249578059197</v>
      </c>
      <c r="M467" s="43">
        <v>8.789237170344645</v>
      </c>
      <c r="N467" s="43">
        <v>21.491081656237121</v>
      </c>
      <c r="O467" s="43">
        <v>0.48141071773293026</v>
      </c>
      <c r="P467" s="43">
        <v>0.43200388995254113</v>
      </c>
      <c r="Q467" s="41" t="s">
        <v>26</v>
      </c>
    </row>
    <row r="468" spans="1:17" x14ac:dyDescent="0.25">
      <c r="A468" s="40" t="s">
        <v>17</v>
      </c>
      <c r="B468" s="43" t="s">
        <v>18</v>
      </c>
      <c r="C468" s="40" t="s">
        <v>19</v>
      </c>
      <c r="D468" s="43" t="s">
        <v>20</v>
      </c>
      <c r="E468" s="43" t="s">
        <v>21</v>
      </c>
      <c r="F468" s="43" t="s">
        <v>114</v>
      </c>
      <c r="G468" s="43" t="s">
        <v>115</v>
      </c>
      <c r="H468" s="40" t="s">
        <v>24</v>
      </c>
      <c r="I468" s="40" t="s">
        <v>238</v>
      </c>
      <c r="J468" s="43">
        <v>1.1669771515754972</v>
      </c>
      <c r="K468" s="43">
        <v>1.1669771515754972</v>
      </c>
      <c r="L468" s="43">
        <v>0.13656470520711242</v>
      </c>
      <c r="M468" s="43">
        <v>10.006698121179522</v>
      </c>
      <c r="N468" s="43">
        <v>16.590775726725614</v>
      </c>
      <c r="O468" s="43">
        <v>0.99778040147335734</v>
      </c>
      <c r="P468" s="43">
        <v>1.009533510585448E-2</v>
      </c>
      <c r="Q468" s="41" t="s">
        <v>26</v>
      </c>
    </row>
    <row r="469" spans="1:17" x14ac:dyDescent="0.25">
      <c r="A469" s="40" t="s">
        <v>17</v>
      </c>
      <c r="B469" s="40" t="s">
        <v>18</v>
      </c>
      <c r="C469" s="40" t="s">
        <v>19</v>
      </c>
      <c r="D469" s="40" t="s">
        <v>20</v>
      </c>
      <c r="E469" s="40" t="s">
        <v>21</v>
      </c>
      <c r="F469" s="40" t="s">
        <v>114</v>
      </c>
      <c r="G469" s="40" t="s">
        <v>115</v>
      </c>
      <c r="H469" s="40" t="s">
        <v>153</v>
      </c>
      <c r="I469" s="40" t="s">
        <v>158</v>
      </c>
      <c r="J469" s="40">
        <v>0.38775490499748605</v>
      </c>
      <c r="K469" s="40">
        <v>0.36210004360823844</v>
      </c>
      <c r="L469" s="40">
        <v>0</v>
      </c>
      <c r="M469" s="40">
        <v>6.1571667334194382</v>
      </c>
      <c r="N469" s="40">
        <v>0.14659920793855805</v>
      </c>
      <c r="O469" s="40">
        <v>0.38189093667994373</v>
      </c>
      <c r="P469" s="40">
        <v>0</v>
      </c>
      <c r="Q469" s="41" t="s">
        <v>26</v>
      </c>
    </row>
    <row r="470" spans="1:17" x14ac:dyDescent="0.25">
      <c r="A470" s="40" t="s">
        <v>17</v>
      </c>
      <c r="B470" s="40" t="s">
        <v>18</v>
      </c>
      <c r="C470" s="40" t="s">
        <v>19</v>
      </c>
      <c r="D470" s="40" t="s">
        <v>20</v>
      </c>
      <c r="E470" s="40" t="s">
        <v>21</v>
      </c>
      <c r="F470" s="40" t="s">
        <v>114</v>
      </c>
      <c r="G470" s="40" t="s">
        <v>115</v>
      </c>
      <c r="H470" s="40" t="s">
        <v>153</v>
      </c>
      <c r="I470" s="40" t="s">
        <v>154</v>
      </c>
      <c r="J470" s="40">
        <v>1.4640945794284262E-3</v>
      </c>
      <c r="K470" s="40">
        <v>2.2701504334884107E-4</v>
      </c>
      <c r="L470" s="40"/>
      <c r="M470" s="40"/>
      <c r="N470" s="40"/>
      <c r="O470" s="40"/>
      <c r="P470" s="40"/>
      <c r="Q470" s="41" t="s">
        <v>26</v>
      </c>
    </row>
    <row r="471" spans="1:17" x14ac:dyDescent="0.25">
      <c r="A471" s="40" t="s">
        <v>17</v>
      </c>
      <c r="B471" s="40" t="s">
        <v>18</v>
      </c>
      <c r="C471" s="40" t="s">
        <v>19</v>
      </c>
      <c r="D471" s="40" t="s">
        <v>20</v>
      </c>
      <c r="E471" s="40" t="s">
        <v>21</v>
      </c>
      <c r="F471" s="40" t="s">
        <v>114</v>
      </c>
      <c r="G471" s="40" t="s">
        <v>115</v>
      </c>
      <c r="H471" s="40" t="s">
        <v>24</v>
      </c>
      <c r="I471" s="40" t="s">
        <v>25</v>
      </c>
      <c r="J471" s="40">
        <v>0</v>
      </c>
      <c r="K471" s="40">
        <v>0</v>
      </c>
      <c r="L471" s="40">
        <v>0</v>
      </c>
      <c r="M471" s="40">
        <v>0</v>
      </c>
      <c r="N471" s="40">
        <v>0</v>
      </c>
      <c r="O471" s="40">
        <v>0</v>
      </c>
      <c r="P471" s="40">
        <v>0</v>
      </c>
      <c r="Q471" s="41" t="s">
        <v>26</v>
      </c>
    </row>
    <row r="472" spans="1:17" x14ac:dyDescent="0.25">
      <c r="A472" s="40" t="s">
        <v>17</v>
      </c>
      <c r="B472" s="40" t="s">
        <v>18</v>
      </c>
      <c r="C472" s="40" t="s">
        <v>19</v>
      </c>
      <c r="D472" s="40" t="s">
        <v>20</v>
      </c>
      <c r="E472" s="40" t="s">
        <v>21</v>
      </c>
      <c r="F472" s="40" t="s">
        <v>114</v>
      </c>
      <c r="G472" s="40" t="s">
        <v>115</v>
      </c>
      <c r="H472" s="40" t="s">
        <v>143</v>
      </c>
      <c r="I472" s="40" t="s">
        <v>147</v>
      </c>
      <c r="J472" s="40">
        <v>0</v>
      </c>
      <c r="K472" s="40">
        <v>0</v>
      </c>
      <c r="L472" s="40"/>
      <c r="M472" s="40"/>
      <c r="N472" s="40"/>
      <c r="O472" s="40"/>
      <c r="P472" s="40"/>
      <c r="Q472" s="41" t="s">
        <v>26</v>
      </c>
    </row>
    <row r="473" spans="1:17" x14ac:dyDescent="0.25">
      <c r="A473" s="40" t="s">
        <v>17</v>
      </c>
      <c r="B473" s="40" t="s">
        <v>18</v>
      </c>
      <c r="C473" s="40" t="s">
        <v>19</v>
      </c>
      <c r="D473" s="40" t="s">
        <v>20</v>
      </c>
      <c r="E473" s="40" t="s">
        <v>21</v>
      </c>
      <c r="F473" s="40" t="s">
        <v>114</v>
      </c>
      <c r="G473" s="40" t="s">
        <v>115</v>
      </c>
      <c r="H473" s="40" t="s">
        <v>143</v>
      </c>
      <c r="I473" s="40" t="s">
        <v>148</v>
      </c>
      <c r="J473" s="40">
        <v>0</v>
      </c>
      <c r="K473" s="40">
        <v>0</v>
      </c>
      <c r="L473" s="40"/>
      <c r="M473" s="40"/>
      <c r="N473" s="40"/>
      <c r="O473" s="40"/>
      <c r="P473" s="40"/>
      <c r="Q473" s="41" t="s">
        <v>26</v>
      </c>
    </row>
    <row r="474" spans="1:17" x14ac:dyDescent="0.25">
      <c r="A474" s="40" t="s">
        <v>17</v>
      </c>
      <c r="B474" s="40" t="s">
        <v>18</v>
      </c>
      <c r="C474" s="40" t="s">
        <v>19</v>
      </c>
      <c r="D474" s="40" t="s">
        <v>20</v>
      </c>
      <c r="E474" s="40" t="s">
        <v>21</v>
      </c>
      <c r="F474" s="40" t="s">
        <v>114</v>
      </c>
      <c r="G474" s="40" t="s">
        <v>115</v>
      </c>
      <c r="H474" s="40" t="s">
        <v>149</v>
      </c>
      <c r="I474" s="40" t="s">
        <v>151</v>
      </c>
      <c r="J474" s="40">
        <v>0</v>
      </c>
      <c r="K474" s="40">
        <v>0</v>
      </c>
      <c r="L474" s="40">
        <v>0</v>
      </c>
      <c r="M474" s="40">
        <v>0</v>
      </c>
      <c r="N474" s="40">
        <v>0</v>
      </c>
      <c r="O474" s="40">
        <v>0</v>
      </c>
      <c r="P474" s="40"/>
      <c r="Q474" s="41" t="s">
        <v>26</v>
      </c>
    </row>
    <row r="475" spans="1:17" x14ac:dyDescent="0.25">
      <c r="A475" s="40" t="s">
        <v>17</v>
      </c>
      <c r="B475" s="40" t="s">
        <v>18</v>
      </c>
      <c r="C475" s="40" t="s">
        <v>19</v>
      </c>
      <c r="D475" s="40" t="s">
        <v>20</v>
      </c>
      <c r="E475" s="40" t="s">
        <v>21</v>
      </c>
      <c r="F475" s="40" t="s">
        <v>114</v>
      </c>
      <c r="G475" s="40" t="s">
        <v>115</v>
      </c>
      <c r="H475" s="40" t="s">
        <v>149</v>
      </c>
      <c r="I475" s="40" t="s">
        <v>152</v>
      </c>
      <c r="J475" s="40">
        <v>0</v>
      </c>
      <c r="K475" s="40">
        <v>0</v>
      </c>
      <c r="L475" s="40">
        <v>0</v>
      </c>
      <c r="M475" s="40">
        <v>0</v>
      </c>
      <c r="N475" s="40"/>
      <c r="O475" s="40">
        <v>0</v>
      </c>
      <c r="P475" s="40"/>
      <c r="Q475" s="41" t="s">
        <v>26</v>
      </c>
    </row>
    <row r="476" spans="1:17" x14ac:dyDescent="0.25">
      <c r="A476" s="40" t="s">
        <v>17</v>
      </c>
      <c r="B476" s="40" t="s">
        <v>18</v>
      </c>
      <c r="C476" s="40" t="s">
        <v>19</v>
      </c>
      <c r="D476" s="40" t="s">
        <v>20</v>
      </c>
      <c r="E476" s="40" t="s">
        <v>21</v>
      </c>
      <c r="F476" s="40" t="s">
        <v>114</v>
      </c>
      <c r="G476" s="40" t="s">
        <v>115</v>
      </c>
      <c r="H476" s="40" t="s">
        <v>153</v>
      </c>
      <c r="I476" s="40" t="s">
        <v>156</v>
      </c>
      <c r="J476" s="40">
        <v>0</v>
      </c>
      <c r="K476" s="40">
        <v>0</v>
      </c>
      <c r="L476" s="40">
        <v>0</v>
      </c>
      <c r="M476" s="40">
        <v>0</v>
      </c>
      <c r="N476" s="40">
        <v>0</v>
      </c>
      <c r="O476" s="40">
        <v>0</v>
      </c>
      <c r="P476" s="40">
        <v>0</v>
      </c>
      <c r="Q476" s="41" t="s">
        <v>137</v>
      </c>
    </row>
    <row r="477" spans="1:17" x14ac:dyDescent="0.25">
      <c r="A477" s="40" t="s">
        <v>17</v>
      </c>
      <c r="B477" s="40" t="s">
        <v>18</v>
      </c>
      <c r="C477" s="40" t="s">
        <v>19</v>
      </c>
      <c r="D477" s="40" t="s">
        <v>20</v>
      </c>
      <c r="E477" s="40" t="s">
        <v>21</v>
      </c>
      <c r="F477" s="40" t="s">
        <v>114</v>
      </c>
      <c r="G477" s="40" t="s">
        <v>115</v>
      </c>
      <c r="H477" s="40" t="s">
        <v>153</v>
      </c>
      <c r="I477" s="40" t="s">
        <v>159</v>
      </c>
      <c r="J477" s="40">
        <v>0</v>
      </c>
      <c r="K477" s="40">
        <v>0</v>
      </c>
      <c r="L477" s="40">
        <v>0</v>
      </c>
      <c r="M477" s="40">
        <v>0</v>
      </c>
      <c r="N477" s="40">
        <v>0</v>
      </c>
      <c r="O477" s="40">
        <v>0</v>
      </c>
      <c r="P477" s="40">
        <v>0</v>
      </c>
      <c r="Q477" s="41" t="s">
        <v>26</v>
      </c>
    </row>
    <row r="478" spans="1:17" x14ac:dyDescent="0.25">
      <c r="A478" s="40" t="s">
        <v>17</v>
      </c>
      <c r="B478" s="43" t="s">
        <v>18</v>
      </c>
      <c r="C478" s="40" t="s">
        <v>19</v>
      </c>
      <c r="D478" s="43" t="s">
        <v>20</v>
      </c>
      <c r="E478" s="43" t="s">
        <v>21</v>
      </c>
      <c r="F478" s="43" t="s">
        <v>114</v>
      </c>
      <c r="G478" s="43" t="s">
        <v>115</v>
      </c>
      <c r="H478" s="43" t="s">
        <v>143</v>
      </c>
      <c r="I478" s="43" t="s">
        <v>243</v>
      </c>
      <c r="J478" s="43">
        <v>0</v>
      </c>
      <c r="K478" s="43">
        <v>0</v>
      </c>
      <c r="L478" s="43">
        <v>0</v>
      </c>
      <c r="M478" s="43">
        <v>0</v>
      </c>
      <c r="N478" s="43">
        <v>0</v>
      </c>
      <c r="O478" s="43">
        <v>0</v>
      </c>
      <c r="P478" s="43">
        <v>0</v>
      </c>
      <c r="Q478" s="41" t="s">
        <v>26</v>
      </c>
    </row>
    <row r="479" spans="1:17" x14ac:dyDescent="0.25">
      <c r="A479" s="40" t="s">
        <v>17</v>
      </c>
      <c r="B479" s="40" t="s">
        <v>18</v>
      </c>
      <c r="C479" s="40" t="s">
        <v>19</v>
      </c>
      <c r="D479" s="40" t="s">
        <v>20</v>
      </c>
      <c r="E479" s="40" t="s">
        <v>21</v>
      </c>
      <c r="F479" s="40" t="s">
        <v>114</v>
      </c>
      <c r="G479" s="40" t="s">
        <v>115</v>
      </c>
      <c r="H479" s="40" t="s">
        <v>127</v>
      </c>
      <c r="I479" s="40" t="s">
        <v>128</v>
      </c>
      <c r="J479" s="40"/>
      <c r="K479" s="40"/>
      <c r="L479" s="40"/>
      <c r="M479" s="40"/>
      <c r="N479" s="40"/>
      <c r="O479" s="40">
        <v>9.7822817118332645E-3</v>
      </c>
      <c r="P479" s="40"/>
      <c r="Q479" s="41" t="s">
        <v>26</v>
      </c>
    </row>
    <row r="480" spans="1:17" x14ac:dyDescent="0.25">
      <c r="A480" s="40" t="s">
        <v>17</v>
      </c>
      <c r="B480" s="40" t="s">
        <v>18</v>
      </c>
      <c r="C480" s="40" t="s">
        <v>19</v>
      </c>
      <c r="D480" s="40" t="s">
        <v>20</v>
      </c>
      <c r="E480" s="40" t="s">
        <v>21</v>
      </c>
      <c r="F480" s="40" t="s">
        <v>114</v>
      </c>
      <c r="G480" s="40" t="s">
        <v>115</v>
      </c>
      <c r="H480" s="40" t="s">
        <v>127</v>
      </c>
      <c r="I480" s="40" t="s">
        <v>129</v>
      </c>
      <c r="J480" s="40"/>
      <c r="K480" s="40"/>
      <c r="L480" s="40"/>
      <c r="M480" s="40"/>
      <c r="N480" s="40"/>
      <c r="O480" s="40">
        <v>3.4408569690638466</v>
      </c>
      <c r="P480" s="40"/>
      <c r="Q480" s="41" t="s">
        <v>26</v>
      </c>
    </row>
    <row r="481" spans="1:17" x14ac:dyDescent="0.25">
      <c r="A481" s="40" t="s">
        <v>17</v>
      </c>
      <c r="B481" s="40" t="s">
        <v>18</v>
      </c>
      <c r="C481" s="40" t="s">
        <v>19</v>
      </c>
      <c r="D481" s="40" t="s">
        <v>20</v>
      </c>
      <c r="E481" s="40" t="s">
        <v>21</v>
      </c>
      <c r="F481" s="40" t="s">
        <v>114</v>
      </c>
      <c r="G481" s="40" t="s">
        <v>115</v>
      </c>
      <c r="H481" s="40" t="s">
        <v>127</v>
      </c>
      <c r="I481" s="40" t="s">
        <v>130</v>
      </c>
      <c r="J481" s="40"/>
      <c r="K481" s="40"/>
      <c r="L481" s="40"/>
      <c r="M481" s="40"/>
      <c r="N481" s="40"/>
      <c r="O481" s="40">
        <v>1394.3285429083251</v>
      </c>
      <c r="P481" s="40"/>
      <c r="Q481" s="41" t="s">
        <v>26</v>
      </c>
    </row>
    <row r="482" spans="1:17" x14ac:dyDescent="0.25">
      <c r="A482" s="40" t="s">
        <v>17</v>
      </c>
      <c r="B482" s="40" t="s">
        <v>18</v>
      </c>
      <c r="C482" s="40" t="s">
        <v>19</v>
      </c>
      <c r="D482" s="40" t="s">
        <v>20</v>
      </c>
      <c r="E482" s="40" t="s">
        <v>21</v>
      </c>
      <c r="F482" s="40" t="s">
        <v>114</v>
      </c>
      <c r="G482" s="40" t="s">
        <v>115</v>
      </c>
      <c r="H482" s="40" t="s">
        <v>127</v>
      </c>
      <c r="I482" s="40" t="s">
        <v>131</v>
      </c>
      <c r="J482" s="40"/>
      <c r="K482" s="40"/>
      <c r="L482" s="40"/>
      <c r="M482" s="40"/>
      <c r="N482" s="40"/>
      <c r="O482" s="40">
        <v>113.32267797739682</v>
      </c>
      <c r="P482" s="40"/>
      <c r="Q482" s="41" t="s">
        <v>26</v>
      </c>
    </row>
    <row r="483" spans="1:17" x14ac:dyDescent="0.25">
      <c r="A483" s="40" t="s">
        <v>17</v>
      </c>
      <c r="B483" s="40" t="s">
        <v>18</v>
      </c>
      <c r="C483" s="40" t="s">
        <v>19</v>
      </c>
      <c r="D483" s="40" t="s">
        <v>20</v>
      </c>
      <c r="E483" s="40" t="s">
        <v>21</v>
      </c>
      <c r="F483" s="40" t="s">
        <v>114</v>
      </c>
      <c r="G483" s="40" t="s">
        <v>115</v>
      </c>
      <c r="H483" s="40" t="s">
        <v>127</v>
      </c>
      <c r="I483" s="40" t="s">
        <v>132</v>
      </c>
      <c r="J483" s="40"/>
      <c r="K483" s="40"/>
      <c r="L483" s="40"/>
      <c r="M483" s="40"/>
      <c r="N483" s="40"/>
      <c r="O483" s="40">
        <v>508.65153915187221</v>
      </c>
      <c r="P483" s="40"/>
      <c r="Q483" s="41" t="s">
        <v>26</v>
      </c>
    </row>
    <row r="484" spans="1:17" x14ac:dyDescent="0.25">
      <c r="A484" s="40" t="s">
        <v>17</v>
      </c>
      <c r="B484" s="40" t="s">
        <v>18</v>
      </c>
      <c r="C484" s="40" t="s">
        <v>19</v>
      </c>
      <c r="D484" s="40" t="s">
        <v>20</v>
      </c>
      <c r="E484" s="40" t="s">
        <v>21</v>
      </c>
      <c r="F484" s="40" t="s">
        <v>114</v>
      </c>
      <c r="G484" s="40" t="s">
        <v>115</v>
      </c>
      <c r="H484" s="40" t="s">
        <v>127</v>
      </c>
      <c r="I484" s="40" t="s">
        <v>133</v>
      </c>
      <c r="J484" s="40"/>
      <c r="K484" s="40"/>
      <c r="L484" s="40"/>
      <c r="M484" s="40"/>
      <c r="N484" s="40"/>
      <c r="O484" s="40">
        <v>298.49440216914417</v>
      </c>
      <c r="P484" s="40"/>
      <c r="Q484" s="41" t="s">
        <v>26</v>
      </c>
    </row>
    <row r="485" spans="1:17" x14ac:dyDescent="0.25">
      <c r="A485" s="40" t="s">
        <v>17</v>
      </c>
      <c r="B485" s="40" t="s">
        <v>18</v>
      </c>
      <c r="C485" s="40" t="s">
        <v>19</v>
      </c>
      <c r="D485" s="40" t="s">
        <v>20</v>
      </c>
      <c r="E485" s="40" t="s">
        <v>21</v>
      </c>
      <c r="F485" s="40" t="s">
        <v>114</v>
      </c>
      <c r="G485" s="40" t="s">
        <v>115</v>
      </c>
      <c r="H485" s="40" t="s">
        <v>127</v>
      </c>
      <c r="I485" s="40" t="s">
        <v>134</v>
      </c>
      <c r="J485" s="40"/>
      <c r="K485" s="40"/>
      <c r="L485" s="40"/>
      <c r="M485" s="40"/>
      <c r="N485" s="40"/>
      <c r="O485" s="40">
        <v>1216.5743500000001</v>
      </c>
      <c r="P485" s="40"/>
      <c r="Q485" s="41" t="s">
        <v>26</v>
      </c>
    </row>
    <row r="486" spans="1:17" x14ac:dyDescent="0.25">
      <c r="A486" s="40" t="s">
        <v>17</v>
      </c>
      <c r="B486" s="40" t="s">
        <v>18</v>
      </c>
      <c r="C486" s="40" t="s">
        <v>19</v>
      </c>
      <c r="D486" s="40" t="s">
        <v>20</v>
      </c>
      <c r="E486" s="40" t="s">
        <v>21</v>
      </c>
      <c r="F486" s="40" t="s">
        <v>114</v>
      </c>
      <c r="G486" s="40" t="s">
        <v>115</v>
      </c>
      <c r="H486" s="40" t="s">
        <v>135</v>
      </c>
      <c r="I486" s="40" t="s">
        <v>136</v>
      </c>
      <c r="J486" s="40"/>
      <c r="K486" s="40"/>
      <c r="L486" s="40"/>
      <c r="M486" s="40"/>
      <c r="N486" s="40"/>
      <c r="O486" s="40">
        <v>1526.4397566264042</v>
      </c>
      <c r="P486" s="40"/>
      <c r="Q486" s="41" t="s">
        <v>137</v>
      </c>
    </row>
    <row r="487" spans="1:17" x14ac:dyDescent="0.25">
      <c r="A487" s="40" t="s">
        <v>17</v>
      </c>
      <c r="B487" s="40" t="s">
        <v>18</v>
      </c>
      <c r="C487" s="40" t="s">
        <v>19</v>
      </c>
      <c r="D487" s="40" t="s">
        <v>20</v>
      </c>
      <c r="E487" s="40" t="s">
        <v>21</v>
      </c>
      <c r="F487" s="40" t="s">
        <v>114</v>
      </c>
      <c r="G487" s="40" t="s">
        <v>115</v>
      </c>
      <c r="H487" s="40" t="s">
        <v>135</v>
      </c>
      <c r="I487" s="40" t="s">
        <v>138</v>
      </c>
      <c r="J487" s="40"/>
      <c r="K487" s="40"/>
      <c r="L487" s="40"/>
      <c r="M487" s="40"/>
      <c r="N487" s="40"/>
      <c r="O487" s="40">
        <v>200.20064100377652</v>
      </c>
      <c r="P487" s="40"/>
      <c r="Q487" s="41" t="s">
        <v>137</v>
      </c>
    </row>
    <row r="488" spans="1:17" x14ac:dyDescent="0.25">
      <c r="A488" s="40" t="s">
        <v>17</v>
      </c>
      <c r="B488" s="40" t="s">
        <v>18</v>
      </c>
      <c r="C488" s="40" t="s">
        <v>19</v>
      </c>
      <c r="D488" s="40" t="s">
        <v>20</v>
      </c>
      <c r="E488" s="40" t="s">
        <v>21</v>
      </c>
      <c r="F488" s="40" t="s">
        <v>114</v>
      </c>
      <c r="G488" s="40" t="s">
        <v>115</v>
      </c>
      <c r="H488" s="40" t="s">
        <v>139</v>
      </c>
      <c r="I488" s="40" t="s">
        <v>142</v>
      </c>
      <c r="J488" s="40"/>
      <c r="K488" s="40"/>
      <c r="L488" s="40"/>
      <c r="M488" s="40"/>
      <c r="N488" s="40"/>
      <c r="O488" s="40">
        <v>10.983357975347133</v>
      </c>
      <c r="P488" s="40"/>
      <c r="Q488" s="41" t="s">
        <v>26</v>
      </c>
    </row>
    <row r="489" spans="1:17" x14ac:dyDescent="0.25">
      <c r="A489" s="40" t="s">
        <v>17</v>
      </c>
      <c r="B489" s="40" t="s">
        <v>18</v>
      </c>
      <c r="C489" s="40" t="s">
        <v>19</v>
      </c>
      <c r="D489" s="40" t="s">
        <v>20</v>
      </c>
      <c r="E489" s="40" t="s">
        <v>21</v>
      </c>
      <c r="F489" s="40" t="s">
        <v>114</v>
      </c>
      <c r="G489" s="40" t="s">
        <v>115</v>
      </c>
      <c r="H489" s="40" t="s">
        <v>143</v>
      </c>
      <c r="I489" s="40" t="s">
        <v>144</v>
      </c>
      <c r="J489" s="40"/>
      <c r="K489" s="40"/>
      <c r="L489" s="40"/>
      <c r="M489" s="40"/>
      <c r="N489" s="40"/>
      <c r="O489" s="40"/>
      <c r="P489" s="40">
        <v>0</v>
      </c>
      <c r="Q489" s="41" t="s">
        <v>26</v>
      </c>
    </row>
    <row r="490" spans="1:17" x14ac:dyDescent="0.25">
      <c r="A490" s="40" t="s">
        <v>17</v>
      </c>
      <c r="B490" s="40" t="s">
        <v>18</v>
      </c>
      <c r="C490" s="40" t="s">
        <v>19</v>
      </c>
      <c r="D490" s="40" t="s">
        <v>20</v>
      </c>
      <c r="E490" s="40" t="s">
        <v>21</v>
      </c>
      <c r="F490" s="40" t="s">
        <v>114</v>
      </c>
      <c r="G490" s="40" t="s">
        <v>115</v>
      </c>
      <c r="H490" s="40" t="s">
        <v>143</v>
      </c>
      <c r="I490" s="40" t="s">
        <v>145</v>
      </c>
      <c r="J490" s="40"/>
      <c r="K490" s="40"/>
      <c r="L490" s="40"/>
      <c r="M490" s="40"/>
      <c r="N490" s="40"/>
      <c r="O490" s="40">
        <v>0</v>
      </c>
      <c r="P490" s="40"/>
      <c r="Q490" s="41" t="s">
        <v>26</v>
      </c>
    </row>
    <row r="491" spans="1:17" x14ac:dyDescent="0.25">
      <c r="A491" s="40" t="s">
        <v>17</v>
      </c>
      <c r="B491" s="40" t="s">
        <v>18</v>
      </c>
      <c r="C491" s="40" t="s">
        <v>19</v>
      </c>
      <c r="D491" s="40" t="s">
        <v>20</v>
      </c>
      <c r="E491" s="40" t="s">
        <v>21</v>
      </c>
      <c r="F491" s="40" t="s">
        <v>114</v>
      </c>
      <c r="G491" s="40" t="s">
        <v>115</v>
      </c>
      <c r="H491" s="40" t="s">
        <v>143</v>
      </c>
      <c r="I491" s="40" t="s">
        <v>146</v>
      </c>
      <c r="J491" s="40"/>
      <c r="K491" s="40"/>
      <c r="L491" s="40"/>
      <c r="M491" s="40"/>
      <c r="N491" s="40"/>
      <c r="O491" s="40"/>
      <c r="P491" s="40">
        <v>0</v>
      </c>
      <c r="Q491" s="41" t="s">
        <v>26</v>
      </c>
    </row>
    <row r="492" spans="1:17" x14ac:dyDescent="0.25">
      <c r="A492" s="40" t="s">
        <v>17</v>
      </c>
      <c r="B492" s="40" t="s">
        <v>18</v>
      </c>
      <c r="C492" s="40" t="s">
        <v>19</v>
      </c>
      <c r="D492" s="40" t="s">
        <v>20</v>
      </c>
      <c r="E492" s="40" t="s">
        <v>21</v>
      </c>
      <c r="F492" s="40" t="s">
        <v>114</v>
      </c>
      <c r="G492" s="40" t="s">
        <v>115</v>
      </c>
      <c r="H492" s="40" t="s">
        <v>149</v>
      </c>
      <c r="I492" s="40" t="s">
        <v>150</v>
      </c>
      <c r="J492" s="40"/>
      <c r="K492" s="40"/>
      <c r="L492" s="40"/>
      <c r="M492" s="40"/>
      <c r="N492" s="40"/>
      <c r="O492" s="40">
        <v>25.280280037170883</v>
      </c>
      <c r="P492" s="40"/>
      <c r="Q492" s="41" t="s">
        <v>26</v>
      </c>
    </row>
    <row r="493" spans="1:17" x14ac:dyDescent="0.25">
      <c r="A493" s="40" t="s">
        <v>17</v>
      </c>
      <c r="B493" s="40" t="s">
        <v>18</v>
      </c>
      <c r="C493" s="40" t="s">
        <v>19</v>
      </c>
      <c r="D493" s="40" t="s">
        <v>20</v>
      </c>
      <c r="E493" s="40" t="s">
        <v>21</v>
      </c>
      <c r="F493" s="40" t="s">
        <v>114</v>
      </c>
      <c r="G493" s="40" t="s">
        <v>115</v>
      </c>
      <c r="H493" s="40" t="s">
        <v>153</v>
      </c>
      <c r="I493" s="40" t="s">
        <v>155</v>
      </c>
      <c r="J493" s="40"/>
      <c r="K493" s="40"/>
      <c r="L493" s="40"/>
      <c r="M493" s="40"/>
      <c r="N493" s="40"/>
      <c r="O493" s="40"/>
      <c r="P493" s="40">
        <v>440.40775959738176</v>
      </c>
      <c r="Q493" s="41" t="s">
        <v>26</v>
      </c>
    </row>
    <row r="494" spans="1:17" x14ac:dyDescent="0.25">
      <c r="A494" s="40" t="s">
        <v>17</v>
      </c>
      <c r="B494" s="40" t="s">
        <v>18</v>
      </c>
      <c r="C494" s="40" t="s">
        <v>19</v>
      </c>
      <c r="D494" s="40" t="s">
        <v>20</v>
      </c>
      <c r="E494" s="40" t="s">
        <v>21</v>
      </c>
      <c r="F494" s="40" t="s">
        <v>114</v>
      </c>
      <c r="G494" s="40" t="s">
        <v>115</v>
      </c>
      <c r="H494" s="40" t="s">
        <v>153</v>
      </c>
      <c r="I494" s="40" t="s">
        <v>157</v>
      </c>
      <c r="J494" s="40"/>
      <c r="K494" s="40"/>
      <c r="L494" s="40"/>
      <c r="M494" s="40"/>
      <c r="N494" s="40"/>
      <c r="O494" s="40">
        <v>0.41059000000000001</v>
      </c>
      <c r="P494" s="40"/>
      <c r="Q494" s="41" t="s">
        <v>26</v>
      </c>
    </row>
    <row r="495" spans="1:17" x14ac:dyDescent="0.25">
      <c r="A495" s="40" t="s">
        <v>17</v>
      </c>
      <c r="B495" s="43" t="s">
        <v>18</v>
      </c>
      <c r="C495" s="40" t="s">
        <v>19</v>
      </c>
      <c r="D495" s="43" t="s">
        <v>20</v>
      </c>
      <c r="E495" s="43" t="s">
        <v>21</v>
      </c>
      <c r="F495" s="43" t="s">
        <v>114</v>
      </c>
      <c r="G495" s="43" t="s">
        <v>115</v>
      </c>
      <c r="H495" s="43" t="s">
        <v>240</v>
      </c>
      <c r="I495" s="43" t="s">
        <v>241</v>
      </c>
      <c r="J495" s="43"/>
      <c r="K495" s="43"/>
      <c r="L495" s="43"/>
      <c r="M495" s="43"/>
      <c r="N495" s="43"/>
      <c r="O495" s="43">
        <v>18.040335151165458</v>
      </c>
      <c r="P495" s="43"/>
      <c r="Q495" s="41" t="s">
        <v>26</v>
      </c>
    </row>
    <row r="496" spans="1:17" x14ac:dyDescent="0.25">
      <c r="A496" s="40" t="s">
        <v>17</v>
      </c>
      <c r="B496" s="43" t="s">
        <v>18</v>
      </c>
      <c r="C496" s="40" t="s">
        <v>19</v>
      </c>
      <c r="D496" s="43" t="s">
        <v>20</v>
      </c>
      <c r="E496" s="43" t="s">
        <v>21</v>
      </c>
      <c r="F496" s="43" t="s">
        <v>114</v>
      </c>
      <c r="G496" s="43" t="s">
        <v>115</v>
      </c>
      <c r="H496" s="43" t="s">
        <v>240</v>
      </c>
      <c r="I496" s="43" t="s">
        <v>242</v>
      </c>
      <c r="J496" s="43"/>
      <c r="K496" s="43"/>
      <c r="L496" s="43"/>
      <c r="M496" s="43"/>
      <c r="N496" s="43"/>
      <c r="O496" s="43">
        <v>1.7617810679834117E-2</v>
      </c>
      <c r="P496" s="43"/>
      <c r="Q496" s="41" t="s">
        <v>26</v>
      </c>
    </row>
    <row r="497" spans="1:17" x14ac:dyDescent="0.25">
      <c r="A497" s="40" t="s">
        <v>17</v>
      </c>
      <c r="B497" s="40" t="s">
        <v>18</v>
      </c>
      <c r="C497" s="40" t="s">
        <v>19</v>
      </c>
      <c r="D497" s="40" t="s">
        <v>20</v>
      </c>
      <c r="E497" s="40" t="s">
        <v>21</v>
      </c>
      <c r="F497" s="40" t="s">
        <v>61</v>
      </c>
      <c r="G497" s="40" t="s">
        <v>62</v>
      </c>
      <c r="H497" s="40" t="s">
        <v>139</v>
      </c>
      <c r="I497" s="40" t="s">
        <v>141</v>
      </c>
      <c r="J497" s="40">
        <v>10.831146300000002</v>
      </c>
      <c r="K497" s="40">
        <v>8.6443378620299995</v>
      </c>
      <c r="L497" s="40">
        <v>0</v>
      </c>
      <c r="M497" s="40">
        <v>21.563396579999999</v>
      </c>
      <c r="N497" s="40">
        <v>0.39693881999999997</v>
      </c>
      <c r="O497" s="40">
        <v>1.3913179800000002</v>
      </c>
      <c r="P497" s="40">
        <v>0</v>
      </c>
      <c r="Q497" s="41" t="s">
        <v>26</v>
      </c>
    </row>
    <row r="498" spans="1:17" x14ac:dyDescent="0.25">
      <c r="A498" s="40" t="s">
        <v>17</v>
      </c>
      <c r="B498" s="40" t="s">
        <v>18</v>
      </c>
      <c r="C498" s="40" t="s">
        <v>19</v>
      </c>
      <c r="D498" s="40" t="s">
        <v>20</v>
      </c>
      <c r="E498" s="40" t="s">
        <v>21</v>
      </c>
      <c r="F498" s="40" t="s">
        <v>61</v>
      </c>
      <c r="G498" s="40" t="s">
        <v>62</v>
      </c>
      <c r="H498" s="40" t="s">
        <v>24</v>
      </c>
      <c r="I498" s="40" t="s">
        <v>126</v>
      </c>
      <c r="J498" s="40">
        <v>2.4232091890553509</v>
      </c>
      <c r="K498" s="40">
        <v>2.3717781544279148</v>
      </c>
      <c r="L498" s="40">
        <v>0.1541799159314117</v>
      </c>
      <c r="M498" s="40">
        <v>20.960990017060681</v>
      </c>
      <c r="N498" s="40">
        <v>14.915563004179006</v>
      </c>
      <c r="O498" s="40">
        <v>5.8200993477525769</v>
      </c>
      <c r="P498" s="40">
        <v>0.10679086103081503</v>
      </c>
      <c r="Q498" s="41" t="s">
        <v>26</v>
      </c>
    </row>
    <row r="499" spans="1:17" x14ac:dyDescent="0.25">
      <c r="A499" s="40" t="s">
        <v>17</v>
      </c>
      <c r="B499" s="43" t="s">
        <v>18</v>
      </c>
      <c r="C499" s="40" t="s">
        <v>19</v>
      </c>
      <c r="D499" s="43" t="s">
        <v>20</v>
      </c>
      <c r="E499" s="43" t="s">
        <v>21</v>
      </c>
      <c r="F499" s="40" t="s">
        <v>61</v>
      </c>
      <c r="G499" s="43" t="s">
        <v>62</v>
      </c>
      <c r="H499" s="40" t="s">
        <v>24</v>
      </c>
      <c r="I499" s="40" t="s">
        <v>238</v>
      </c>
      <c r="J499" s="43">
        <v>0.92285721842412205</v>
      </c>
      <c r="K499" s="43">
        <v>0.92285721842412205</v>
      </c>
      <c r="L499" s="43">
        <v>0.10799673653609877</v>
      </c>
      <c r="M499" s="43">
        <v>7.9133970885840279</v>
      </c>
      <c r="N499" s="43">
        <v>13.120151596793201</v>
      </c>
      <c r="O499" s="43">
        <v>0.78905473398399684</v>
      </c>
      <c r="P499" s="43">
        <v>7.9834921037402369E-3</v>
      </c>
      <c r="Q499" s="41" t="s">
        <v>26</v>
      </c>
    </row>
    <row r="500" spans="1:17" x14ac:dyDescent="0.25">
      <c r="A500" s="40" t="s">
        <v>17</v>
      </c>
      <c r="B500" s="43" t="s">
        <v>18</v>
      </c>
      <c r="C500" s="40" t="s">
        <v>19</v>
      </c>
      <c r="D500" s="43" t="s">
        <v>20</v>
      </c>
      <c r="E500" s="43" t="s">
        <v>21</v>
      </c>
      <c r="F500" s="40" t="s">
        <v>61</v>
      </c>
      <c r="G500" s="43" t="s">
        <v>62</v>
      </c>
      <c r="H500" s="43" t="s">
        <v>24</v>
      </c>
      <c r="I500" s="43" t="s">
        <v>239</v>
      </c>
      <c r="J500" s="43">
        <v>0.24486082064501399</v>
      </c>
      <c r="K500" s="43">
        <v>0.16656055449564949</v>
      </c>
      <c r="L500" s="43">
        <v>2.2994294644802314E-2</v>
      </c>
      <c r="M500" s="43">
        <v>1.6768845342024385</v>
      </c>
      <c r="N500" s="43">
        <v>4.1002491745495382</v>
      </c>
      <c r="O500" s="43">
        <v>9.1847582619504126E-2</v>
      </c>
      <c r="P500" s="43">
        <v>8.242133278880473E-2</v>
      </c>
      <c r="Q500" s="41" t="s">
        <v>26</v>
      </c>
    </row>
    <row r="501" spans="1:17" x14ac:dyDescent="0.25">
      <c r="A501" s="40" t="s">
        <v>17</v>
      </c>
      <c r="B501" s="40" t="s">
        <v>18</v>
      </c>
      <c r="C501" s="40" t="s">
        <v>19</v>
      </c>
      <c r="D501" s="40" t="s">
        <v>20</v>
      </c>
      <c r="E501" s="40" t="s">
        <v>21</v>
      </c>
      <c r="F501" s="40" t="s">
        <v>61</v>
      </c>
      <c r="G501" s="40" t="s">
        <v>62</v>
      </c>
      <c r="H501" s="40" t="s">
        <v>153</v>
      </c>
      <c r="I501" s="40" t="s">
        <v>158</v>
      </c>
      <c r="J501" s="40">
        <v>0.11074461902981758</v>
      </c>
      <c r="K501" s="40">
        <v>0.10341747032274083</v>
      </c>
      <c r="L501" s="40">
        <v>0</v>
      </c>
      <c r="M501" s="40">
        <v>1.7585156896984264</v>
      </c>
      <c r="N501" s="40">
        <v>4.1869421183295875E-2</v>
      </c>
      <c r="O501" s="40">
        <v>0.10906984218248575</v>
      </c>
      <c r="P501" s="40">
        <v>0</v>
      </c>
      <c r="Q501" s="41" t="s">
        <v>26</v>
      </c>
    </row>
    <row r="502" spans="1:17" x14ac:dyDescent="0.25">
      <c r="A502" s="40" t="s">
        <v>17</v>
      </c>
      <c r="B502" s="40" t="s">
        <v>18</v>
      </c>
      <c r="C502" s="40" t="s">
        <v>19</v>
      </c>
      <c r="D502" s="40" t="s">
        <v>20</v>
      </c>
      <c r="E502" s="40" t="s">
        <v>21</v>
      </c>
      <c r="F502" s="40" t="s">
        <v>61</v>
      </c>
      <c r="G502" s="40" t="s">
        <v>62</v>
      </c>
      <c r="H502" s="40" t="s">
        <v>149</v>
      </c>
      <c r="I502" s="40" t="s">
        <v>151</v>
      </c>
      <c r="J502" s="40">
        <v>3.734962953526829E-2</v>
      </c>
      <c r="K502" s="40">
        <v>3.4204397574403599E-2</v>
      </c>
      <c r="L502" s="40">
        <v>9.8288498777021832E-4</v>
      </c>
      <c r="M502" s="40">
        <v>8.3545223960468568E-2</v>
      </c>
      <c r="N502" s="40">
        <v>5.8973099266213099E-3</v>
      </c>
      <c r="O502" s="40">
        <v>8.4095639553619875E-3</v>
      </c>
      <c r="P502" s="40"/>
      <c r="Q502" s="41" t="s">
        <v>26</v>
      </c>
    </row>
    <row r="503" spans="1:17" x14ac:dyDescent="0.25">
      <c r="A503" s="40" t="s">
        <v>17</v>
      </c>
      <c r="B503" s="40" t="s">
        <v>18</v>
      </c>
      <c r="C503" s="40" t="s">
        <v>19</v>
      </c>
      <c r="D503" s="40" t="s">
        <v>20</v>
      </c>
      <c r="E503" s="40" t="s">
        <v>21</v>
      </c>
      <c r="F503" s="40" t="s">
        <v>61</v>
      </c>
      <c r="G503" s="40" t="s">
        <v>62</v>
      </c>
      <c r="H503" s="40" t="s">
        <v>24</v>
      </c>
      <c r="I503" s="40" t="s">
        <v>25</v>
      </c>
      <c r="J503" s="40">
        <v>0</v>
      </c>
      <c r="K503" s="40">
        <v>0</v>
      </c>
      <c r="L503" s="40">
        <v>0</v>
      </c>
      <c r="M503" s="40">
        <v>0</v>
      </c>
      <c r="N503" s="40">
        <v>0</v>
      </c>
      <c r="O503" s="40">
        <v>0</v>
      </c>
      <c r="P503" s="40">
        <v>0</v>
      </c>
      <c r="Q503" s="41" t="s">
        <v>26</v>
      </c>
    </row>
    <row r="504" spans="1:17" x14ac:dyDescent="0.25">
      <c r="A504" s="40" t="s">
        <v>17</v>
      </c>
      <c r="B504" s="40" t="s">
        <v>18</v>
      </c>
      <c r="C504" s="40" t="s">
        <v>19</v>
      </c>
      <c r="D504" s="40" t="s">
        <v>20</v>
      </c>
      <c r="E504" s="40" t="s">
        <v>21</v>
      </c>
      <c r="F504" s="40" t="s">
        <v>61</v>
      </c>
      <c r="G504" s="40" t="s">
        <v>62</v>
      </c>
      <c r="H504" s="40" t="s">
        <v>139</v>
      </c>
      <c r="I504" s="40" t="s">
        <v>140</v>
      </c>
      <c r="J504" s="40">
        <v>0</v>
      </c>
      <c r="K504" s="40">
        <v>0</v>
      </c>
      <c r="L504" s="40"/>
      <c r="M504" s="40"/>
      <c r="N504" s="40"/>
      <c r="O504" s="40"/>
      <c r="P504" s="40"/>
      <c r="Q504" s="41" t="s">
        <v>26</v>
      </c>
    </row>
    <row r="505" spans="1:17" x14ac:dyDescent="0.25">
      <c r="A505" s="40" t="s">
        <v>17</v>
      </c>
      <c r="B505" s="40" t="s">
        <v>18</v>
      </c>
      <c r="C505" s="40" t="s">
        <v>19</v>
      </c>
      <c r="D505" s="40" t="s">
        <v>20</v>
      </c>
      <c r="E505" s="40" t="s">
        <v>21</v>
      </c>
      <c r="F505" s="40" t="s">
        <v>61</v>
      </c>
      <c r="G505" s="40" t="s">
        <v>62</v>
      </c>
      <c r="H505" s="40" t="s">
        <v>143</v>
      </c>
      <c r="I505" s="40" t="s">
        <v>147</v>
      </c>
      <c r="J505" s="40">
        <v>0</v>
      </c>
      <c r="K505" s="40">
        <v>0</v>
      </c>
      <c r="L505" s="40"/>
      <c r="M505" s="40"/>
      <c r="N505" s="40"/>
      <c r="O505" s="40"/>
      <c r="P505" s="40"/>
      <c r="Q505" s="41" t="s">
        <v>26</v>
      </c>
    </row>
    <row r="506" spans="1:17" x14ac:dyDescent="0.25">
      <c r="A506" s="40" t="s">
        <v>160</v>
      </c>
      <c r="B506" s="40" t="s">
        <v>18</v>
      </c>
      <c r="C506" s="40" t="s">
        <v>19</v>
      </c>
      <c r="D506" s="40" t="s">
        <v>20</v>
      </c>
      <c r="E506" s="40" t="s">
        <v>21</v>
      </c>
      <c r="F506" s="40" t="s">
        <v>22</v>
      </c>
      <c r="G506" s="40" t="s">
        <v>23</v>
      </c>
      <c r="H506" s="40" t="s">
        <v>161</v>
      </c>
      <c r="I506" s="40"/>
      <c r="J506" s="40"/>
      <c r="K506" s="40"/>
      <c r="L506" s="40"/>
      <c r="M506" s="40"/>
      <c r="N506" s="40">
        <v>163</v>
      </c>
      <c r="O506" s="40">
        <v>478</v>
      </c>
      <c r="P506" s="40"/>
      <c r="Q506" s="41" t="s">
        <v>137</v>
      </c>
    </row>
    <row r="507" spans="1:17" x14ac:dyDescent="0.25">
      <c r="A507" s="40" t="s">
        <v>160</v>
      </c>
      <c r="B507" s="40" t="s">
        <v>18</v>
      </c>
      <c r="C507" s="40" t="s">
        <v>19</v>
      </c>
      <c r="D507" s="40" t="s">
        <v>20</v>
      </c>
      <c r="E507" s="40" t="s">
        <v>21</v>
      </c>
      <c r="F507" s="40" t="s">
        <v>35</v>
      </c>
      <c r="G507" s="40" t="s">
        <v>36</v>
      </c>
      <c r="H507" s="40" t="s">
        <v>161</v>
      </c>
      <c r="I507" s="40"/>
      <c r="J507" s="40"/>
      <c r="K507" s="40"/>
      <c r="L507" s="40"/>
      <c r="M507" s="40"/>
      <c r="N507" s="40">
        <v>362</v>
      </c>
      <c r="O507" s="40">
        <v>1133</v>
      </c>
      <c r="P507" s="40"/>
      <c r="Q507" s="41" t="s">
        <v>137</v>
      </c>
    </row>
    <row r="508" spans="1:17" x14ac:dyDescent="0.25">
      <c r="A508" s="40" t="s">
        <v>160</v>
      </c>
      <c r="B508" s="40" t="s">
        <v>18</v>
      </c>
      <c r="C508" s="40" t="s">
        <v>19</v>
      </c>
      <c r="D508" s="40" t="s">
        <v>20</v>
      </c>
      <c r="E508" s="40" t="s">
        <v>21</v>
      </c>
      <c r="F508" s="40" t="s">
        <v>41</v>
      </c>
      <c r="G508" s="40" t="s">
        <v>42</v>
      </c>
      <c r="H508" s="40" t="s">
        <v>161</v>
      </c>
      <c r="I508" s="40"/>
      <c r="J508" s="40"/>
      <c r="K508" s="40"/>
      <c r="L508" s="40"/>
      <c r="M508" s="40"/>
      <c r="N508" s="40">
        <v>947</v>
      </c>
      <c r="O508" s="40">
        <v>2884</v>
      </c>
      <c r="P508" s="40"/>
      <c r="Q508" s="41" t="s">
        <v>137</v>
      </c>
    </row>
    <row r="509" spans="1:17" x14ac:dyDescent="0.25">
      <c r="A509" s="40" t="s">
        <v>160</v>
      </c>
      <c r="B509" s="40" t="s">
        <v>18</v>
      </c>
      <c r="C509" s="40" t="s">
        <v>19</v>
      </c>
      <c r="D509" s="40" t="s">
        <v>20</v>
      </c>
      <c r="E509" s="40" t="s">
        <v>21</v>
      </c>
      <c r="F509" s="40" t="s">
        <v>43</v>
      </c>
      <c r="G509" s="40" t="s">
        <v>44</v>
      </c>
      <c r="H509" s="40" t="s">
        <v>161</v>
      </c>
      <c r="I509" s="40"/>
      <c r="J509" s="40"/>
      <c r="K509" s="40"/>
      <c r="L509" s="40"/>
      <c r="M509" s="40"/>
      <c r="N509" s="40">
        <v>439</v>
      </c>
      <c r="O509" s="40">
        <v>1313</v>
      </c>
      <c r="P509" s="40"/>
      <c r="Q509" s="41" t="s">
        <v>137</v>
      </c>
    </row>
    <row r="510" spans="1:17" x14ac:dyDescent="0.25">
      <c r="A510" s="40" t="s">
        <v>160</v>
      </c>
      <c r="B510" s="40" t="s">
        <v>18</v>
      </c>
      <c r="C510" s="40" t="s">
        <v>19</v>
      </c>
      <c r="D510" s="40" t="s">
        <v>20</v>
      </c>
      <c r="E510" s="40" t="s">
        <v>21</v>
      </c>
      <c r="F510" s="40" t="s">
        <v>47</v>
      </c>
      <c r="G510" s="40" t="s">
        <v>48</v>
      </c>
      <c r="H510" s="40" t="s">
        <v>161</v>
      </c>
      <c r="I510" s="40"/>
      <c r="J510" s="40"/>
      <c r="K510" s="40"/>
      <c r="L510" s="40"/>
      <c r="M510" s="40"/>
      <c r="N510" s="40">
        <v>188</v>
      </c>
      <c r="O510" s="40">
        <v>651</v>
      </c>
      <c r="P510" s="40"/>
      <c r="Q510" s="41" t="s">
        <v>137</v>
      </c>
    </row>
    <row r="511" spans="1:17" x14ac:dyDescent="0.25">
      <c r="A511" s="40" t="s">
        <v>160</v>
      </c>
      <c r="B511" s="40" t="s">
        <v>18</v>
      </c>
      <c r="C511" s="40" t="s">
        <v>19</v>
      </c>
      <c r="D511" s="40" t="s">
        <v>20</v>
      </c>
      <c r="E511" s="40" t="s">
        <v>21</v>
      </c>
      <c r="F511" s="40" t="s">
        <v>59</v>
      </c>
      <c r="G511" s="40" t="s">
        <v>60</v>
      </c>
      <c r="H511" s="40" t="s">
        <v>161</v>
      </c>
      <c r="I511" s="40"/>
      <c r="J511" s="40"/>
      <c r="K511" s="40"/>
      <c r="L511" s="40"/>
      <c r="M511" s="40"/>
      <c r="N511" s="40">
        <v>66</v>
      </c>
      <c r="O511" s="40">
        <v>155</v>
      </c>
      <c r="P511" s="40"/>
      <c r="Q511" s="41" t="s">
        <v>137</v>
      </c>
    </row>
    <row r="512" spans="1:17" x14ac:dyDescent="0.25">
      <c r="A512" s="40" t="s">
        <v>160</v>
      </c>
      <c r="B512" s="40" t="s">
        <v>18</v>
      </c>
      <c r="C512" s="40" t="s">
        <v>19</v>
      </c>
      <c r="D512" s="40" t="s">
        <v>20</v>
      </c>
      <c r="E512" s="40" t="s">
        <v>21</v>
      </c>
      <c r="F512" s="40" t="s">
        <v>61</v>
      </c>
      <c r="G512" s="40" t="s">
        <v>62</v>
      </c>
      <c r="H512" s="40" t="s">
        <v>161</v>
      </c>
      <c r="I512" s="40"/>
      <c r="J512" s="40"/>
      <c r="K512" s="40"/>
      <c r="L512" s="40"/>
      <c r="M512" s="40"/>
      <c r="N512" s="40">
        <v>55</v>
      </c>
      <c r="O512" s="40">
        <v>222</v>
      </c>
      <c r="P512" s="40"/>
      <c r="Q512" s="41" t="s">
        <v>137</v>
      </c>
    </row>
    <row r="513" spans="1:17" x14ac:dyDescent="0.25">
      <c r="A513" s="40" t="s">
        <v>160</v>
      </c>
      <c r="B513" s="40" t="s">
        <v>18</v>
      </c>
      <c r="C513" s="40" t="s">
        <v>19</v>
      </c>
      <c r="D513" s="40" t="s">
        <v>20</v>
      </c>
      <c r="E513" s="40" t="s">
        <v>21</v>
      </c>
      <c r="F513" s="40" t="s">
        <v>65</v>
      </c>
      <c r="G513" s="40" t="s">
        <v>66</v>
      </c>
      <c r="H513" s="40" t="s">
        <v>161</v>
      </c>
      <c r="I513" s="40"/>
      <c r="J513" s="40"/>
      <c r="K513" s="40"/>
      <c r="L513" s="40"/>
      <c r="M513" s="40"/>
      <c r="N513" s="40">
        <v>261</v>
      </c>
      <c r="O513" s="40">
        <v>812</v>
      </c>
      <c r="P513" s="40"/>
      <c r="Q513" s="41" t="s">
        <v>137</v>
      </c>
    </row>
    <row r="514" spans="1:17" x14ac:dyDescent="0.25">
      <c r="A514" s="40" t="s">
        <v>160</v>
      </c>
      <c r="B514" s="40" t="s">
        <v>18</v>
      </c>
      <c r="C514" s="40" t="s">
        <v>19</v>
      </c>
      <c r="D514" s="40" t="s">
        <v>20</v>
      </c>
      <c r="E514" s="40" t="s">
        <v>21</v>
      </c>
      <c r="F514" s="40" t="s">
        <v>73</v>
      </c>
      <c r="G514" s="40" t="s">
        <v>74</v>
      </c>
      <c r="H514" s="40" t="s">
        <v>161</v>
      </c>
      <c r="I514" s="40"/>
      <c r="J514" s="40"/>
      <c r="K514" s="40"/>
      <c r="L514" s="40"/>
      <c r="M514" s="40"/>
      <c r="N514" s="40">
        <v>9</v>
      </c>
      <c r="O514" s="40">
        <v>55</v>
      </c>
      <c r="P514" s="40"/>
      <c r="Q514" s="41" t="s">
        <v>137</v>
      </c>
    </row>
    <row r="515" spans="1:17" x14ac:dyDescent="0.25">
      <c r="A515" s="40" t="s">
        <v>160</v>
      </c>
      <c r="B515" s="40" t="s">
        <v>18</v>
      </c>
      <c r="C515" s="40" t="s">
        <v>19</v>
      </c>
      <c r="D515" s="40" t="s">
        <v>20</v>
      </c>
      <c r="E515" s="40" t="s">
        <v>21</v>
      </c>
      <c r="F515" s="40" t="s">
        <v>75</v>
      </c>
      <c r="G515" s="40" t="s">
        <v>76</v>
      </c>
      <c r="H515" s="40" t="s">
        <v>161</v>
      </c>
      <c r="I515" s="40"/>
      <c r="J515" s="40"/>
      <c r="K515" s="40"/>
      <c r="L515" s="40"/>
      <c r="M515" s="40"/>
      <c r="N515" s="40">
        <v>39</v>
      </c>
      <c r="O515" s="40">
        <v>41</v>
      </c>
      <c r="P515" s="40"/>
      <c r="Q515" s="41" t="s">
        <v>137</v>
      </c>
    </row>
    <row r="516" spans="1:17" x14ac:dyDescent="0.25">
      <c r="A516" s="40" t="s">
        <v>160</v>
      </c>
      <c r="B516" s="40" t="s">
        <v>18</v>
      </c>
      <c r="C516" s="40" t="s">
        <v>19</v>
      </c>
      <c r="D516" s="40" t="s">
        <v>20</v>
      </c>
      <c r="E516" s="40" t="s">
        <v>21</v>
      </c>
      <c r="F516" s="40" t="s">
        <v>85</v>
      </c>
      <c r="G516" s="40" t="s">
        <v>86</v>
      </c>
      <c r="H516" s="40" t="s">
        <v>161</v>
      </c>
      <c r="I516" s="40"/>
      <c r="J516" s="40"/>
      <c r="K516" s="40"/>
      <c r="L516" s="40"/>
      <c r="M516" s="40"/>
      <c r="N516" s="40">
        <v>381</v>
      </c>
      <c r="O516" s="40">
        <v>1149</v>
      </c>
      <c r="P516" s="40"/>
      <c r="Q516" s="41" t="s">
        <v>137</v>
      </c>
    </row>
    <row r="517" spans="1:17" x14ac:dyDescent="0.25">
      <c r="A517" s="40" t="s">
        <v>160</v>
      </c>
      <c r="B517" s="40" t="s">
        <v>18</v>
      </c>
      <c r="C517" s="40" t="s">
        <v>19</v>
      </c>
      <c r="D517" s="40" t="s">
        <v>20</v>
      </c>
      <c r="E517" s="40" t="s">
        <v>21</v>
      </c>
      <c r="F517" s="40" t="s">
        <v>101</v>
      </c>
      <c r="G517" s="40" t="s">
        <v>21</v>
      </c>
      <c r="H517" s="40" t="s">
        <v>161</v>
      </c>
      <c r="I517" s="40"/>
      <c r="J517" s="40"/>
      <c r="K517" s="40"/>
      <c r="L517" s="40"/>
      <c r="M517" s="40"/>
      <c r="N517" s="40">
        <v>26</v>
      </c>
      <c r="O517" s="40">
        <v>124</v>
      </c>
      <c r="P517" s="40"/>
      <c r="Q517" s="41" t="s">
        <v>137</v>
      </c>
    </row>
    <row r="518" spans="1:17" x14ac:dyDescent="0.25">
      <c r="A518" s="40" t="s">
        <v>160</v>
      </c>
      <c r="B518" s="40" t="s">
        <v>18</v>
      </c>
      <c r="C518" s="40" t="s">
        <v>19</v>
      </c>
      <c r="D518" s="40" t="s">
        <v>20</v>
      </c>
      <c r="E518" s="40" t="s">
        <v>21</v>
      </c>
      <c r="F518" s="40" t="s">
        <v>104</v>
      </c>
      <c r="G518" s="40" t="s">
        <v>105</v>
      </c>
      <c r="H518" s="40" t="s">
        <v>161</v>
      </c>
      <c r="I518" s="40"/>
      <c r="J518" s="40"/>
      <c r="K518" s="40"/>
      <c r="L518" s="40"/>
      <c r="M518" s="40"/>
      <c r="N518" s="40">
        <v>937</v>
      </c>
      <c r="O518" s="40">
        <v>2845</v>
      </c>
      <c r="P518" s="40"/>
      <c r="Q518" s="41" t="s">
        <v>137</v>
      </c>
    </row>
    <row r="519" spans="1:17" x14ac:dyDescent="0.25">
      <c r="A519" s="40" t="s">
        <v>160</v>
      </c>
      <c r="B519" s="40" t="s">
        <v>18</v>
      </c>
      <c r="C519" s="40" t="s">
        <v>19</v>
      </c>
      <c r="D519" s="40" t="s">
        <v>20</v>
      </c>
      <c r="E519" s="40" t="s">
        <v>21</v>
      </c>
      <c r="F519" s="40" t="s">
        <v>112</v>
      </c>
      <c r="G519" s="40" t="s">
        <v>113</v>
      </c>
      <c r="H519" s="40" t="s">
        <v>161</v>
      </c>
      <c r="I519" s="40"/>
      <c r="J519" s="40"/>
      <c r="K519" s="40"/>
      <c r="L519" s="40"/>
      <c r="M519" s="40"/>
      <c r="N519" s="40">
        <v>429</v>
      </c>
      <c r="O519" s="40">
        <v>1260</v>
      </c>
      <c r="P519" s="40"/>
      <c r="Q519" s="41" t="s">
        <v>137</v>
      </c>
    </row>
    <row r="520" spans="1:17" x14ac:dyDescent="0.25">
      <c r="A520" s="40" t="s">
        <v>160</v>
      </c>
      <c r="B520" s="40" t="s">
        <v>18</v>
      </c>
      <c r="C520" s="40" t="s">
        <v>19</v>
      </c>
      <c r="D520" s="40" t="s">
        <v>20</v>
      </c>
      <c r="E520" s="40" t="s">
        <v>21</v>
      </c>
      <c r="F520" s="40" t="s">
        <v>114</v>
      </c>
      <c r="G520" s="40" t="s">
        <v>115</v>
      </c>
      <c r="H520" s="40" t="s">
        <v>161</v>
      </c>
      <c r="I520" s="40"/>
      <c r="J520" s="40"/>
      <c r="K520" s="40"/>
      <c r="L520" s="40"/>
      <c r="M520" s="40"/>
      <c r="N520" s="40">
        <v>1</v>
      </c>
      <c r="O520" s="40">
        <v>18</v>
      </c>
      <c r="P520" s="40"/>
      <c r="Q520" s="41" t="s">
        <v>137</v>
      </c>
    </row>
    <row r="521" spans="1:17" x14ac:dyDescent="0.25">
      <c r="A521" s="40" t="s">
        <v>160</v>
      </c>
      <c r="B521" s="40" t="s">
        <v>18</v>
      </c>
      <c r="C521" s="40" t="s">
        <v>19</v>
      </c>
      <c r="D521" s="40" t="s">
        <v>20</v>
      </c>
      <c r="E521" s="40" t="s">
        <v>21</v>
      </c>
      <c r="F521" s="40" t="s">
        <v>116</v>
      </c>
      <c r="G521" s="40" t="s">
        <v>117</v>
      </c>
      <c r="H521" s="40" t="s">
        <v>161</v>
      </c>
      <c r="I521" s="40"/>
      <c r="J521" s="40"/>
      <c r="K521" s="40"/>
      <c r="L521" s="40"/>
      <c r="M521" s="40"/>
      <c r="N521" s="40">
        <v>28</v>
      </c>
      <c r="O521" s="40">
        <v>167</v>
      </c>
      <c r="P521" s="40"/>
      <c r="Q521" s="41" t="s">
        <v>137</v>
      </c>
    </row>
    <row r="522" spans="1:17" x14ac:dyDescent="0.25">
      <c r="A522" s="40" t="s">
        <v>160</v>
      </c>
      <c r="B522" s="40" t="s">
        <v>18</v>
      </c>
      <c r="C522" s="40" t="s">
        <v>19</v>
      </c>
      <c r="D522" s="40" t="s">
        <v>20</v>
      </c>
      <c r="E522" s="40" t="s">
        <v>21</v>
      </c>
      <c r="F522" s="40" t="s">
        <v>118</v>
      </c>
      <c r="G522" s="40" t="s">
        <v>119</v>
      </c>
      <c r="H522" s="40" t="s">
        <v>161</v>
      </c>
      <c r="I522" s="40"/>
      <c r="J522" s="40"/>
      <c r="K522" s="40"/>
      <c r="L522" s="40"/>
      <c r="M522" s="40"/>
      <c r="N522" s="40">
        <v>43</v>
      </c>
      <c r="O522" s="40">
        <v>99</v>
      </c>
      <c r="P522" s="40"/>
      <c r="Q522" s="41" t="s">
        <v>137</v>
      </c>
    </row>
    <row r="523" spans="1:17" x14ac:dyDescent="0.25">
      <c r="A523" s="40" t="s">
        <v>160</v>
      </c>
      <c r="B523" s="40" t="s">
        <v>18</v>
      </c>
      <c r="C523" s="40" t="s">
        <v>19</v>
      </c>
      <c r="D523" s="40" t="s">
        <v>20</v>
      </c>
      <c r="E523" s="40" t="s">
        <v>21</v>
      </c>
      <c r="F523" s="40" t="s">
        <v>120</v>
      </c>
      <c r="G523" s="40" t="s">
        <v>121</v>
      </c>
      <c r="H523" s="40" t="s">
        <v>161</v>
      </c>
      <c r="I523" s="40"/>
      <c r="J523" s="40"/>
      <c r="K523" s="40"/>
      <c r="L523" s="40"/>
      <c r="M523" s="40"/>
      <c r="N523" s="40">
        <v>119</v>
      </c>
      <c r="O523" s="40">
        <v>399</v>
      </c>
      <c r="P523" s="40"/>
      <c r="Q523" s="41" t="s">
        <v>137</v>
      </c>
    </row>
    <row r="524" spans="1:17" x14ac:dyDescent="0.25">
      <c r="A524" s="40" t="s">
        <v>162</v>
      </c>
      <c r="B524" s="40" t="s">
        <v>18</v>
      </c>
      <c r="C524" s="40" t="s">
        <v>19</v>
      </c>
      <c r="D524" s="40" t="s">
        <v>20</v>
      </c>
      <c r="E524" s="40" t="s">
        <v>21</v>
      </c>
      <c r="F524" s="40" t="s">
        <v>22</v>
      </c>
      <c r="G524" s="40" t="s">
        <v>23</v>
      </c>
      <c r="H524" s="40" t="s">
        <v>163</v>
      </c>
      <c r="I524" s="40" t="s">
        <v>164</v>
      </c>
      <c r="J524" s="47">
        <v>0</v>
      </c>
      <c r="K524" s="47">
        <v>0</v>
      </c>
      <c r="L524" s="47">
        <v>0</v>
      </c>
      <c r="M524" s="47">
        <v>0</v>
      </c>
      <c r="N524" s="47">
        <v>0</v>
      </c>
      <c r="O524" s="47">
        <v>0</v>
      </c>
      <c r="P524" s="47">
        <v>0</v>
      </c>
      <c r="Q524" s="41" t="s">
        <v>137</v>
      </c>
    </row>
    <row r="525" spans="1:17" x14ac:dyDescent="0.25">
      <c r="A525" s="40" t="s">
        <v>162</v>
      </c>
      <c r="B525" s="40" t="s">
        <v>18</v>
      </c>
      <c r="C525" s="40" t="s">
        <v>19</v>
      </c>
      <c r="D525" s="40" t="s">
        <v>20</v>
      </c>
      <c r="E525" s="40" t="s">
        <v>21</v>
      </c>
      <c r="F525" s="40" t="s">
        <v>35</v>
      </c>
      <c r="G525" s="40" t="s">
        <v>36</v>
      </c>
      <c r="H525" s="40" t="s">
        <v>163</v>
      </c>
      <c r="I525" s="40" t="s">
        <v>164</v>
      </c>
      <c r="J525" s="47">
        <v>0</v>
      </c>
      <c r="K525" s="47">
        <v>0</v>
      </c>
      <c r="L525" s="47">
        <v>0</v>
      </c>
      <c r="M525" s="47">
        <v>0</v>
      </c>
      <c r="N525" s="47">
        <v>0</v>
      </c>
      <c r="O525" s="47">
        <v>0</v>
      </c>
      <c r="P525" s="47">
        <v>0</v>
      </c>
      <c r="Q525" s="41" t="s">
        <v>137</v>
      </c>
    </row>
    <row r="526" spans="1:17" x14ac:dyDescent="0.25">
      <c r="A526" s="40" t="s">
        <v>162</v>
      </c>
      <c r="B526" s="40" t="s">
        <v>18</v>
      </c>
      <c r="C526" s="40" t="s">
        <v>19</v>
      </c>
      <c r="D526" s="40" t="s">
        <v>20</v>
      </c>
      <c r="E526" s="40" t="s">
        <v>21</v>
      </c>
      <c r="F526" s="40" t="s">
        <v>41</v>
      </c>
      <c r="G526" s="40" t="s">
        <v>42</v>
      </c>
      <c r="H526" s="40" t="s">
        <v>163</v>
      </c>
      <c r="I526" s="40" t="s">
        <v>164</v>
      </c>
      <c r="J526" s="47">
        <v>0</v>
      </c>
      <c r="K526" s="47">
        <v>0</v>
      </c>
      <c r="L526" s="47">
        <v>0</v>
      </c>
      <c r="M526" s="47">
        <v>0</v>
      </c>
      <c r="N526" s="47">
        <v>0</v>
      </c>
      <c r="O526" s="47">
        <v>0</v>
      </c>
      <c r="P526" s="47">
        <v>0</v>
      </c>
      <c r="Q526" s="41" t="s">
        <v>137</v>
      </c>
    </row>
    <row r="527" spans="1:17" x14ac:dyDescent="0.25">
      <c r="A527" s="40" t="s">
        <v>162</v>
      </c>
      <c r="B527" s="40" t="s">
        <v>18</v>
      </c>
      <c r="C527" s="40" t="s">
        <v>19</v>
      </c>
      <c r="D527" s="40" t="s">
        <v>20</v>
      </c>
      <c r="E527" s="40" t="s">
        <v>21</v>
      </c>
      <c r="F527" s="40" t="s">
        <v>43</v>
      </c>
      <c r="G527" s="40" t="s">
        <v>44</v>
      </c>
      <c r="H527" s="40" t="s">
        <v>163</v>
      </c>
      <c r="I527" s="40" t="s">
        <v>164</v>
      </c>
      <c r="J527" s="47">
        <v>0</v>
      </c>
      <c r="K527" s="47">
        <v>0</v>
      </c>
      <c r="L527" s="47">
        <v>0</v>
      </c>
      <c r="M527" s="47">
        <v>0</v>
      </c>
      <c r="N527" s="47">
        <v>0</v>
      </c>
      <c r="O527" s="47">
        <v>0</v>
      </c>
      <c r="P527" s="47">
        <v>0</v>
      </c>
      <c r="Q527" s="41" t="s">
        <v>137</v>
      </c>
    </row>
    <row r="528" spans="1:17" x14ac:dyDescent="0.25">
      <c r="A528" s="40" t="s">
        <v>162</v>
      </c>
      <c r="B528" s="40" t="s">
        <v>18</v>
      </c>
      <c r="C528" s="40" t="s">
        <v>19</v>
      </c>
      <c r="D528" s="40" t="s">
        <v>20</v>
      </c>
      <c r="E528" s="40" t="s">
        <v>21</v>
      </c>
      <c r="F528" s="40" t="s">
        <v>47</v>
      </c>
      <c r="G528" s="40" t="s">
        <v>48</v>
      </c>
      <c r="H528" s="40" t="s">
        <v>163</v>
      </c>
      <c r="I528" s="40" t="s">
        <v>164</v>
      </c>
      <c r="J528" s="47">
        <v>0</v>
      </c>
      <c r="K528" s="47">
        <v>0</v>
      </c>
      <c r="L528" s="47">
        <v>0</v>
      </c>
      <c r="M528" s="47">
        <v>0</v>
      </c>
      <c r="N528" s="47">
        <v>0</v>
      </c>
      <c r="O528" s="47">
        <v>0</v>
      </c>
      <c r="P528" s="47">
        <v>0</v>
      </c>
      <c r="Q528" s="41" t="s">
        <v>137</v>
      </c>
    </row>
    <row r="529" spans="1:17" x14ac:dyDescent="0.25">
      <c r="A529" s="40" t="s">
        <v>162</v>
      </c>
      <c r="B529" s="40" t="s">
        <v>18</v>
      </c>
      <c r="C529" s="40" t="s">
        <v>19</v>
      </c>
      <c r="D529" s="40" t="s">
        <v>20</v>
      </c>
      <c r="E529" s="40" t="s">
        <v>21</v>
      </c>
      <c r="F529" s="40" t="s">
        <v>59</v>
      </c>
      <c r="G529" s="40" t="s">
        <v>60</v>
      </c>
      <c r="H529" s="40" t="s">
        <v>163</v>
      </c>
      <c r="I529" s="40" t="s">
        <v>164</v>
      </c>
      <c r="J529" s="47">
        <v>0</v>
      </c>
      <c r="K529" s="47">
        <v>0</v>
      </c>
      <c r="L529" s="47">
        <v>0</v>
      </c>
      <c r="M529" s="47">
        <v>0</v>
      </c>
      <c r="N529" s="47">
        <v>0</v>
      </c>
      <c r="O529" s="47">
        <v>0</v>
      </c>
      <c r="P529" s="47">
        <v>0</v>
      </c>
      <c r="Q529" s="41" t="s">
        <v>137</v>
      </c>
    </row>
    <row r="530" spans="1:17" x14ac:dyDescent="0.25">
      <c r="A530" s="40" t="s">
        <v>162</v>
      </c>
      <c r="B530" s="40" t="s">
        <v>18</v>
      </c>
      <c r="C530" s="40" t="s">
        <v>19</v>
      </c>
      <c r="D530" s="40" t="s">
        <v>20</v>
      </c>
      <c r="E530" s="40" t="s">
        <v>21</v>
      </c>
      <c r="F530" s="40" t="s">
        <v>61</v>
      </c>
      <c r="G530" s="40" t="s">
        <v>62</v>
      </c>
      <c r="H530" s="40" t="s">
        <v>163</v>
      </c>
      <c r="I530" s="40" t="s">
        <v>164</v>
      </c>
      <c r="J530" s="47">
        <v>0</v>
      </c>
      <c r="K530" s="47">
        <v>0</v>
      </c>
      <c r="L530" s="47">
        <v>0</v>
      </c>
      <c r="M530" s="47">
        <v>0</v>
      </c>
      <c r="N530" s="47">
        <v>0</v>
      </c>
      <c r="O530" s="47">
        <v>0</v>
      </c>
      <c r="P530" s="47">
        <v>0</v>
      </c>
      <c r="Q530" s="41" t="s">
        <v>137</v>
      </c>
    </row>
    <row r="531" spans="1:17" x14ac:dyDescent="0.25">
      <c r="A531" s="40" t="s">
        <v>162</v>
      </c>
      <c r="B531" s="40" t="s">
        <v>18</v>
      </c>
      <c r="C531" s="40" t="s">
        <v>19</v>
      </c>
      <c r="D531" s="40" t="s">
        <v>20</v>
      </c>
      <c r="E531" s="40" t="s">
        <v>21</v>
      </c>
      <c r="F531" s="40" t="s">
        <v>65</v>
      </c>
      <c r="G531" s="40" t="s">
        <v>66</v>
      </c>
      <c r="H531" s="40" t="s">
        <v>163</v>
      </c>
      <c r="I531" s="40" t="s">
        <v>164</v>
      </c>
      <c r="J531" s="47">
        <v>0</v>
      </c>
      <c r="K531" s="47">
        <v>0</v>
      </c>
      <c r="L531" s="47">
        <v>0</v>
      </c>
      <c r="M531" s="47">
        <v>0</v>
      </c>
      <c r="N531" s="47">
        <v>0</v>
      </c>
      <c r="O531" s="47">
        <v>0</v>
      </c>
      <c r="P531" s="47">
        <v>0</v>
      </c>
      <c r="Q531" s="41" t="s">
        <v>137</v>
      </c>
    </row>
    <row r="532" spans="1:17" x14ac:dyDescent="0.25">
      <c r="A532" s="40" t="s">
        <v>162</v>
      </c>
      <c r="B532" s="40" t="s">
        <v>18</v>
      </c>
      <c r="C532" s="40" t="s">
        <v>19</v>
      </c>
      <c r="D532" s="40" t="s">
        <v>20</v>
      </c>
      <c r="E532" s="40" t="s">
        <v>21</v>
      </c>
      <c r="F532" s="40" t="s">
        <v>73</v>
      </c>
      <c r="G532" s="40" t="s">
        <v>74</v>
      </c>
      <c r="H532" s="40" t="s">
        <v>163</v>
      </c>
      <c r="I532" s="40" t="s">
        <v>164</v>
      </c>
      <c r="J532" s="47">
        <v>0</v>
      </c>
      <c r="K532" s="47">
        <v>0</v>
      </c>
      <c r="L532" s="47">
        <v>0</v>
      </c>
      <c r="M532" s="47">
        <v>0</v>
      </c>
      <c r="N532" s="47">
        <v>0</v>
      </c>
      <c r="O532" s="47">
        <v>0</v>
      </c>
      <c r="P532" s="47">
        <v>0</v>
      </c>
      <c r="Q532" s="41" t="s">
        <v>137</v>
      </c>
    </row>
    <row r="533" spans="1:17" x14ac:dyDescent="0.25">
      <c r="A533" s="40" t="s">
        <v>162</v>
      </c>
      <c r="B533" s="40" t="s">
        <v>18</v>
      </c>
      <c r="C533" s="40" t="s">
        <v>19</v>
      </c>
      <c r="D533" s="40" t="s">
        <v>20</v>
      </c>
      <c r="E533" s="40" t="s">
        <v>21</v>
      </c>
      <c r="F533" s="40" t="s">
        <v>75</v>
      </c>
      <c r="G533" s="40" t="s">
        <v>76</v>
      </c>
      <c r="H533" s="40" t="s">
        <v>163</v>
      </c>
      <c r="I533" s="40" t="s">
        <v>164</v>
      </c>
      <c r="J533" s="47">
        <v>0</v>
      </c>
      <c r="K533" s="47">
        <v>0</v>
      </c>
      <c r="L533" s="47">
        <v>0</v>
      </c>
      <c r="M533" s="47">
        <v>0</v>
      </c>
      <c r="N533" s="47">
        <v>0</v>
      </c>
      <c r="O533" s="47">
        <v>0</v>
      </c>
      <c r="P533" s="47">
        <v>0</v>
      </c>
      <c r="Q533" s="41" t="s">
        <v>137</v>
      </c>
    </row>
    <row r="534" spans="1:17" x14ac:dyDescent="0.25">
      <c r="A534" s="40" t="s">
        <v>162</v>
      </c>
      <c r="B534" s="40" t="s">
        <v>18</v>
      </c>
      <c r="C534" s="40" t="s">
        <v>19</v>
      </c>
      <c r="D534" s="40" t="s">
        <v>20</v>
      </c>
      <c r="E534" s="40" t="s">
        <v>21</v>
      </c>
      <c r="F534" s="40" t="s">
        <v>85</v>
      </c>
      <c r="G534" s="40" t="s">
        <v>86</v>
      </c>
      <c r="H534" s="40" t="s">
        <v>163</v>
      </c>
      <c r="I534" s="40" t="s">
        <v>164</v>
      </c>
      <c r="J534" s="47">
        <v>0</v>
      </c>
      <c r="K534" s="47">
        <v>0</v>
      </c>
      <c r="L534" s="47">
        <v>0</v>
      </c>
      <c r="M534" s="47">
        <v>0</v>
      </c>
      <c r="N534" s="47">
        <v>0</v>
      </c>
      <c r="O534" s="47">
        <v>0</v>
      </c>
      <c r="P534" s="47">
        <v>0</v>
      </c>
      <c r="Q534" s="41" t="s">
        <v>137</v>
      </c>
    </row>
    <row r="535" spans="1:17" x14ac:dyDescent="0.25">
      <c r="A535" s="40" t="s">
        <v>162</v>
      </c>
      <c r="B535" s="40" t="s">
        <v>18</v>
      </c>
      <c r="C535" s="40" t="s">
        <v>19</v>
      </c>
      <c r="D535" s="40" t="s">
        <v>20</v>
      </c>
      <c r="E535" s="40" t="s">
        <v>21</v>
      </c>
      <c r="F535" s="40" t="s">
        <v>101</v>
      </c>
      <c r="G535" s="40" t="s">
        <v>21</v>
      </c>
      <c r="H535" s="40" t="s">
        <v>163</v>
      </c>
      <c r="I535" s="40" t="s">
        <v>164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  <c r="Q535" s="41" t="s">
        <v>137</v>
      </c>
    </row>
    <row r="536" spans="1:17" x14ac:dyDescent="0.25">
      <c r="A536" s="40" t="s">
        <v>162</v>
      </c>
      <c r="B536" s="40" t="s">
        <v>18</v>
      </c>
      <c r="C536" s="40" t="s">
        <v>19</v>
      </c>
      <c r="D536" s="40" t="s">
        <v>20</v>
      </c>
      <c r="E536" s="40" t="s">
        <v>21</v>
      </c>
      <c r="F536" s="40" t="s">
        <v>104</v>
      </c>
      <c r="G536" s="40" t="s">
        <v>105</v>
      </c>
      <c r="H536" s="40" t="s">
        <v>163</v>
      </c>
      <c r="I536" s="40" t="s">
        <v>164</v>
      </c>
      <c r="J536" s="47">
        <v>0</v>
      </c>
      <c r="K536" s="47">
        <v>0</v>
      </c>
      <c r="L536" s="47">
        <v>0</v>
      </c>
      <c r="M536" s="47">
        <v>0</v>
      </c>
      <c r="N536" s="47">
        <v>0</v>
      </c>
      <c r="O536" s="47">
        <v>0</v>
      </c>
      <c r="P536" s="47">
        <v>0</v>
      </c>
      <c r="Q536" s="41" t="s">
        <v>137</v>
      </c>
    </row>
    <row r="537" spans="1:17" x14ac:dyDescent="0.25">
      <c r="A537" s="40" t="s">
        <v>162</v>
      </c>
      <c r="B537" s="40" t="s">
        <v>18</v>
      </c>
      <c r="C537" s="40" t="s">
        <v>19</v>
      </c>
      <c r="D537" s="40" t="s">
        <v>20</v>
      </c>
      <c r="E537" s="40" t="s">
        <v>21</v>
      </c>
      <c r="F537" s="40" t="s">
        <v>112</v>
      </c>
      <c r="G537" s="40" t="s">
        <v>113</v>
      </c>
      <c r="H537" s="40" t="s">
        <v>163</v>
      </c>
      <c r="I537" s="40" t="s">
        <v>164</v>
      </c>
      <c r="J537" s="47">
        <v>0</v>
      </c>
      <c r="K537" s="47">
        <v>0</v>
      </c>
      <c r="L537" s="47">
        <v>0</v>
      </c>
      <c r="M537" s="47">
        <v>0</v>
      </c>
      <c r="N537" s="47">
        <v>0</v>
      </c>
      <c r="O537" s="47">
        <v>0</v>
      </c>
      <c r="P537" s="47">
        <v>0</v>
      </c>
      <c r="Q537" s="41" t="s">
        <v>137</v>
      </c>
    </row>
    <row r="538" spans="1:17" x14ac:dyDescent="0.25">
      <c r="A538" s="40" t="s">
        <v>162</v>
      </c>
      <c r="B538" s="40" t="s">
        <v>18</v>
      </c>
      <c r="C538" s="40" t="s">
        <v>19</v>
      </c>
      <c r="D538" s="40" t="s">
        <v>20</v>
      </c>
      <c r="E538" s="40" t="s">
        <v>21</v>
      </c>
      <c r="F538" s="40" t="s">
        <v>114</v>
      </c>
      <c r="G538" s="40" t="s">
        <v>115</v>
      </c>
      <c r="H538" s="40" t="s">
        <v>163</v>
      </c>
      <c r="I538" s="40" t="s">
        <v>164</v>
      </c>
      <c r="J538" s="47">
        <v>0</v>
      </c>
      <c r="K538" s="47">
        <v>0</v>
      </c>
      <c r="L538" s="47">
        <v>0</v>
      </c>
      <c r="M538" s="47">
        <v>0</v>
      </c>
      <c r="N538" s="47">
        <v>0</v>
      </c>
      <c r="O538" s="47">
        <v>0</v>
      </c>
      <c r="P538" s="47">
        <v>0</v>
      </c>
      <c r="Q538" s="41" t="s">
        <v>137</v>
      </c>
    </row>
    <row r="539" spans="1:17" x14ac:dyDescent="0.25">
      <c r="A539" s="40" t="s">
        <v>162</v>
      </c>
      <c r="B539" s="40" t="s">
        <v>18</v>
      </c>
      <c r="C539" s="40" t="s">
        <v>19</v>
      </c>
      <c r="D539" s="40" t="s">
        <v>20</v>
      </c>
      <c r="E539" s="40" t="s">
        <v>21</v>
      </c>
      <c r="F539" s="40" t="s">
        <v>116</v>
      </c>
      <c r="G539" s="40" t="s">
        <v>117</v>
      </c>
      <c r="H539" s="40" t="s">
        <v>163</v>
      </c>
      <c r="I539" s="40" t="s">
        <v>164</v>
      </c>
      <c r="J539" s="47">
        <v>0</v>
      </c>
      <c r="K539" s="47">
        <v>0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  <c r="Q539" s="41" t="s">
        <v>137</v>
      </c>
    </row>
    <row r="540" spans="1:17" x14ac:dyDescent="0.25">
      <c r="A540" s="40" t="s">
        <v>162</v>
      </c>
      <c r="B540" s="40" t="s">
        <v>18</v>
      </c>
      <c r="C540" s="40" t="s">
        <v>19</v>
      </c>
      <c r="D540" s="40" t="s">
        <v>20</v>
      </c>
      <c r="E540" s="40" t="s">
        <v>21</v>
      </c>
      <c r="F540" s="40" t="s">
        <v>118</v>
      </c>
      <c r="G540" s="40" t="s">
        <v>119</v>
      </c>
      <c r="H540" s="40" t="s">
        <v>163</v>
      </c>
      <c r="I540" s="40" t="s">
        <v>164</v>
      </c>
      <c r="J540" s="47">
        <v>0</v>
      </c>
      <c r="K540" s="47">
        <v>0</v>
      </c>
      <c r="L540" s="47">
        <v>0</v>
      </c>
      <c r="M540" s="47">
        <v>0</v>
      </c>
      <c r="N540" s="47">
        <v>0</v>
      </c>
      <c r="O540" s="47">
        <v>0</v>
      </c>
      <c r="P540" s="47">
        <v>0</v>
      </c>
      <c r="Q540" s="41" t="s">
        <v>137</v>
      </c>
    </row>
    <row r="541" spans="1:17" x14ac:dyDescent="0.25">
      <c r="A541" s="40" t="s">
        <v>162</v>
      </c>
      <c r="B541" s="40" t="s">
        <v>18</v>
      </c>
      <c r="C541" s="40" t="s">
        <v>19</v>
      </c>
      <c r="D541" s="40" t="s">
        <v>20</v>
      </c>
      <c r="E541" s="40" t="s">
        <v>21</v>
      </c>
      <c r="F541" s="40" t="s">
        <v>120</v>
      </c>
      <c r="G541" s="40" t="s">
        <v>121</v>
      </c>
      <c r="H541" s="40" t="s">
        <v>163</v>
      </c>
      <c r="I541" s="40" t="s">
        <v>164</v>
      </c>
      <c r="J541" s="47">
        <v>0</v>
      </c>
      <c r="K541" s="47">
        <v>0</v>
      </c>
      <c r="L541" s="47">
        <v>0</v>
      </c>
      <c r="M541" s="47">
        <v>0</v>
      </c>
      <c r="N541" s="47">
        <v>0</v>
      </c>
      <c r="O541" s="47">
        <v>0</v>
      </c>
      <c r="P541" s="47">
        <v>0</v>
      </c>
      <c r="Q541" s="41" t="s">
        <v>137</v>
      </c>
    </row>
    <row r="542" spans="1:17" x14ac:dyDescent="0.25">
      <c r="A542" s="40" t="s">
        <v>162</v>
      </c>
      <c r="B542" s="40" t="s">
        <v>18</v>
      </c>
      <c r="C542" s="40" t="s">
        <v>19</v>
      </c>
      <c r="D542" s="40" t="s">
        <v>20</v>
      </c>
      <c r="E542" s="40" t="s">
        <v>21</v>
      </c>
      <c r="F542" s="40" t="s">
        <v>22</v>
      </c>
      <c r="G542" s="40" t="s">
        <v>23</v>
      </c>
      <c r="H542" s="40" t="s">
        <v>163</v>
      </c>
      <c r="I542" s="40" t="s">
        <v>165</v>
      </c>
      <c r="J542" s="47">
        <v>0</v>
      </c>
      <c r="K542" s="47">
        <v>0</v>
      </c>
      <c r="L542" s="47">
        <v>0</v>
      </c>
      <c r="M542" s="47">
        <v>0</v>
      </c>
      <c r="N542" s="47">
        <v>0</v>
      </c>
      <c r="O542" s="47">
        <v>0</v>
      </c>
      <c r="P542" s="47">
        <v>0</v>
      </c>
      <c r="Q542" s="41" t="s">
        <v>137</v>
      </c>
    </row>
    <row r="543" spans="1:17" x14ac:dyDescent="0.25">
      <c r="A543" s="40" t="s">
        <v>162</v>
      </c>
      <c r="B543" s="40" t="s">
        <v>18</v>
      </c>
      <c r="C543" s="40" t="s">
        <v>19</v>
      </c>
      <c r="D543" s="40" t="s">
        <v>20</v>
      </c>
      <c r="E543" s="40" t="s">
        <v>21</v>
      </c>
      <c r="F543" s="40" t="s">
        <v>35</v>
      </c>
      <c r="G543" s="40" t="s">
        <v>36</v>
      </c>
      <c r="H543" s="40" t="s">
        <v>163</v>
      </c>
      <c r="I543" s="40" t="s">
        <v>165</v>
      </c>
      <c r="J543" s="47">
        <v>0</v>
      </c>
      <c r="K543" s="47">
        <v>0</v>
      </c>
      <c r="L543" s="47">
        <v>0</v>
      </c>
      <c r="M543" s="47">
        <v>0</v>
      </c>
      <c r="N543" s="47">
        <v>0</v>
      </c>
      <c r="O543" s="47">
        <v>0</v>
      </c>
      <c r="P543" s="47">
        <v>0</v>
      </c>
      <c r="Q543" s="41" t="s">
        <v>137</v>
      </c>
    </row>
    <row r="544" spans="1:17" x14ac:dyDescent="0.25">
      <c r="A544" s="40" t="s">
        <v>162</v>
      </c>
      <c r="B544" s="40" t="s">
        <v>18</v>
      </c>
      <c r="C544" s="40" t="s">
        <v>19</v>
      </c>
      <c r="D544" s="40" t="s">
        <v>20</v>
      </c>
      <c r="E544" s="40" t="s">
        <v>21</v>
      </c>
      <c r="F544" s="40" t="s">
        <v>41</v>
      </c>
      <c r="G544" s="40" t="s">
        <v>42</v>
      </c>
      <c r="H544" s="40" t="s">
        <v>163</v>
      </c>
      <c r="I544" s="40" t="s">
        <v>165</v>
      </c>
      <c r="J544" s="47">
        <v>0</v>
      </c>
      <c r="K544" s="47">
        <v>0</v>
      </c>
      <c r="L544" s="47">
        <v>0</v>
      </c>
      <c r="M544" s="47">
        <v>0</v>
      </c>
      <c r="N544" s="47">
        <v>0</v>
      </c>
      <c r="O544" s="47">
        <v>0</v>
      </c>
      <c r="P544" s="47">
        <v>0</v>
      </c>
      <c r="Q544" s="41" t="s">
        <v>137</v>
      </c>
    </row>
    <row r="545" spans="1:17" x14ac:dyDescent="0.25">
      <c r="A545" s="40" t="s">
        <v>162</v>
      </c>
      <c r="B545" s="40" t="s">
        <v>18</v>
      </c>
      <c r="C545" s="40" t="s">
        <v>19</v>
      </c>
      <c r="D545" s="40" t="s">
        <v>20</v>
      </c>
      <c r="E545" s="40" t="s">
        <v>21</v>
      </c>
      <c r="F545" s="40" t="s">
        <v>43</v>
      </c>
      <c r="G545" s="40" t="s">
        <v>44</v>
      </c>
      <c r="H545" s="40" t="s">
        <v>163</v>
      </c>
      <c r="I545" s="40" t="s">
        <v>165</v>
      </c>
      <c r="J545" s="47">
        <v>0</v>
      </c>
      <c r="K545" s="47">
        <v>0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  <c r="Q545" s="41" t="s">
        <v>137</v>
      </c>
    </row>
    <row r="546" spans="1:17" x14ac:dyDescent="0.25">
      <c r="A546" s="40" t="s">
        <v>162</v>
      </c>
      <c r="B546" s="40" t="s">
        <v>18</v>
      </c>
      <c r="C546" s="40" t="s">
        <v>19</v>
      </c>
      <c r="D546" s="40" t="s">
        <v>20</v>
      </c>
      <c r="E546" s="40" t="s">
        <v>21</v>
      </c>
      <c r="F546" s="40" t="s">
        <v>47</v>
      </c>
      <c r="G546" s="40" t="s">
        <v>48</v>
      </c>
      <c r="H546" s="40" t="s">
        <v>163</v>
      </c>
      <c r="I546" s="40" t="s">
        <v>165</v>
      </c>
      <c r="J546" s="47">
        <v>0</v>
      </c>
      <c r="K546" s="47">
        <v>0</v>
      </c>
      <c r="L546" s="47">
        <v>0</v>
      </c>
      <c r="M546" s="47">
        <v>0</v>
      </c>
      <c r="N546" s="47">
        <v>0</v>
      </c>
      <c r="O546" s="47">
        <v>0</v>
      </c>
      <c r="P546" s="47">
        <v>0</v>
      </c>
      <c r="Q546" s="41" t="s">
        <v>137</v>
      </c>
    </row>
    <row r="547" spans="1:17" x14ac:dyDescent="0.25">
      <c r="A547" s="40" t="s">
        <v>162</v>
      </c>
      <c r="B547" s="40" t="s">
        <v>18</v>
      </c>
      <c r="C547" s="40" t="s">
        <v>19</v>
      </c>
      <c r="D547" s="40" t="s">
        <v>20</v>
      </c>
      <c r="E547" s="40" t="s">
        <v>21</v>
      </c>
      <c r="F547" s="40" t="s">
        <v>59</v>
      </c>
      <c r="G547" s="40" t="s">
        <v>60</v>
      </c>
      <c r="H547" s="40" t="s">
        <v>163</v>
      </c>
      <c r="I547" s="40" t="s">
        <v>165</v>
      </c>
      <c r="J547" s="47">
        <v>0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  <c r="Q547" s="41" t="s">
        <v>137</v>
      </c>
    </row>
    <row r="548" spans="1:17" x14ac:dyDescent="0.25">
      <c r="A548" s="40" t="s">
        <v>162</v>
      </c>
      <c r="B548" s="40" t="s">
        <v>18</v>
      </c>
      <c r="C548" s="40" t="s">
        <v>19</v>
      </c>
      <c r="D548" s="40" t="s">
        <v>20</v>
      </c>
      <c r="E548" s="40" t="s">
        <v>21</v>
      </c>
      <c r="F548" s="40" t="s">
        <v>61</v>
      </c>
      <c r="G548" s="40" t="s">
        <v>62</v>
      </c>
      <c r="H548" s="40" t="s">
        <v>163</v>
      </c>
      <c r="I548" s="40" t="s">
        <v>165</v>
      </c>
      <c r="J548" s="47">
        <v>0</v>
      </c>
      <c r="K548" s="47">
        <v>0</v>
      </c>
      <c r="L548" s="47">
        <v>0</v>
      </c>
      <c r="M548" s="47">
        <v>0</v>
      </c>
      <c r="N548" s="47">
        <v>0</v>
      </c>
      <c r="O548" s="47">
        <v>0</v>
      </c>
      <c r="P548" s="47">
        <v>0</v>
      </c>
      <c r="Q548" s="41" t="s">
        <v>137</v>
      </c>
    </row>
    <row r="549" spans="1:17" x14ac:dyDescent="0.25">
      <c r="A549" s="40" t="s">
        <v>162</v>
      </c>
      <c r="B549" s="40" t="s">
        <v>18</v>
      </c>
      <c r="C549" s="40" t="s">
        <v>19</v>
      </c>
      <c r="D549" s="40" t="s">
        <v>20</v>
      </c>
      <c r="E549" s="40" t="s">
        <v>21</v>
      </c>
      <c r="F549" s="40" t="s">
        <v>65</v>
      </c>
      <c r="G549" s="40" t="s">
        <v>66</v>
      </c>
      <c r="H549" s="40" t="s">
        <v>163</v>
      </c>
      <c r="I549" s="40" t="s">
        <v>165</v>
      </c>
      <c r="J549" s="47">
        <v>0</v>
      </c>
      <c r="K549" s="47">
        <v>0</v>
      </c>
      <c r="L549" s="47">
        <v>0</v>
      </c>
      <c r="M549" s="47">
        <v>0</v>
      </c>
      <c r="N549" s="47">
        <v>0</v>
      </c>
      <c r="O549" s="47">
        <v>0</v>
      </c>
      <c r="P549" s="47">
        <v>0</v>
      </c>
      <c r="Q549" s="41" t="s">
        <v>137</v>
      </c>
    </row>
    <row r="550" spans="1:17" x14ac:dyDescent="0.25">
      <c r="A550" s="40" t="s">
        <v>162</v>
      </c>
      <c r="B550" s="40" t="s">
        <v>18</v>
      </c>
      <c r="C550" s="40" t="s">
        <v>19</v>
      </c>
      <c r="D550" s="40" t="s">
        <v>20</v>
      </c>
      <c r="E550" s="40" t="s">
        <v>21</v>
      </c>
      <c r="F550" s="40" t="s">
        <v>73</v>
      </c>
      <c r="G550" s="40" t="s">
        <v>74</v>
      </c>
      <c r="H550" s="40" t="s">
        <v>163</v>
      </c>
      <c r="I550" s="40" t="s">
        <v>165</v>
      </c>
      <c r="J550" s="47">
        <v>0</v>
      </c>
      <c r="K550" s="47">
        <v>0</v>
      </c>
      <c r="L550" s="47">
        <v>0</v>
      </c>
      <c r="M550" s="47">
        <v>0</v>
      </c>
      <c r="N550" s="47">
        <v>0</v>
      </c>
      <c r="O550" s="47">
        <v>0</v>
      </c>
      <c r="P550" s="47">
        <v>0</v>
      </c>
      <c r="Q550" s="41" t="s">
        <v>137</v>
      </c>
    </row>
    <row r="551" spans="1:17" x14ac:dyDescent="0.25">
      <c r="A551" s="40" t="s">
        <v>162</v>
      </c>
      <c r="B551" s="40" t="s">
        <v>18</v>
      </c>
      <c r="C551" s="40" t="s">
        <v>19</v>
      </c>
      <c r="D551" s="40" t="s">
        <v>20</v>
      </c>
      <c r="E551" s="40" t="s">
        <v>21</v>
      </c>
      <c r="F551" s="40" t="s">
        <v>75</v>
      </c>
      <c r="G551" s="40" t="s">
        <v>76</v>
      </c>
      <c r="H551" s="40" t="s">
        <v>163</v>
      </c>
      <c r="I551" s="40" t="s">
        <v>165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  <c r="Q551" s="41" t="s">
        <v>137</v>
      </c>
    </row>
    <row r="552" spans="1:17" x14ac:dyDescent="0.25">
      <c r="A552" s="40" t="s">
        <v>162</v>
      </c>
      <c r="B552" s="40" t="s">
        <v>18</v>
      </c>
      <c r="C552" s="40" t="s">
        <v>19</v>
      </c>
      <c r="D552" s="40" t="s">
        <v>20</v>
      </c>
      <c r="E552" s="40" t="s">
        <v>21</v>
      </c>
      <c r="F552" s="40" t="s">
        <v>85</v>
      </c>
      <c r="G552" s="40" t="s">
        <v>86</v>
      </c>
      <c r="H552" s="40" t="s">
        <v>163</v>
      </c>
      <c r="I552" s="40" t="s">
        <v>165</v>
      </c>
      <c r="J552" s="47">
        <v>0</v>
      </c>
      <c r="K552" s="47">
        <v>0</v>
      </c>
      <c r="L552" s="47">
        <v>0</v>
      </c>
      <c r="M552" s="47">
        <v>0</v>
      </c>
      <c r="N552" s="47">
        <v>0</v>
      </c>
      <c r="O552" s="47">
        <v>0</v>
      </c>
      <c r="P552" s="47">
        <v>0</v>
      </c>
      <c r="Q552" s="41" t="s">
        <v>137</v>
      </c>
    </row>
    <row r="553" spans="1:17" x14ac:dyDescent="0.25">
      <c r="A553" s="40" t="s">
        <v>162</v>
      </c>
      <c r="B553" s="40" t="s">
        <v>18</v>
      </c>
      <c r="C553" s="40" t="s">
        <v>19</v>
      </c>
      <c r="D553" s="40" t="s">
        <v>20</v>
      </c>
      <c r="E553" s="40" t="s">
        <v>21</v>
      </c>
      <c r="F553" s="40" t="s">
        <v>101</v>
      </c>
      <c r="G553" s="40" t="s">
        <v>21</v>
      </c>
      <c r="H553" s="40" t="s">
        <v>163</v>
      </c>
      <c r="I553" s="40" t="s">
        <v>165</v>
      </c>
      <c r="J553" s="47">
        <v>28.670999999999999</v>
      </c>
      <c r="K553" s="47">
        <v>28.577999999999999</v>
      </c>
      <c r="L553" s="47">
        <v>126.084</v>
      </c>
      <c r="M553" s="47">
        <v>2529.4369999999999</v>
      </c>
      <c r="N553" s="47">
        <v>1019.591</v>
      </c>
      <c r="O553" s="47">
        <v>1135.8119999999999</v>
      </c>
      <c r="P553" s="47">
        <v>0</v>
      </c>
      <c r="Q553" s="41" t="s">
        <v>137</v>
      </c>
    </row>
    <row r="554" spans="1:17" x14ac:dyDescent="0.25">
      <c r="A554" s="40" t="s">
        <v>162</v>
      </c>
      <c r="B554" s="40" t="s">
        <v>18</v>
      </c>
      <c r="C554" s="40" t="s">
        <v>19</v>
      </c>
      <c r="D554" s="40" t="s">
        <v>20</v>
      </c>
      <c r="E554" s="40" t="s">
        <v>21</v>
      </c>
      <c r="F554" s="40" t="s">
        <v>104</v>
      </c>
      <c r="G554" s="40" t="s">
        <v>105</v>
      </c>
      <c r="H554" s="40" t="s">
        <v>163</v>
      </c>
      <c r="I554" s="40" t="s">
        <v>165</v>
      </c>
      <c r="J554" s="47">
        <v>0</v>
      </c>
      <c r="K554" s="47">
        <v>0</v>
      </c>
      <c r="L554" s="47">
        <v>0</v>
      </c>
      <c r="M554" s="47">
        <v>0</v>
      </c>
      <c r="N554" s="47">
        <v>0</v>
      </c>
      <c r="O554" s="47">
        <v>0</v>
      </c>
      <c r="P554" s="47">
        <v>0</v>
      </c>
      <c r="Q554" s="41" t="s">
        <v>137</v>
      </c>
    </row>
    <row r="555" spans="1:17" x14ac:dyDescent="0.25">
      <c r="A555" s="40" t="s">
        <v>162</v>
      </c>
      <c r="B555" s="40" t="s">
        <v>18</v>
      </c>
      <c r="C555" s="40" t="s">
        <v>19</v>
      </c>
      <c r="D555" s="40" t="s">
        <v>20</v>
      </c>
      <c r="E555" s="40" t="s">
        <v>21</v>
      </c>
      <c r="F555" s="40" t="s">
        <v>112</v>
      </c>
      <c r="G555" s="40" t="s">
        <v>113</v>
      </c>
      <c r="H555" s="40" t="s">
        <v>163</v>
      </c>
      <c r="I555" s="40" t="s">
        <v>165</v>
      </c>
      <c r="J555" s="47">
        <v>0</v>
      </c>
      <c r="K555" s="47">
        <v>0</v>
      </c>
      <c r="L555" s="47">
        <v>0</v>
      </c>
      <c r="M555" s="47">
        <v>0</v>
      </c>
      <c r="N555" s="47">
        <v>0</v>
      </c>
      <c r="O555" s="47">
        <v>0</v>
      </c>
      <c r="P555" s="47">
        <v>0</v>
      </c>
      <c r="Q555" s="41" t="s">
        <v>137</v>
      </c>
    </row>
    <row r="556" spans="1:17" x14ac:dyDescent="0.25">
      <c r="A556" s="40" t="s">
        <v>162</v>
      </c>
      <c r="B556" s="40" t="s">
        <v>18</v>
      </c>
      <c r="C556" s="40" t="s">
        <v>19</v>
      </c>
      <c r="D556" s="40" t="s">
        <v>20</v>
      </c>
      <c r="E556" s="40" t="s">
        <v>21</v>
      </c>
      <c r="F556" s="40" t="s">
        <v>114</v>
      </c>
      <c r="G556" s="40" t="s">
        <v>115</v>
      </c>
      <c r="H556" s="40" t="s">
        <v>163</v>
      </c>
      <c r="I556" s="40" t="s">
        <v>165</v>
      </c>
      <c r="J556" s="47">
        <v>0</v>
      </c>
      <c r="K556" s="47">
        <v>0</v>
      </c>
      <c r="L556" s="47">
        <v>0</v>
      </c>
      <c r="M556" s="47">
        <v>0</v>
      </c>
      <c r="N556" s="47">
        <v>0</v>
      </c>
      <c r="O556" s="47">
        <v>0</v>
      </c>
      <c r="P556" s="47">
        <v>0</v>
      </c>
      <c r="Q556" s="41" t="s">
        <v>137</v>
      </c>
    </row>
    <row r="557" spans="1:17" x14ac:dyDescent="0.25">
      <c r="A557" s="40" t="s">
        <v>162</v>
      </c>
      <c r="B557" s="40" t="s">
        <v>18</v>
      </c>
      <c r="C557" s="40" t="s">
        <v>19</v>
      </c>
      <c r="D557" s="40" t="s">
        <v>20</v>
      </c>
      <c r="E557" s="40" t="s">
        <v>21</v>
      </c>
      <c r="F557" s="40" t="s">
        <v>116</v>
      </c>
      <c r="G557" s="40" t="s">
        <v>117</v>
      </c>
      <c r="H557" s="40" t="s">
        <v>163</v>
      </c>
      <c r="I557" s="40" t="s">
        <v>165</v>
      </c>
      <c r="J557" s="47">
        <v>0</v>
      </c>
      <c r="K557" s="47">
        <v>0</v>
      </c>
      <c r="L557" s="47">
        <v>0</v>
      </c>
      <c r="M557" s="47">
        <v>0</v>
      </c>
      <c r="N557" s="47">
        <v>0</v>
      </c>
      <c r="O557" s="47">
        <v>0</v>
      </c>
      <c r="P557" s="47">
        <v>0</v>
      </c>
      <c r="Q557" s="41" t="s">
        <v>137</v>
      </c>
    </row>
    <row r="558" spans="1:17" x14ac:dyDescent="0.25">
      <c r="A558" s="40" t="s">
        <v>162</v>
      </c>
      <c r="B558" s="40" t="s">
        <v>18</v>
      </c>
      <c r="C558" s="40" t="s">
        <v>19</v>
      </c>
      <c r="D558" s="40" t="s">
        <v>20</v>
      </c>
      <c r="E558" s="40" t="s">
        <v>21</v>
      </c>
      <c r="F558" s="40" t="s">
        <v>118</v>
      </c>
      <c r="G558" s="40" t="s">
        <v>119</v>
      </c>
      <c r="H558" s="40" t="s">
        <v>163</v>
      </c>
      <c r="I558" s="40" t="s">
        <v>165</v>
      </c>
      <c r="J558" s="47">
        <v>0</v>
      </c>
      <c r="K558" s="47">
        <v>0</v>
      </c>
      <c r="L558" s="47">
        <v>0</v>
      </c>
      <c r="M558" s="47">
        <v>0</v>
      </c>
      <c r="N558" s="47">
        <v>0</v>
      </c>
      <c r="O558" s="47">
        <v>0</v>
      </c>
      <c r="P558" s="47">
        <v>0</v>
      </c>
      <c r="Q558" s="41" t="s">
        <v>137</v>
      </c>
    </row>
    <row r="559" spans="1:17" x14ac:dyDescent="0.25">
      <c r="A559" s="40" t="s">
        <v>162</v>
      </c>
      <c r="B559" s="40" t="s">
        <v>18</v>
      </c>
      <c r="C559" s="40" t="s">
        <v>19</v>
      </c>
      <c r="D559" s="40" t="s">
        <v>20</v>
      </c>
      <c r="E559" s="40" t="s">
        <v>21</v>
      </c>
      <c r="F559" s="40" t="s">
        <v>120</v>
      </c>
      <c r="G559" s="40" t="s">
        <v>121</v>
      </c>
      <c r="H559" s="40" t="s">
        <v>163</v>
      </c>
      <c r="I559" s="40" t="s">
        <v>165</v>
      </c>
      <c r="J559" s="47">
        <v>0</v>
      </c>
      <c r="K559" s="47">
        <v>0</v>
      </c>
      <c r="L559" s="47">
        <v>0</v>
      </c>
      <c r="M559" s="47">
        <v>0</v>
      </c>
      <c r="N559" s="47">
        <v>0</v>
      </c>
      <c r="O559" s="47">
        <v>0</v>
      </c>
      <c r="P559" s="47">
        <v>0</v>
      </c>
      <c r="Q559" s="41" t="s">
        <v>137</v>
      </c>
    </row>
    <row r="560" spans="1:17" x14ac:dyDescent="0.25">
      <c r="A560" s="40" t="s">
        <v>162</v>
      </c>
      <c r="B560" s="40" t="s">
        <v>18</v>
      </c>
      <c r="C560" s="40" t="s">
        <v>19</v>
      </c>
      <c r="D560" s="40" t="s">
        <v>20</v>
      </c>
      <c r="E560" s="40" t="s">
        <v>21</v>
      </c>
      <c r="F560" s="40" t="s">
        <v>22</v>
      </c>
      <c r="G560" s="40" t="s">
        <v>23</v>
      </c>
      <c r="H560" s="40" t="s">
        <v>163</v>
      </c>
      <c r="I560" s="40" t="s">
        <v>166</v>
      </c>
      <c r="J560" s="47">
        <v>0</v>
      </c>
      <c r="K560" s="47">
        <v>0</v>
      </c>
      <c r="L560" s="47">
        <v>0</v>
      </c>
      <c r="M560" s="47">
        <v>0</v>
      </c>
      <c r="N560" s="47">
        <v>0</v>
      </c>
      <c r="O560" s="47">
        <v>0</v>
      </c>
      <c r="P560" s="47">
        <v>0</v>
      </c>
      <c r="Q560" s="41" t="s">
        <v>137</v>
      </c>
    </row>
    <row r="561" spans="1:17" x14ac:dyDescent="0.25">
      <c r="A561" s="40" t="s">
        <v>162</v>
      </c>
      <c r="B561" s="40" t="s">
        <v>18</v>
      </c>
      <c r="C561" s="40" t="s">
        <v>19</v>
      </c>
      <c r="D561" s="40" t="s">
        <v>20</v>
      </c>
      <c r="E561" s="40" t="s">
        <v>21</v>
      </c>
      <c r="F561" s="40" t="s">
        <v>35</v>
      </c>
      <c r="G561" s="40" t="s">
        <v>36</v>
      </c>
      <c r="H561" s="40" t="s">
        <v>163</v>
      </c>
      <c r="I561" s="40" t="s">
        <v>166</v>
      </c>
      <c r="J561" s="47">
        <v>0</v>
      </c>
      <c r="K561" s="47">
        <v>0</v>
      </c>
      <c r="L561" s="47">
        <v>0</v>
      </c>
      <c r="M561" s="47">
        <v>0</v>
      </c>
      <c r="N561" s="47">
        <v>0</v>
      </c>
      <c r="O561" s="47">
        <v>0</v>
      </c>
      <c r="P561" s="47">
        <v>0</v>
      </c>
      <c r="Q561" s="41" t="s">
        <v>137</v>
      </c>
    </row>
    <row r="562" spans="1:17" x14ac:dyDescent="0.25">
      <c r="A562" s="40" t="s">
        <v>162</v>
      </c>
      <c r="B562" s="40" t="s">
        <v>18</v>
      </c>
      <c r="C562" s="40" t="s">
        <v>19</v>
      </c>
      <c r="D562" s="40" t="s">
        <v>20</v>
      </c>
      <c r="E562" s="40" t="s">
        <v>21</v>
      </c>
      <c r="F562" s="40" t="s">
        <v>41</v>
      </c>
      <c r="G562" s="40" t="s">
        <v>42</v>
      </c>
      <c r="H562" s="40" t="s">
        <v>163</v>
      </c>
      <c r="I562" s="40" t="s">
        <v>166</v>
      </c>
      <c r="J562" s="47">
        <v>0</v>
      </c>
      <c r="K562" s="47">
        <v>0</v>
      </c>
      <c r="L562" s="47">
        <v>0</v>
      </c>
      <c r="M562" s="47">
        <v>0</v>
      </c>
      <c r="N562" s="47">
        <v>0</v>
      </c>
      <c r="O562" s="47">
        <v>0</v>
      </c>
      <c r="P562" s="47">
        <v>0</v>
      </c>
      <c r="Q562" s="41" t="s">
        <v>137</v>
      </c>
    </row>
    <row r="563" spans="1:17" x14ac:dyDescent="0.25">
      <c r="A563" s="40" t="s">
        <v>162</v>
      </c>
      <c r="B563" s="40" t="s">
        <v>18</v>
      </c>
      <c r="C563" s="40" t="s">
        <v>19</v>
      </c>
      <c r="D563" s="40" t="s">
        <v>20</v>
      </c>
      <c r="E563" s="40" t="s">
        <v>21</v>
      </c>
      <c r="F563" s="40" t="s">
        <v>43</v>
      </c>
      <c r="G563" s="40" t="s">
        <v>44</v>
      </c>
      <c r="H563" s="40" t="s">
        <v>163</v>
      </c>
      <c r="I563" s="40" t="s">
        <v>166</v>
      </c>
      <c r="J563" s="47">
        <v>0</v>
      </c>
      <c r="K563" s="47">
        <v>0</v>
      </c>
      <c r="L563" s="47">
        <v>0</v>
      </c>
      <c r="M563" s="47">
        <v>0</v>
      </c>
      <c r="N563" s="47">
        <v>0</v>
      </c>
      <c r="O563" s="47">
        <v>0</v>
      </c>
      <c r="P563" s="47">
        <v>0</v>
      </c>
      <c r="Q563" s="41" t="s">
        <v>137</v>
      </c>
    </row>
    <row r="564" spans="1:17" x14ac:dyDescent="0.25">
      <c r="A564" s="40" t="s">
        <v>162</v>
      </c>
      <c r="B564" s="40" t="s">
        <v>18</v>
      </c>
      <c r="C564" s="40" t="s">
        <v>19</v>
      </c>
      <c r="D564" s="40" t="s">
        <v>20</v>
      </c>
      <c r="E564" s="40" t="s">
        <v>21</v>
      </c>
      <c r="F564" s="40" t="s">
        <v>47</v>
      </c>
      <c r="G564" s="40" t="s">
        <v>48</v>
      </c>
      <c r="H564" s="40" t="s">
        <v>163</v>
      </c>
      <c r="I564" s="40" t="s">
        <v>166</v>
      </c>
      <c r="J564" s="47">
        <v>0</v>
      </c>
      <c r="K564" s="47">
        <v>0</v>
      </c>
      <c r="L564" s="47">
        <v>0</v>
      </c>
      <c r="M564" s="47">
        <v>0</v>
      </c>
      <c r="N564" s="47">
        <v>0</v>
      </c>
      <c r="O564" s="47">
        <v>0</v>
      </c>
      <c r="P564" s="47">
        <v>0</v>
      </c>
      <c r="Q564" s="41" t="s">
        <v>137</v>
      </c>
    </row>
    <row r="565" spans="1:17" x14ac:dyDescent="0.25">
      <c r="A565" s="40" t="s">
        <v>162</v>
      </c>
      <c r="B565" s="40" t="s">
        <v>18</v>
      </c>
      <c r="C565" s="40" t="s">
        <v>19</v>
      </c>
      <c r="D565" s="40" t="s">
        <v>20</v>
      </c>
      <c r="E565" s="40" t="s">
        <v>21</v>
      </c>
      <c r="F565" s="40" t="s">
        <v>59</v>
      </c>
      <c r="G565" s="40" t="s">
        <v>60</v>
      </c>
      <c r="H565" s="40" t="s">
        <v>163</v>
      </c>
      <c r="I565" s="40" t="s">
        <v>166</v>
      </c>
      <c r="J565" s="47">
        <v>0</v>
      </c>
      <c r="K565" s="47">
        <v>0</v>
      </c>
      <c r="L565" s="47">
        <v>0</v>
      </c>
      <c r="M565" s="47">
        <v>0</v>
      </c>
      <c r="N565" s="47">
        <v>0</v>
      </c>
      <c r="O565" s="47">
        <v>0</v>
      </c>
      <c r="P565" s="47">
        <v>0</v>
      </c>
      <c r="Q565" s="41" t="s">
        <v>137</v>
      </c>
    </row>
    <row r="566" spans="1:17" x14ac:dyDescent="0.25">
      <c r="A566" s="40" t="s">
        <v>162</v>
      </c>
      <c r="B566" s="40" t="s">
        <v>18</v>
      </c>
      <c r="C566" s="40" t="s">
        <v>19</v>
      </c>
      <c r="D566" s="40" t="s">
        <v>20</v>
      </c>
      <c r="E566" s="40" t="s">
        <v>21</v>
      </c>
      <c r="F566" s="40" t="s">
        <v>61</v>
      </c>
      <c r="G566" s="40" t="s">
        <v>62</v>
      </c>
      <c r="H566" s="40" t="s">
        <v>163</v>
      </c>
      <c r="I566" s="40" t="s">
        <v>166</v>
      </c>
      <c r="J566" s="47">
        <v>0</v>
      </c>
      <c r="K566" s="47">
        <v>0</v>
      </c>
      <c r="L566" s="47">
        <v>0</v>
      </c>
      <c r="M566" s="47">
        <v>0</v>
      </c>
      <c r="N566" s="47">
        <v>0</v>
      </c>
      <c r="O566" s="47">
        <v>0</v>
      </c>
      <c r="P566" s="47">
        <v>0</v>
      </c>
      <c r="Q566" s="41" t="s">
        <v>137</v>
      </c>
    </row>
    <row r="567" spans="1:17" x14ac:dyDescent="0.25">
      <c r="A567" s="40" t="s">
        <v>162</v>
      </c>
      <c r="B567" s="40" t="s">
        <v>18</v>
      </c>
      <c r="C567" s="40" t="s">
        <v>19</v>
      </c>
      <c r="D567" s="40" t="s">
        <v>20</v>
      </c>
      <c r="E567" s="40" t="s">
        <v>21</v>
      </c>
      <c r="F567" s="40" t="s">
        <v>65</v>
      </c>
      <c r="G567" s="40" t="s">
        <v>66</v>
      </c>
      <c r="H567" s="40" t="s">
        <v>163</v>
      </c>
      <c r="I567" s="40" t="s">
        <v>166</v>
      </c>
      <c r="J567" s="47">
        <v>0</v>
      </c>
      <c r="K567" s="47">
        <v>0</v>
      </c>
      <c r="L567" s="47">
        <v>0</v>
      </c>
      <c r="M567" s="47">
        <v>0</v>
      </c>
      <c r="N567" s="47">
        <v>0</v>
      </c>
      <c r="O567" s="47">
        <v>0</v>
      </c>
      <c r="P567" s="47">
        <v>0</v>
      </c>
      <c r="Q567" s="41" t="s">
        <v>137</v>
      </c>
    </row>
    <row r="568" spans="1:17" x14ac:dyDescent="0.25">
      <c r="A568" s="40" t="s">
        <v>162</v>
      </c>
      <c r="B568" s="40" t="s">
        <v>18</v>
      </c>
      <c r="C568" s="40" t="s">
        <v>19</v>
      </c>
      <c r="D568" s="40" t="s">
        <v>20</v>
      </c>
      <c r="E568" s="40" t="s">
        <v>21</v>
      </c>
      <c r="F568" s="40" t="s">
        <v>73</v>
      </c>
      <c r="G568" s="40" t="s">
        <v>74</v>
      </c>
      <c r="H568" s="40" t="s">
        <v>163</v>
      </c>
      <c r="I568" s="40" t="s">
        <v>166</v>
      </c>
      <c r="J568" s="47">
        <v>0</v>
      </c>
      <c r="K568" s="47">
        <v>0</v>
      </c>
      <c r="L568" s="47">
        <v>0</v>
      </c>
      <c r="M568" s="47">
        <v>0</v>
      </c>
      <c r="N568" s="47">
        <v>0</v>
      </c>
      <c r="O568" s="47">
        <v>0</v>
      </c>
      <c r="P568" s="47">
        <v>0</v>
      </c>
      <c r="Q568" s="41" t="s">
        <v>137</v>
      </c>
    </row>
    <row r="569" spans="1:17" x14ac:dyDescent="0.25">
      <c r="A569" s="40" t="s">
        <v>162</v>
      </c>
      <c r="B569" s="40" t="s">
        <v>18</v>
      </c>
      <c r="C569" s="40" t="s">
        <v>19</v>
      </c>
      <c r="D569" s="40" t="s">
        <v>20</v>
      </c>
      <c r="E569" s="40" t="s">
        <v>21</v>
      </c>
      <c r="F569" s="40" t="s">
        <v>75</v>
      </c>
      <c r="G569" s="40" t="s">
        <v>76</v>
      </c>
      <c r="H569" s="40" t="s">
        <v>163</v>
      </c>
      <c r="I569" s="40" t="s">
        <v>166</v>
      </c>
      <c r="J569" s="47">
        <v>0</v>
      </c>
      <c r="K569" s="47">
        <v>0</v>
      </c>
      <c r="L569" s="47">
        <v>0</v>
      </c>
      <c r="M569" s="47">
        <v>0</v>
      </c>
      <c r="N569" s="47">
        <v>0</v>
      </c>
      <c r="O569" s="47">
        <v>0</v>
      </c>
      <c r="P569" s="47">
        <v>0</v>
      </c>
      <c r="Q569" s="41" t="s">
        <v>137</v>
      </c>
    </row>
    <row r="570" spans="1:17" x14ac:dyDescent="0.25">
      <c r="A570" s="40" t="s">
        <v>162</v>
      </c>
      <c r="B570" s="40" t="s">
        <v>18</v>
      </c>
      <c r="C570" s="40" t="s">
        <v>19</v>
      </c>
      <c r="D570" s="40" t="s">
        <v>20</v>
      </c>
      <c r="E570" s="40" t="s">
        <v>21</v>
      </c>
      <c r="F570" s="40" t="s">
        <v>85</v>
      </c>
      <c r="G570" s="40" t="s">
        <v>86</v>
      </c>
      <c r="H570" s="40" t="s">
        <v>163</v>
      </c>
      <c r="I570" s="40" t="s">
        <v>166</v>
      </c>
      <c r="J570" s="47">
        <v>0</v>
      </c>
      <c r="K570" s="47">
        <v>0</v>
      </c>
      <c r="L570" s="47">
        <v>0</v>
      </c>
      <c r="M570" s="47">
        <v>0</v>
      </c>
      <c r="N570" s="47">
        <v>0</v>
      </c>
      <c r="O570" s="47">
        <v>0</v>
      </c>
      <c r="P570" s="47">
        <v>0</v>
      </c>
      <c r="Q570" s="41" t="s">
        <v>137</v>
      </c>
    </row>
    <row r="571" spans="1:17" x14ac:dyDescent="0.25">
      <c r="A571" s="40" t="s">
        <v>162</v>
      </c>
      <c r="B571" s="40" t="s">
        <v>18</v>
      </c>
      <c r="C571" s="40" t="s">
        <v>19</v>
      </c>
      <c r="D571" s="40" t="s">
        <v>20</v>
      </c>
      <c r="E571" s="40" t="s">
        <v>21</v>
      </c>
      <c r="F571" s="40" t="s">
        <v>101</v>
      </c>
      <c r="G571" s="40" t="s">
        <v>21</v>
      </c>
      <c r="H571" s="40" t="s">
        <v>163</v>
      </c>
      <c r="I571" s="40" t="s">
        <v>166</v>
      </c>
      <c r="J571" s="47">
        <v>0</v>
      </c>
      <c r="K571" s="47">
        <v>0</v>
      </c>
      <c r="L571" s="47">
        <v>0</v>
      </c>
      <c r="M571" s="47">
        <v>0</v>
      </c>
      <c r="N571" s="47">
        <v>0</v>
      </c>
      <c r="O571" s="47">
        <v>0</v>
      </c>
      <c r="P571" s="47">
        <v>0</v>
      </c>
      <c r="Q571" s="41" t="s">
        <v>137</v>
      </c>
    </row>
    <row r="572" spans="1:17" x14ac:dyDescent="0.25">
      <c r="A572" s="40" t="s">
        <v>162</v>
      </c>
      <c r="B572" s="40" t="s">
        <v>18</v>
      </c>
      <c r="C572" s="40" t="s">
        <v>19</v>
      </c>
      <c r="D572" s="40" t="s">
        <v>20</v>
      </c>
      <c r="E572" s="40" t="s">
        <v>21</v>
      </c>
      <c r="F572" s="40" t="s">
        <v>104</v>
      </c>
      <c r="G572" s="40" t="s">
        <v>105</v>
      </c>
      <c r="H572" s="40" t="s">
        <v>163</v>
      </c>
      <c r="I572" s="40" t="s">
        <v>166</v>
      </c>
      <c r="J572" s="47">
        <v>0</v>
      </c>
      <c r="K572" s="47">
        <v>0</v>
      </c>
      <c r="L572" s="47">
        <v>0</v>
      </c>
      <c r="M572" s="47">
        <v>0</v>
      </c>
      <c r="N572" s="47">
        <v>0</v>
      </c>
      <c r="O572" s="47">
        <v>0</v>
      </c>
      <c r="P572" s="47">
        <v>0</v>
      </c>
      <c r="Q572" s="41" t="s">
        <v>137</v>
      </c>
    </row>
    <row r="573" spans="1:17" x14ac:dyDescent="0.25">
      <c r="A573" s="40" t="s">
        <v>162</v>
      </c>
      <c r="B573" s="40" t="s">
        <v>18</v>
      </c>
      <c r="C573" s="40" t="s">
        <v>19</v>
      </c>
      <c r="D573" s="40" t="s">
        <v>20</v>
      </c>
      <c r="E573" s="40" t="s">
        <v>21</v>
      </c>
      <c r="F573" s="40" t="s">
        <v>112</v>
      </c>
      <c r="G573" s="40" t="s">
        <v>113</v>
      </c>
      <c r="H573" s="40" t="s">
        <v>163</v>
      </c>
      <c r="I573" s="40" t="s">
        <v>166</v>
      </c>
      <c r="J573" s="47">
        <v>0</v>
      </c>
      <c r="K573" s="47">
        <v>0</v>
      </c>
      <c r="L573" s="47">
        <v>0</v>
      </c>
      <c r="M573" s="47">
        <v>0</v>
      </c>
      <c r="N573" s="47">
        <v>0</v>
      </c>
      <c r="O573" s="47">
        <v>0</v>
      </c>
      <c r="P573" s="47">
        <v>0</v>
      </c>
      <c r="Q573" s="41" t="s">
        <v>137</v>
      </c>
    </row>
    <row r="574" spans="1:17" x14ac:dyDescent="0.25">
      <c r="A574" s="40" t="s">
        <v>162</v>
      </c>
      <c r="B574" s="40" t="s">
        <v>18</v>
      </c>
      <c r="C574" s="40" t="s">
        <v>19</v>
      </c>
      <c r="D574" s="40" t="s">
        <v>20</v>
      </c>
      <c r="E574" s="40" t="s">
        <v>21</v>
      </c>
      <c r="F574" s="40" t="s">
        <v>114</v>
      </c>
      <c r="G574" s="40" t="s">
        <v>115</v>
      </c>
      <c r="H574" s="40" t="s">
        <v>163</v>
      </c>
      <c r="I574" s="40" t="s">
        <v>166</v>
      </c>
      <c r="J574" s="47">
        <v>0</v>
      </c>
      <c r="K574" s="47">
        <v>0</v>
      </c>
      <c r="L574" s="47">
        <v>0</v>
      </c>
      <c r="M574" s="47">
        <v>0</v>
      </c>
      <c r="N574" s="47">
        <v>0</v>
      </c>
      <c r="O574" s="47">
        <v>0</v>
      </c>
      <c r="P574" s="47">
        <v>0</v>
      </c>
      <c r="Q574" s="41" t="s">
        <v>137</v>
      </c>
    </row>
    <row r="575" spans="1:17" x14ac:dyDescent="0.25">
      <c r="A575" s="40" t="s">
        <v>162</v>
      </c>
      <c r="B575" s="40" t="s">
        <v>18</v>
      </c>
      <c r="C575" s="40" t="s">
        <v>19</v>
      </c>
      <c r="D575" s="40" t="s">
        <v>20</v>
      </c>
      <c r="E575" s="40" t="s">
        <v>21</v>
      </c>
      <c r="F575" s="40" t="s">
        <v>116</v>
      </c>
      <c r="G575" s="40" t="s">
        <v>117</v>
      </c>
      <c r="H575" s="40" t="s">
        <v>163</v>
      </c>
      <c r="I575" s="40" t="s">
        <v>166</v>
      </c>
      <c r="J575" s="47">
        <v>0</v>
      </c>
      <c r="K575" s="47">
        <v>0</v>
      </c>
      <c r="L575" s="47">
        <v>0</v>
      </c>
      <c r="M575" s="47">
        <v>0</v>
      </c>
      <c r="N575" s="47">
        <v>0</v>
      </c>
      <c r="O575" s="47">
        <v>0</v>
      </c>
      <c r="P575" s="47">
        <v>0</v>
      </c>
      <c r="Q575" s="41" t="s">
        <v>137</v>
      </c>
    </row>
    <row r="576" spans="1:17" x14ac:dyDescent="0.25">
      <c r="A576" s="40" t="s">
        <v>162</v>
      </c>
      <c r="B576" s="40" t="s">
        <v>18</v>
      </c>
      <c r="C576" s="40" t="s">
        <v>19</v>
      </c>
      <c r="D576" s="40" t="s">
        <v>20</v>
      </c>
      <c r="E576" s="40" t="s">
        <v>21</v>
      </c>
      <c r="F576" s="40" t="s">
        <v>118</v>
      </c>
      <c r="G576" s="40" t="s">
        <v>119</v>
      </c>
      <c r="H576" s="40" t="s">
        <v>163</v>
      </c>
      <c r="I576" s="40" t="s">
        <v>166</v>
      </c>
      <c r="J576" s="47">
        <v>0</v>
      </c>
      <c r="K576" s="47">
        <v>0</v>
      </c>
      <c r="L576" s="47">
        <v>0</v>
      </c>
      <c r="M576" s="47">
        <v>0</v>
      </c>
      <c r="N576" s="47">
        <v>0</v>
      </c>
      <c r="O576" s="47">
        <v>0</v>
      </c>
      <c r="P576" s="47">
        <v>0</v>
      </c>
      <c r="Q576" s="41" t="s">
        <v>137</v>
      </c>
    </row>
    <row r="577" spans="1:17" x14ac:dyDescent="0.25">
      <c r="A577" s="40" t="s">
        <v>162</v>
      </c>
      <c r="B577" s="40" t="s">
        <v>18</v>
      </c>
      <c r="C577" s="40" t="s">
        <v>19</v>
      </c>
      <c r="D577" s="40" t="s">
        <v>20</v>
      </c>
      <c r="E577" s="40" t="s">
        <v>21</v>
      </c>
      <c r="F577" s="40" t="s">
        <v>120</v>
      </c>
      <c r="G577" s="40" t="s">
        <v>121</v>
      </c>
      <c r="H577" s="40" t="s">
        <v>163</v>
      </c>
      <c r="I577" s="40" t="s">
        <v>166</v>
      </c>
      <c r="J577" s="47">
        <v>0</v>
      </c>
      <c r="K577" s="47">
        <v>0</v>
      </c>
      <c r="L577" s="47">
        <v>0</v>
      </c>
      <c r="M577" s="47">
        <v>0</v>
      </c>
      <c r="N577" s="47">
        <v>0</v>
      </c>
      <c r="O577" s="47">
        <v>0</v>
      </c>
      <c r="P577" s="47">
        <v>0</v>
      </c>
      <c r="Q577" s="41" t="s">
        <v>137</v>
      </c>
    </row>
    <row r="578" spans="1:17" x14ac:dyDescent="0.25">
      <c r="A578" s="40" t="s">
        <v>162</v>
      </c>
      <c r="B578" s="40" t="s">
        <v>18</v>
      </c>
      <c r="C578" s="40" t="s">
        <v>19</v>
      </c>
      <c r="D578" s="40" t="s">
        <v>20</v>
      </c>
      <c r="E578" s="40" t="s">
        <v>21</v>
      </c>
      <c r="F578" s="40" t="s">
        <v>22</v>
      </c>
      <c r="G578" s="40" t="s">
        <v>23</v>
      </c>
      <c r="H578" s="40" t="s">
        <v>163</v>
      </c>
      <c r="I578" s="40" t="s">
        <v>167</v>
      </c>
      <c r="J578" s="47">
        <v>0</v>
      </c>
      <c r="K578" s="47">
        <v>0</v>
      </c>
      <c r="L578" s="47">
        <v>0</v>
      </c>
      <c r="M578" s="47">
        <v>0</v>
      </c>
      <c r="N578" s="47">
        <v>0</v>
      </c>
      <c r="O578" s="47">
        <v>0</v>
      </c>
      <c r="P578" s="47">
        <v>0</v>
      </c>
      <c r="Q578" s="41" t="s">
        <v>137</v>
      </c>
    </row>
    <row r="579" spans="1:17" x14ac:dyDescent="0.25">
      <c r="A579" s="40" t="s">
        <v>162</v>
      </c>
      <c r="B579" s="40" t="s">
        <v>18</v>
      </c>
      <c r="C579" s="40" t="s">
        <v>19</v>
      </c>
      <c r="D579" s="40" t="s">
        <v>20</v>
      </c>
      <c r="E579" s="40" t="s">
        <v>21</v>
      </c>
      <c r="F579" s="40" t="s">
        <v>35</v>
      </c>
      <c r="G579" s="40" t="s">
        <v>36</v>
      </c>
      <c r="H579" s="40" t="s">
        <v>163</v>
      </c>
      <c r="I579" s="40" t="s">
        <v>167</v>
      </c>
      <c r="J579" s="47">
        <v>0</v>
      </c>
      <c r="K579" s="47">
        <v>0</v>
      </c>
      <c r="L579" s="47">
        <v>0</v>
      </c>
      <c r="M579" s="47">
        <v>0</v>
      </c>
      <c r="N579" s="47">
        <v>0</v>
      </c>
      <c r="O579" s="47">
        <v>0</v>
      </c>
      <c r="P579" s="47">
        <v>0</v>
      </c>
      <c r="Q579" s="41" t="s">
        <v>137</v>
      </c>
    </row>
    <row r="580" spans="1:17" x14ac:dyDescent="0.25">
      <c r="A580" s="40" t="s">
        <v>162</v>
      </c>
      <c r="B580" s="40" t="s">
        <v>18</v>
      </c>
      <c r="C580" s="40" t="s">
        <v>19</v>
      </c>
      <c r="D580" s="40" t="s">
        <v>20</v>
      </c>
      <c r="E580" s="40" t="s">
        <v>21</v>
      </c>
      <c r="F580" s="40" t="s">
        <v>41</v>
      </c>
      <c r="G580" s="40" t="s">
        <v>42</v>
      </c>
      <c r="H580" s="40" t="s">
        <v>163</v>
      </c>
      <c r="I580" s="40" t="s">
        <v>167</v>
      </c>
      <c r="J580" s="47">
        <v>0</v>
      </c>
      <c r="K580" s="47">
        <v>0</v>
      </c>
      <c r="L580" s="47">
        <v>0</v>
      </c>
      <c r="M580" s="47">
        <v>0</v>
      </c>
      <c r="N580" s="47">
        <v>0</v>
      </c>
      <c r="O580" s="47">
        <v>0</v>
      </c>
      <c r="P580" s="47">
        <v>0</v>
      </c>
      <c r="Q580" s="41" t="s">
        <v>137</v>
      </c>
    </row>
    <row r="581" spans="1:17" x14ac:dyDescent="0.25">
      <c r="A581" s="40" t="s">
        <v>162</v>
      </c>
      <c r="B581" s="40" t="s">
        <v>18</v>
      </c>
      <c r="C581" s="40" t="s">
        <v>19</v>
      </c>
      <c r="D581" s="40" t="s">
        <v>20</v>
      </c>
      <c r="E581" s="40" t="s">
        <v>21</v>
      </c>
      <c r="F581" s="40" t="s">
        <v>43</v>
      </c>
      <c r="G581" s="40" t="s">
        <v>44</v>
      </c>
      <c r="H581" s="40" t="s">
        <v>163</v>
      </c>
      <c r="I581" s="40" t="s">
        <v>167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  <c r="Q581" s="41" t="s">
        <v>137</v>
      </c>
    </row>
    <row r="582" spans="1:17" x14ac:dyDescent="0.25">
      <c r="A582" s="40" t="s">
        <v>162</v>
      </c>
      <c r="B582" s="40" t="s">
        <v>18</v>
      </c>
      <c r="C582" s="40" t="s">
        <v>19</v>
      </c>
      <c r="D582" s="40" t="s">
        <v>20</v>
      </c>
      <c r="E582" s="40" t="s">
        <v>21</v>
      </c>
      <c r="F582" s="40" t="s">
        <v>47</v>
      </c>
      <c r="G582" s="40" t="s">
        <v>48</v>
      </c>
      <c r="H582" s="40" t="s">
        <v>163</v>
      </c>
      <c r="I582" s="40" t="s">
        <v>167</v>
      </c>
      <c r="J582" s="47">
        <v>0</v>
      </c>
      <c r="K582" s="47">
        <v>0</v>
      </c>
      <c r="L582" s="47">
        <v>0</v>
      </c>
      <c r="M582" s="47">
        <v>0</v>
      </c>
      <c r="N582" s="47">
        <v>0</v>
      </c>
      <c r="O582" s="47">
        <v>0</v>
      </c>
      <c r="P582" s="47">
        <v>0</v>
      </c>
      <c r="Q582" s="41" t="s">
        <v>137</v>
      </c>
    </row>
    <row r="583" spans="1:17" x14ac:dyDescent="0.25">
      <c r="A583" s="40" t="s">
        <v>162</v>
      </c>
      <c r="B583" s="40" t="s">
        <v>18</v>
      </c>
      <c r="C583" s="40" t="s">
        <v>19</v>
      </c>
      <c r="D583" s="40" t="s">
        <v>20</v>
      </c>
      <c r="E583" s="40" t="s">
        <v>21</v>
      </c>
      <c r="F583" s="40" t="s">
        <v>59</v>
      </c>
      <c r="G583" s="40" t="s">
        <v>60</v>
      </c>
      <c r="H583" s="40" t="s">
        <v>163</v>
      </c>
      <c r="I583" s="40" t="s">
        <v>167</v>
      </c>
      <c r="J583" s="47">
        <v>0</v>
      </c>
      <c r="K583" s="47">
        <v>0</v>
      </c>
      <c r="L583" s="47">
        <v>0</v>
      </c>
      <c r="M583" s="47">
        <v>0</v>
      </c>
      <c r="N583" s="47">
        <v>0</v>
      </c>
      <c r="O583" s="47">
        <v>0</v>
      </c>
      <c r="P583" s="47">
        <v>0</v>
      </c>
      <c r="Q583" s="41" t="s">
        <v>137</v>
      </c>
    </row>
    <row r="584" spans="1:17" x14ac:dyDescent="0.25">
      <c r="A584" s="40" t="s">
        <v>162</v>
      </c>
      <c r="B584" s="40" t="s">
        <v>18</v>
      </c>
      <c r="C584" s="40" t="s">
        <v>19</v>
      </c>
      <c r="D584" s="40" t="s">
        <v>20</v>
      </c>
      <c r="E584" s="40" t="s">
        <v>21</v>
      </c>
      <c r="F584" s="40" t="s">
        <v>61</v>
      </c>
      <c r="G584" s="40" t="s">
        <v>62</v>
      </c>
      <c r="H584" s="40" t="s">
        <v>163</v>
      </c>
      <c r="I584" s="40" t="s">
        <v>167</v>
      </c>
      <c r="J584" s="47">
        <v>0</v>
      </c>
      <c r="K584" s="47">
        <v>0</v>
      </c>
      <c r="L584" s="47">
        <v>0</v>
      </c>
      <c r="M584" s="47">
        <v>0</v>
      </c>
      <c r="N584" s="47">
        <v>0</v>
      </c>
      <c r="O584" s="47">
        <v>0</v>
      </c>
      <c r="P584" s="47">
        <v>0</v>
      </c>
      <c r="Q584" s="41" t="s">
        <v>137</v>
      </c>
    </row>
    <row r="585" spans="1:17" x14ac:dyDescent="0.25">
      <c r="A585" s="40" t="s">
        <v>162</v>
      </c>
      <c r="B585" s="40" t="s">
        <v>18</v>
      </c>
      <c r="C585" s="40" t="s">
        <v>19</v>
      </c>
      <c r="D585" s="40" t="s">
        <v>20</v>
      </c>
      <c r="E585" s="40" t="s">
        <v>21</v>
      </c>
      <c r="F585" s="40" t="s">
        <v>65</v>
      </c>
      <c r="G585" s="40" t="s">
        <v>66</v>
      </c>
      <c r="H585" s="40" t="s">
        <v>163</v>
      </c>
      <c r="I585" s="40" t="s">
        <v>167</v>
      </c>
      <c r="J585" s="47">
        <v>0</v>
      </c>
      <c r="K585" s="47">
        <v>0</v>
      </c>
      <c r="L585" s="47">
        <v>0</v>
      </c>
      <c r="M585" s="47">
        <v>0</v>
      </c>
      <c r="N585" s="47">
        <v>0</v>
      </c>
      <c r="O585" s="47">
        <v>0</v>
      </c>
      <c r="P585" s="47">
        <v>0</v>
      </c>
      <c r="Q585" s="41" t="s">
        <v>137</v>
      </c>
    </row>
    <row r="586" spans="1:17" x14ac:dyDescent="0.25">
      <c r="A586" s="40" t="s">
        <v>162</v>
      </c>
      <c r="B586" s="40" t="s">
        <v>18</v>
      </c>
      <c r="C586" s="40" t="s">
        <v>19</v>
      </c>
      <c r="D586" s="40" t="s">
        <v>20</v>
      </c>
      <c r="E586" s="40" t="s">
        <v>21</v>
      </c>
      <c r="F586" s="40" t="s">
        <v>73</v>
      </c>
      <c r="G586" s="40" t="s">
        <v>74</v>
      </c>
      <c r="H586" s="40" t="s">
        <v>163</v>
      </c>
      <c r="I586" s="40" t="s">
        <v>167</v>
      </c>
      <c r="J586" s="47">
        <v>0</v>
      </c>
      <c r="K586" s="47">
        <v>0</v>
      </c>
      <c r="L586" s="47">
        <v>0</v>
      </c>
      <c r="M586" s="47">
        <v>0</v>
      </c>
      <c r="N586" s="47">
        <v>0</v>
      </c>
      <c r="O586" s="47">
        <v>0</v>
      </c>
      <c r="P586" s="47">
        <v>0</v>
      </c>
      <c r="Q586" s="41" t="s">
        <v>137</v>
      </c>
    </row>
    <row r="587" spans="1:17" x14ac:dyDescent="0.25">
      <c r="A587" s="40" t="s">
        <v>162</v>
      </c>
      <c r="B587" s="40" t="s">
        <v>18</v>
      </c>
      <c r="C587" s="40" t="s">
        <v>19</v>
      </c>
      <c r="D587" s="40" t="s">
        <v>20</v>
      </c>
      <c r="E587" s="40" t="s">
        <v>21</v>
      </c>
      <c r="F587" s="40" t="s">
        <v>75</v>
      </c>
      <c r="G587" s="40" t="s">
        <v>76</v>
      </c>
      <c r="H587" s="40" t="s">
        <v>163</v>
      </c>
      <c r="I587" s="40" t="s">
        <v>167</v>
      </c>
      <c r="J587" s="47">
        <v>0</v>
      </c>
      <c r="K587" s="47">
        <v>0</v>
      </c>
      <c r="L587" s="47">
        <v>0</v>
      </c>
      <c r="M587" s="47">
        <v>0</v>
      </c>
      <c r="N587" s="47">
        <v>0</v>
      </c>
      <c r="O587" s="47">
        <v>0</v>
      </c>
      <c r="P587" s="47">
        <v>0</v>
      </c>
      <c r="Q587" s="41" t="s">
        <v>137</v>
      </c>
    </row>
    <row r="588" spans="1:17" x14ac:dyDescent="0.25">
      <c r="A588" s="40" t="s">
        <v>162</v>
      </c>
      <c r="B588" s="40" t="s">
        <v>18</v>
      </c>
      <c r="C588" s="40" t="s">
        <v>19</v>
      </c>
      <c r="D588" s="40" t="s">
        <v>20</v>
      </c>
      <c r="E588" s="40" t="s">
        <v>21</v>
      </c>
      <c r="F588" s="40" t="s">
        <v>85</v>
      </c>
      <c r="G588" s="40" t="s">
        <v>86</v>
      </c>
      <c r="H588" s="40" t="s">
        <v>163</v>
      </c>
      <c r="I588" s="40" t="s">
        <v>167</v>
      </c>
      <c r="J588" s="47">
        <v>0</v>
      </c>
      <c r="K588" s="47">
        <v>0</v>
      </c>
      <c r="L588" s="47">
        <v>0</v>
      </c>
      <c r="M588" s="47">
        <v>0</v>
      </c>
      <c r="N588" s="47">
        <v>0</v>
      </c>
      <c r="O588" s="47">
        <v>0</v>
      </c>
      <c r="P588" s="47">
        <v>0</v>
      </c>
      <c r="Q588" s="41" t="s">
        <v>137</v>
      </c>
    </row>
    <row r="589" spans="1:17" x14ac:dyDescent="0.25">
      <c r="A589" s="40" t="s">
        <v>162</v>
      </c>
      <c r="B589" s="40" t="s">
        <v>18</v>
      </c>
      <c r="C589" s="40" t="s">
        <v>19</v>
      </c>
      <c r="D589" s="40" t="s">
        <v>20</v>
      </c>
      <c r="E589" s="40" t="s">
        <v>21</v>
      </c>
      <c r="F589" s="40" t="s">
        <v>101</v>
      </c>
      <c r="G589" s="40" t="s">
        <v>21</v>
      </c>
      <c r="H589" s="40" t="s">
        <v>163</v>
      </c>
      <c r="I589" s="40" t="s">
        <v>167</v>
      </c>
      <c r="J589" s="47">
        <v>0</v>
      </c>
      <c r="K589" s="47">
        <v>0</v>
      </c>
      <c r="L589" s="47">
        <v>0</v>
      </c>
      <c r="M589" s="47">
        <v>0</v>
      </c>
      <c r="N589" s="47">
        <v>0</v>
      </c>
      <c r="O589" s="47">
        <v>0</v>
      </c>
      <c r="P589" s="47">
        <v>0</v>
      </c>
      <c r="Q589" s="41" t="s">
        <v>137</v>
      </c>
    </row>
    <row r="590" spans="1:17" x14ac:dyDescent="0.25">
      <c r="A590" s="40" t="s">
        <v>162</v>
      </c>
      <c r="B590" s="40" t="s">
        <v>18</v>
      </c>
      <c r="C590" s="40" t="s">
        <v>19</v>
      </c>
      <c r="D590" s="40" t="s">
        <v>20</v>
      </c>
      <c r="E590" s="40" t="s">
        <v>21</v>
      </c>
      <c r="F590" s="40" t="s">
        <v>104</v>
      </c>
      <c r="G590" s="40" t="s">
        <v>105</v>
      </c>
      <c r="H590" s="40" t="s">
        <v>163</v>
      </c>
      <c r="I590" s="40" t="s">
        <v>167</v>
      </c>
      <c r="J590" s="47">
        <v>0</v>
      </c>
      <c r="K590" s="47">
        <v>0</v>
      </c>
      <c r="L590" s="47">
        <v>0</v>
      </c>
      <c r="M590" s="47">
        <v>0</v>
      </c>
      <c r="N590" s="47">
        <v>0</v>
      </c>
      <c r="O590" s="47">
        <v>0</v>
      </c>
      <c r="P590" s="47">
        <v>0</v>
      </c>
      <c r="Q590" s="41" t="s">
        <v>137</v>
      </c>
    </row>
    <row r="591" spans="1:17" x14ac:dyDescent="0.25">
      <c r="A591" s="40" t="s">
        <v>162</v>
      </c>
      <c r="B591" s="40" t="s">
        <v>18</v>
      </c>
      <c r="C591" s="40" t="s">
        <v>19</v>
      </c>
      <c r="D591" s="40" t="s">
        <v>20</v>
      </c>
      <c r="E591" s="40" t="s">
        <v>21</v>
      </c>
      <c r="F591" s="40" t="s">
        <v>112</v>
      </c>
      <c r="G591" s="40" t="s">
        <v>113</v>
      </c>
      <c r="H591" s="40" t="s">
        <v>163</v>
      </c>
      <c r="I591" s="40" t="s">
        <v>167</v>
      </c>
      <c r="J591" s="47">
        <v>0</v>
      </c>
      <c r="K591" s="47">
        <v>0</v>
      </c>
      <c r="L591" s="47">
        <v>0</v>
      </c>
      <c r="M591" s="47">
        <v>0</v>
      </c>
      <c r="N591" s="47">
        <v>0</v>
      </c>
      <c r="O591" s="47">
        <v>0</v>
      </c>
      <c r="P591" s="47">
        <v>0</v>
      </c>
      <c r="Q591" s="41" t="s">
        <v>137</v>
      </c>
    </row>
    <row r="592" spans="1:17" x14ac:dyDescent="0.25">
      <c r="A592" s="40" t="s">
        <v>162</v>
      </c>
      <c r="B592" s="40" t="s">
        <v>18</v>
      </c>
      <c r="C592" s="40" t="s">
        <v>19</v>
      </c>
      <c r="D592" s="40" t="s">
        <v>20</v>
      </c>
      <c r="E592" s="40" t="s">
        <v>21</v>
      </c>
      <c r="F592" s="40" t="s">
        <v>114</v>
      </c>
      <c r="G592" s="40" t="s">
        <v>115</v>
      </c>
      <c r="H592" s="40" t="s">
        <v>163</v>
      </c>
      <c r="I592" s="40" t="s">
        <v>167</v>
      </c>
      <c r="J592" s="47">
        <v>0</v>
      </c>
      <c r="K592" s="47">
        <v>0</v>
      </c>
      <c r="L592" s="47">
        <v>0</v>
      </c>
      <c r="M592" s="47">
        <v>0</v>
      </c>
      <c r="N592" s="47">
        <v>0</v>
      </c>
      <c r="O592" s="47">
        <v>0</v>
      </c>
      <c r="P592" s="47">
        <v>0</v>
      </c>
      <c r="Q592" s="41" t="s">
        <v>137</v>
      </c>
    </row>
    <row r="593" spans="1:17" x14ac:dyDescent="0.25">
      <c r="A593" s="40" t="s">
        <v>162</v>
      </c>
      <c r="B593" s="40" t="s">
        <v>18</v>
      </c>
      <c r="C593" s="40" t="s">
        <v>19</v>
      </c>
      <c r="D593" s="40" t="s">
        <v>20</v>
      </c>
      <c r="E593" s="40" t="s">
        <v>21</v>
      </c>
      <c r="F593" s="40" t="s">
        <v>116</v>
      </c>
      <c r="G593" s="40" t="s">
        <v>117</v>
      </c>
      <c r="H593" s="40" t="s">
        <v>163</v>
      </c>
      <c r="I593" s="40" t="s">
        <v>167</v>
      </c>
      <c r="J593" s="47">
        <v>0</v>
      </c>
      <c r="K593" s="47">
        <v>0</v>
      </c>
      <c r="L593" s="47">
        <v>0</v>
      </c>
      <c r="M593" s="47">
        <v>0</v>
      </c>
      <c r="N593" s="47">
        <v>0</v>
      </c>
      <c r="O593" s="47">
        <v>0</v>
      </c>
      <c r="P593" s="47">
        <v>0</v>
      </c>
      <c r="Q593" s="41" t="s">
        <v>137</v>
      </c>
    </row>
    <row r="594" spans="1:17" x14ac:dyDescent="0.25">
      <c r="A594" s="40" t="s">
        <v>162</v>
      </c>
      <c r="B594" s="40" t="s">
        <v>18</v>
      </c>
      <c r="C594" s="40" t="s">
        <v>19</v>
      </c>
      <c r="D594" s="40" t="s">
        <v>20</v>
      </c>
      <c r="E594" s="40" t="s">
        <v>21</v>
      </c>
      <c r="F594" s="40" t="s">
        <v>118</v>
      </c>
      <c r="G594" s="40" t="s">
        <v>119</v>
      </c>
      <c r="H594" s="40" t="s">
        <v>163</v>
      </c>
      <c r="I594" s="40" t="s">
        <v>167</v>
      </c>
      <c r="J594" s="47">
        <v>0</v>
      </c>
      <c r="K594" s="47">
        <v>0</v>
      </c>
      <c r="L594" s="47">
        <v>0</v>
      </c>
      <c r="M594" s="47">
        <v>0</v>
      </c>
      <c r="N594" s="47">
        <v>0</v>
      </c>
      <c r="O594" s="47">
        <v>0</v>
      </c>
      <c r="P594" s="47">
        <v>0</v>
      </c>
      <c r="Q594" s="41" t="s">
        <v>137</v>
      </c>
    </row>
    <row r="595" spans="1:17" x14ac:dyDescent="0.25">
      <c r="A595" s="40" t="s">
        <v>162</v>
      </c>
      <c r="B595" s="40" t="s">
        <v>18</v>
      </c>
      <c r="C595" s="40" t="s">
        <v>19</v>
      </c>
      <c r="D595" s="40" t="s">
        <v>20</v>
      </c>
      <c r="E595" s="40" t="s">
        <v>21</v>
      </c>
      <c r="F595" s="40" t="s">
        <v>120</v>
      </c>
      <c r="G595" s="40" t="s">
        <v>121</v>
      </c>
      <c r="H595" s="40" t="s">
        <v>163</v>
      </c>
      <c r="I595" s="40" t="s">
        <v>167</v>
      </c>
      <c r="J595" s="47">
        <v>0</v>
      </c>
      <c r="K595" s="47">
        <v>0</v>
      </c>
      <c r="L595" s="47">
        <v>0</v>
      </c>
      <c r="M595" s="47">
        <v>0</v>
      </c>
      <c r="N595" s="47">
        <v>0</v>
      </c>
      <c r="O595" s="47">
        <v>0</v>
      </c>
      <c r="P595" s="47">
        <v>0</v>
      </c>
      <c r="Q595" s="41" t="s">
        <v>137</v>
      </c>
    </row>
    <row r="596" spans="1:17" x14ac:dyDescent="0.25">
      <c r="A596" s="40" t="s">
        <v>162</v>
      </c>
      <c r="B596" s="40" t="s">
        <v>18</v>
      </c>
      <c r="C596" s="40" t="s">
        <v>19</v>
      </c>
      <c r="D596" s="40" t="s">
        <v>20</v>
      </c>
      <c r="E596" s="40" t="s">
        <v>21</v>
      </c>
      <c r="F596" s="40" t="s">
        <v>22</v>
      </c>
      <c r="G596" s="40" t="s">
        <v>23</v>
      </c>
      <c r="H596" s="40" t="s">
        <v>163</v>
      </c>
      <c r="I596" s="40" t="s">
        <v>168</v>
      </c>
      <c r="J596" s="47">
        <v>0</v>
      </c>
      <c r="K596" s="47">
        <v>0</v>
      </c>
      <c r="L596" s="47">
        <v>0</v>
      </c>
      <c r="M596" s="47">
        <v>0</v>
      </c>
      <c r="N596" s="47">
        <v>0</v>
      </c>
      <c r="O596" s="47">
        <v>0</v>
      </c>
      <c r="P596" s="47">
        <v>0</v>
      </c>
      <c r="Q596" s="41" t="s">
        <v>137</v>
      </c>
    </row>
    <row r="597" spans="1:17" x14ac:dyDescent="0.25">
      <c r="A597" s="40" t="s">
        <v>162</v>
      </c>
      <c r="B597" s="40" t="s">
        <v>18</v>
      </c>
      <c r="C597" s="40" t="s">
        <v>19</v>
      </c>
      <c r="D597" s="40" t="s">
        <v>20</v>
      </c>
      <c r="E597" s="40" t="s">
        <v>21</v>
      </c>
      <c r="F597" s="40" t="s">
        <v>35</v>
      </c>
      <c r="G597" s="40" t="s">
        <v>36</v>
      </c>
      <c r="H597" s="40" t="s">
        <v>163</v>
      </c>
      <c r="I597" s="40" t="s">
        <v>168</v>
      </c>
      <c r="J597" s="47">
        <v>0</v>
      </c>
      <c r="K597" s="47">
        <v>0</v>
      </c>
      <c r="L597" s="47">
        <v>0</v>
      </c>
      <c r="M597" s="47">
        <v>0</v>
      </c>
      <c r="N597" s="47">
        <v>0</v>
      </c>
      <c r="O597" s="47">
        <v>0</v>
      </c>
      <c r="P597" s="47">
        <v>0</v>
      </c>
      <c r="Q597" s="41" t="s">
        <v>137</v>
      </c>
    </row>
    <row r="598" spans="1:17" x14ac:dyDescent="0.25">
      <c r="A598" s="40" t="s">
        <v>162</v>
      </c>
      <c r="B598" s="40" t="s">
        <v>18</v>
      </c>
      <c r="C598" s="40" t="s">
        <v>19</v>
      </c>
      <c r="D598" s="40" t="s">
        <v>20</v>
      </c>
      <c r="E598" s="40" t="s">
        <v>21</v>
      </c>
      <c r="F598" s="40" t="s">
        <v>41</v>
      </c>
      <c r="G598" s="40" t="s">
        <v>42</v>
      </c>
      <c r="H598" s="40" t="s">
        <v>163</v>
      </c>
      <c r="I598" s="40" t="s">
        <v>168</v>
      </c>
      <c r="J598" s="47">
        <v>0</v>
      </c>
      <c r="K598" s="47">
        <v>0</v>
      </c>
      <c r="L598" s="47">
        <v>0</v>
      </c>
      <c r="M598" s="47">
        <v>0</v>
      </c>
      <c r="N598" s="47">
        <v>0</v>
      </c>
      <c r="O598" s="47">
        <v>0</v>
      </c>
      <c r="P598" s="47">
        <v>0</v>
      </c>
      <c r="Q598" s="41" t="s">
        <v>137</v>
      </c>
    </row>
    <row r="599" spans="1:17" x14ac:dyDescent="0.25">
      <c r="A599" s="40" t="s">
        <v>162</v>
      </c>
      <c r="B599" s="40" t="s">
        <v>18</v>
      </c>
      <c r="C599" s="40" t="s">
        <v>19</v>
      </c>
      <c r="D599" s="40" t="s">
        <v>20</v>
      </c>
      <c r="E599" s="40" t="s">
        <v>21</v>
      </c>
      <c r="F599" s="40" t="s">
        <v>43</v>
      </c>
      <c r="G599" s="40" t="s">
        <v>44</v>
      </c>
      <c r="H599" s="40" t="s">
        <v>163</v>
      </c>
      <c r="I599" s="40" t="s">
        <v>168</v>
      </c>
      <c r="J599" s="47">
        <v>0</v>
      </c>
      <c r="K599" s="47">
        <v>0</v>
      </c>
      <c r="L599" s="47">
        <v>0</v>
      </c>
      <c r="M599" s="47">
        <v>0</v>
      </c>
      <c r="N599" s="47">
        <v>0</v>
      </c>
      <c r="O599" s="47">
        <v>0</v>
      </c>
      <c r="P599" s="47">
        <v>0</v>
      </c>
      <c r="Q599" s="41" t="s">
        <v>137</v>
      </c>
    </row>
    <row r="600" spans="1:17" x14ac:dyDescent="0.25">
      <c r="A600" s="40" t="s">
        <v>162</v>
      </c>
      <c r="B600" s="40" t="s">
        <v>18</v>
      </c>
      <c r="C600" s="40" t="s">
        <v>19</v>
      </c>
      <c r="D600" s="40" t="s">
        <v>20</v>
      </c>
      <c r="E600" s="40" t="s">
        <v>21</v>
      </c>
      <c r="F600" s="40" t="s">
        <v>47</v>
      </c>
      <c r="G600" s="40" t="s">
        <v>48</v>
      </c>
      <c r="H600" s="40" t="s">
        <v>163</v>
      </c>
      <c r="I600" s="40" t="s">
        <v>168</v>
      </c>
      <c r="J600" s="47">
        <v>0</v>
      </c>
      <c r="K600" s="47">
        <v>0</v>
      </c>
      <c r="L600" s="47">
        <v>0</v>
      </c>
      <c r="M600" s="47">
        <v>0</v>
      </c>
      <c r="N600" s="47">
        <v>0</v>
      </c>
      <c r="O600" s="47">
        <v>0</v>
      </c>
      <c r="P600" s="47">
        <v>0</v>
      </c>
      <c r="Q600" s="41" t="s">
        <v>137</v>
      </c>
    </row>
    <row r="601" spans="1:17" x14ac:dyDescent="0.25">
      <c r="A601" s="40" t="s">
        <v>162</v>
      </c>
      <c r="B601" s="40" t="s">
        <v>18</v>
      </c>
      <c r="C601" s="40" t="s">
        <v>19</v>
      </c>
      <c r="D601" s="40" t="s">
        <v>20</v>
      </c>
      <c r="E601" s="40" t="s">
        <v>21</v>
      </c>
      <c r="F601" s="40" t="s">
        <v>59</v>
      </c>
      <c r="G601" s="40" t="s">
        <v>60</v>
      </c>
      <c r="H601" s="40" t="s">
        <v>163</v>
      </c>
      <c r="I601" s="40" t="s">
        <v>168</v>
      </c>
      <c r="J601" s="47">
        <v>0</v>
      </c>
      <c r="K601" s="47">
        <v>0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  <c r="Q601" s="41" t="s">
        <v>137</v>
      </c>
    </row>
    <row r="602" spans="1:17" x14ac:dyDescent="0.25">
      <c r="A602" s="40" t="s">
        <v>162</v>
      </c>
      <c r="B602" s="40" t="s">
        <v>18</v>
      </c>
      <c r="C602" s="40" t="s">
        <v>19</v>
      </c>
      <c r="D602" s="40" t="s">
        <v>20</v>
      </c>
      <c r="E602" s="40" t="s">
        <v>21</v>
      </c>
      <c r="F602" s="40" t="s">
        <v>61</v>
      </c>
      <c r="G602" s="40" t="s">
        <v>62</v>
      </c>
      <c r="H602" s="40" t="s">
        <v>163</v>
      </c>
      <c r="I602" s="40" t="s">
        <v>168</v>
      </c>
      <c r="J602" s="47">
        <v>2.9213869534745647</v>
      </c>
      <c r="K602" s="47">
        <v>2.6328549086869533</v>
      </c>
      <c r="L602" s="47">
        <v>0.7694187861002969</v>
      </c>
      <c r="M602" s="47">
        <v>12.106323712546859</v>
      </c>
      <c r="N602" s="47">
        <v>114.9800198478631</v>
      </c>
      <c r="O602" s="47">
        <v>6.6723035357135112</v>
      </c>
      <c r="P602" s="47">
        <v>0</v>
      </c>
      <c r="Q602" s="41" t="s">
        <v>137</v>
      </c>
    </row>
    <row r="603" spans="1:17" x14ac:dyDescent="0.25">
      <c r="A603" s="40" t="s">
        <v>162</v>
      </c>
      <c r="B603" s="40" t="s">
        <v>18</v>
      </c>
      <c r="C603" s="40" t="s">
        <v>19</v>
      </c>
      <c r="D603" s="40" t="s">
        <v>20</v>
      </c>
      <c r="E603" s="40" t="s">
        <v>21</v>
      </c>
      <c r="F603" s="40" t="s">
        <v>65</v>
      </c>
      <c r="G603" s="40" t="s">
        <v>66</v>
      </c>
      <c r="H603" s="40" t="s">
        <v>163</v>
      </c>
      <c r="I603" s="40" t="s">
        <v>168</v>
      </c>
      <c r="J603" s="47">
        <v>0</v>
      </c>
      <c r="K603" s="47">
        <v>0</v>
      </c>
      <c r="L603" s="47">
        <v>0</v>
      </c>
      <c r="M603" s="47">
        <v>0</v>
      </c>
      <c r="N603" s="47">
        <v>0</v>
      </c>
      <c r="O603" s="47">
        <v>0</v>
      </c>
      <c r="P603" s="47">
        <v>0</v>
      </c>
      <c r="Q603" s="41" t="s">
        <v>137</v>
      </c>
    </row>
    <row r="604" spans="1:17" x14ac:dyDescent="0.25">
      <c r="A604" s="40" t="s">
        <v>162</v>
      </c>
      <c r="B604" s="40" t="s">
        <v>18</v>
      </c>
      <c r="C604" s="40" t="s">
        <v>19</v>
      </c>
      <c r="D604" s="40" t="s">
        <v>20</v>
      </c>
      <c r="E604" s="40" t="s">
        <v>21</v>
      </c>
      <c r="F604" s="40" t="s">
        <v>73</v>
      </c>
      <c r="G604" s="40" t="s">
        <v>74</v>
      </c>
      <c r="H604" s="40" t="s">
        <v>163</v>
      </c>
      <c r="I604" s="40" t="s">
        <v>168</v>
      </c>
      <c r="J604" s="47">
        <v>0</v>
      </c>
      <c r="K604" s="47">
        <v>0</v>
      </c>
      <c r="L604" s="47">
        <v>0</v>
      </c>
      <c r="M604" s="47">
        <v>0</v>
      </c>
      <c r="N604" s="47">
        <v>0</v>
      </c>
      <c r="O604" s="47">
        <v>0</v>
      </c>
      <c r="P604" s="47">
        <v>0</v>
      </c>
      <c r="Q604" s="41" t="s">
        <v>137</v>
      </c>
    </row>
    <row r="605" spans="1:17" x14ac:dyDescent="0.25">
      <c r="A605" s="40" t="s">
        <v>162</v>
      </c>
      <c r="B605" s="40" t="s">
        <v>18</v>
      </c>
      <c r="C605" s="40" t="s">
        <v>19</v>
      </c>
      <c r="D605" s="40" t="s">
        <v>20</v>
      </c>
      <c r="E605" s="40" t="s">
        <v>21</v>
      </c>
      <c r="F605" s="40" t="s">
        <v>75</v>
      </c>
      <c r="G605" s="40" t="s">
        <v>76</v>
      </c>
      <c r="H605" s="40" t="s">
        <v>163</v>
      </c>
      <c r="I605" s="40" t="s">
        <v>168</v>
      </c>
      <c r="J605" s="47">
        <v>0</v>
      </c>
      <c r="K605" s="47">
        <v>0</v>
      </c>
      <c r="L605" s="47">
        <v>0</v>
      </c>
      <c r="M605" s="47">
        <v>0</v>
      </c>
      <c r="N605" s="47">
        <v>0</v>
      </c>
      <c r="O605" s="47">
        <v>0</v>
      </c>
      <c r="P605" s="47">
        <v>0</v>
      </c>
      <c r="Q605" s="41" t="s">
        <v>137</v>
      </c>
    </row>
    <row r="606" spans="1:17" x14ac:dyDescent="0.25">
      <c r="A606" s="40" t="s">
        <v>162</v>
      </c>
      <c r="B606" s="40" t="s">
        <v>18</v>
      </c>
      <c r="C606" s="40" t="s">
        <v>19</v>
      </c>
      <c r="D606" s="40" t="s">
        <v>20</v>
      </c>
      <c r="E606" s="40" t="s">
        <v>21</v>
      </c>
      <c r="F606" s="40" t="s">
        <v>85</v>
      </c>
      <c r="G606" s="40" t="s">
        <v>86</v>
      </c>
      <c r="H606" s="40" t="s">
        <v>163</v>
      </c>
      <c r="I606" s="40" t="s">
        <v>168</v>
      </c>
      <c r="J606" s="47">
        <v>0</v>
      </c>
      <c r="K606" s="47">
        <v>0</v>
      </c>
      <c r="L606" s="47">
        <v>0</v>
      </c>
      <c r="M606" s="47">
        <v>0</v>
      </c>
      <c r="N606" s="47">
        <v>0</v>
      </c>
      <c r="O606" s="47">
        <v>0</v>
      </c>
      <c r="P606" s="47">
        <v>0</v>
      </c>
      <c r="Q606" s="41" t="s">
        <v>137</v>
      </c>
    </row>
    <row r="607" spans="1:17" x14ac:dyDescent="0.25">
      <c r="A607" s="40" t="s">
        <v>162</v>
      </c>
      <c r="B607" s="40" t="s">
        <v>18</v>
      </c>
      <c r="C607" s="40" t="s">
        <v>19</v>
      </c>
      <c r="D607" s="40" t="s">
        <v>20</v>
      </c>
      <c r="E607" s="40" t="s">
        <v>21</v>
      </c>
      <c r="F607" s="40" t="s">
        <v>101</v>
      </c>
      <c r="G607" s="40" t="s">
        <v>21</v>
      </c>
      <c r="H607" s="40" t="s">
        <v>163</v>
      </c>
      <c r="I607" s="40" t="s">
        <v>168</v>
      </c>
      <c r="J607" s="47">
        <v>0</v>
      </c>
      <c r="K607" s="47">
        <v>0</v>
      </c>
      <c r="L607" s="47">
        <v>0</v>
      </c>
      <c r="M607" s="47">
        <v>0</v>
      </c>
      <c r="N607" s="47">
        <v>0</v>
      </c>
      <c r="O607" s="47">
        <v>0</v>
      </c>
      <c r="P607" s="47">
        <v>0</v>
      </c>
      <c r="Q607" s="41" t="s">
        <v>137</v>
      </c>
    </row>
    <row r="608" spans="1:17" x14ac:dyDescent="0.25">
      <c r="A608" s="40" t="s">
        <v>162</v>
      </c>
      <c r="B608" s="40" t="s">
        <v>18</v>
      </c>
      <c r="C608" s="40" t="s">
        <v>19</v>
      </c>
      <c r="D608" s="40" t="s">
        <v>20</v>
      </c>
      <c r="E608" s="40" t="s">
        <v>21</v>
      </c>
      <c r="F608" s="40" t="s">
        <v>104</v>
      </c>
      <c r="G608" s="40" t="s">
        <v>105</v>
      </c>
      <c r="H608" s="40" t="s">
        <v>163</v>
      </c>
      <c r="I608" s="40" t="s">
        <v>168</v>
      </c>
      <c r="J608" s="47">
        <v>0</v>
      </c>
      <c r="K608" s="47">
        <v>0</v>
      </c>
      <c r="L608" s="47">
        <v>0</v>
      </c>
      <c r="M608" s="47">
        <v>0</v>
      </c>
      <c r="N608" s="47">
        <v>0</v>
      </c>
      <c r="O608" s="47">
        <v>0</v>
      </c>
      <c r="P608" s="47">
        <v>0</v>
      </c>
      <c r="Q608" s="41" t="s">
        <v>137</v>
      </c>
    </row>
    <row r="609" spans="1:17" x14ac:dyDescent="0.25">
      <c r="A609" s="40" t="s">
        <v>162</v>
      </c>
      <c r="B609" s="40" t="s">
        <v>18</v>
      </c>
      <c r="C609" s="40" t="s">
        <v>19</v>
      </c>
      <c r="D609" s="40" t="s">
        <v>20</v>
      </c>
      <c r="E609" s="40" t="s">
        <v>21</v>
      </c>
      <c r="F609" s="40" t="s">
        <v>112</v>
      </c>
      <c r="G609" s="40" t="s">
        <v>113</v>
      </c>
      <c r="H609" s="40" t="s">
        <v>163</v>
      </c>
      <c r="I609" s="40" t="s">
        <v>168</v>
      </c>
      <c r="J609" s="47">
        <v>0</v>
      </c>
      <c r="K609" s="47">
        <v>0</v>
      </c>
      <c r="L609" s="47">
        <v>0</v>
      </c>
      <c r="M609" s="47">
        <v>0</v>
      </c>
      <c r="N609" s="47">
        <v>0</v>
      </c>
      <c r="O609" s="47">
        <v>0</v>
      </c>
      <c r="P609" s="47">
        <v>0</v>
      </c>
      <c r="Q609" s="41" t="s">
        <v>137</v>
      </c>
    </row>
    <row r="610" spans="1:17" x14ac:dyDescent="0.25">
      <c r="A610" s="40" t="s">
        <v>162</v>
      </c>
      <c r="B610" s="40" t="s">
        <v>18</v>
      </c>
      <c r="C610" s="40" t="s">
        <v>19</v>
      </c>
      <c r="D610" s="40" t="s">
        <v>20</v>
      </c>
      <c r="E610" s="40" t="s">
        <v>21</v>
      </c>
      <c r="F610" s="40" t="s">
        <v>114</v>
      </c>
      <c r="G610" s="40" t="s">
        <v>115</v>
      </c>
      <c r="H610" s="40" t="s">
        <v>163</v>
      </c>
      <c r="I610" s="40" t="s">
        <v>168</v>
      </c>
      <c r="J610" s="47">
        <v>0</v>
      </c>
      <c r="K610" s="47">
        <v>0</v>
      </c>
      <c r="L610" s="47">
        <v>0</v>
      </c>
      <c r="M610" s="47">
        <v>0</v>
      </c>
      <c r="N610" s="47">
        <v>0</v>
      </c>
      <c r="O610" s="47">
        <v>0</v>
      </c>
      <c r="P610" s="47">
        <v>0</v>
      </c>
      <c r="Q610" s="41" t="s">
        <v>137</v>
      </c>
    </row>
    <row r="611" spans="1:17" x14ac:dyDescent="0.25">
      <c r="A611" s="40" t="s">
        <v>162</v>
      </c>
      <c r="B611" s="40" t="s">
        <v>18</v>
      </c>
      <c r="C611" s="40" t="s">
        <v>19</v>
      </c>
      <c r="D611" s="40" t="s">
        <v>20</v>
      </c>
      <c r="E611" s="40" t="s">
        <v>21</v>
      </c>
      <c r="F611" s="40" t="s">
        <v>116</v>
      </c>
      <c r="G611" s="40" t="s">
        <v>117</v>
      </c>
      <c r="H611" s="40" t="s">
        <v>163</v>
      </c>
      <c r="I611" s="40" t="s">
        <v>168</v>
      </c>
      <c r="J611" s="47">
        <v>0</v>
      </c>
      <c r="K611" s="47">
        <v>0</v>
      </c>
      <c r="L611" s="47">
        <v>0</v>
      </c>
      <c r="M611" s="47">
        <v>0</v>
      </c>
      <c r="N611" s="47">
        <v>0</v>
      </c>
      <c r="O611" s="47">
        <v>0</v>
      </c>
      <c r="P611" s="47">
        <v>0</v>
      </c>
      <c r="Q611" s="41" t="s">
        <v>137</v>
      </c>
    </row>
    <row r="612" spans="1:17" x14ac:dyDescent="0.25">
      <c r="A612" s="40" t="s">
        <v>162</v>
      </c>
      <c r="B612" s="40" t="s">
        <v>18</v>
      </c>
      <c r="C612" s="40" t="s">
        <v>19</v>
      </c>
      <c r="D612" s="40" t="s">
        <v>20</v>
      </c>
      <c r="E612" s="40" t="s">
        <v>21</v>
      </c>
      <c r="F612" s="40" t="s">
        <v>118</v>
      </c>
      <c r="G612" s="40" t="s">
        <v>119</v>
      </c>
      <c r="H612" s="40" t="s">
        <v>163</v>
      </c>
      <c r="I612" s="40" t="s">
        <v>168</v>
      </c>
      <c r="J612" s="47">
        <v>0</v>
      </c>
      <c r="K612" s="47">
        <v>0</v>
      </c>
      <c r="L612" s="47">
        <v>0</v>
      </c>
      <c r="M612" s="47">
        <v>0</v>
      </c>
      <c r="N612" s="47">
        <v>0</v>
      </c>
      <c r="O612" s="47">
        <v>0</v>
      </c>
      <c r="P612" s="47">
        <v>0</v>
      </c>
      <c r="Q612" s="41" t="s">
        <v>137</v>
      </c>
    </row>
    <row r="613" spans="1:17" x14ac:dyDescent="0.25">
      <c r="A613" s="40" t="s">
        <v>162</v>
      </c>
      <c r="B613" s="40" t="s">
        <v>18</v>
      </c>
      <c r="C613" s="40" t="s">
        <v>19</v>
      </c>
      <c r="D613" s="40" t="s">
        <v>20</v>
      </c>
      <c r="E613" s="40" t="s">
        <v>21</v>
      </c>
      <c r="F613" s="40" t="s">
        <v>120</v>
      </c>
      <c r="G613" s="40" t="s">
        <v>121</v>
      </c>
      <c r="H613" s="40" t="s">
        <v>163</v>
      </c>
      <c r="I613" s="40" t="s">
        <v>168</v>
      </c>
      <c r="J613" s="47">
        <v>0</v>
      </c>
      <c r="K613" s="47">
        <v>0</v>
      </c>
      <c r="L613" s="47">
        <v>0</v>
      </c>
      <c r="M613" s="47">
        <v>0</v>
      </c>
      <c r="N613" s="47">
        <v>0</v>
      </c>
      <c r="O613" s="47">
        <v>0</v>
      </c>
      <c r="P613" s="47">
        <v>0</v>
      </c>
      <c r="Q613" s="41" t="s">
        <v>137</v>
      </c>
    </row>
    <row r="614" spans="1:17" x14ac:dyDescent="0.25">
      <c r="A614" s="40" t="s">
        <v>162</v>
      </c>
      <c r="B614" s="40" t="s">
        <v>18</v>
      </c>
      <c r="C614" s="40" t="s">
        <v>19</v>
      </c>
      <c r="D614" s="40" t="s">
        <v>20</v>
      </c>
      <c r="E614" s="40" t="s">
        <v>21</v>
      </c>
      <c r="F614" s="40" t="s">
        <v>22</v>
      </c>
      <c r="G614" s="40" t="s">
        <v>23</v>
      </c>
      <c r="H614" s="40" t="s">
        <v>163</v>
      </c>
      <c r="I614" s="40" t="s">
        <v>169</v>
      </c>
      <c r="J614" s="47">
        <v>0.37508116033758632</v>
      </c>
      <c r="K614" s="47">
        <v>0.33693731352359452</v>
      </c>
      <c r="L614" s="47">
        <v>0.13562256644974874</v>
      </c>
      <c r="M614" s="47">
        <v>1.4897291283464589</v>
      </c>
      <c r="N614" s="47">
        <v>15.11555885134465</v>
      </c>
      <c r="O614" s="47">
        <v>0.55944308660521347</v>
      </c>
      <c r="P614" s="47">
        <v>0</v>
      </c>
      <c r="Q614" s="41" t="s">
        <v>137</v>
      </c>
    </row>
    <row r="615" spans="1:17" x14ac:dyDescent="0.25">
      <c r="A615" s="40" t="s">
        <v>162</v>
      </c>
      <c r="B615" s="40" t="s">
        <v>18</v>
      </c>
      <c r="C615" s="40" t="s">
        <v>19</v>
      </c>
      <c r="D615" s="40" t="s">
        <v>20</v>
      </c>
      <c r="E615" s="40" t="s">
        <v>21</v>
      </c>
      <c r="F615" s="40" t="s">
        <v>35</v>
      </c>
      <c r="G615" s="40" t="s">
        <v>36</v>
      </c>
      <c r="H615" s="40" t="s">
        <v>163</v>
      </c>
      <c r="I615" s="40" t="s">
        <v>169</v>
      </c>
      <c r="J615" s="47">
        <v>1.1468827787245428</v>
      </c>
      <c r="K615" s="47">
        <v>1.0302506317356062</v>
      </c>
      <c r="L615" s="47">
        <v>0.4146920781828855</v>
      </c>
      <c r="M615" s="47">
        <v>4.5551332962901334</v>
      </c>
      <c r="N615" s="47">
        <v>46.218728026226906</v>
      </c>
      <c r="O615" s="47">
        <v>1.7106048225044028</v>
      </c>
      <c r="P615" s="47">
        <v>0</v>
      </c>
      <c r="Q615" s="41" t="s">
        <v>137</v>
      </c>
    </row>
    <row r="616" spans="1:17" x14ac:dyDescent="0.25">
      <c r="A616" s="40" t="s">
        <v>162</v>
      </c>
      <c r="B616" s="40" t="s">
        <v>18</v>
      </c>
      <c r="C616" s="40" t="s">
        <v>19</v>
      </c>
      <c r="D616" s="40" t="s">
        <v>20</v>
      </c>
      <c r="E616" s="40" t="s">
        <v>21</v>
      </c>
      <c r="F616" s="40" t="s">
        <v>41</v>
      </c>
      <c r="G616" s="40" t="s">
        <v>42</v>
      </c>
      <c r="H616" s="40" t="s">
        <v>163</v>
      </c>
      <c r="I616" s="40" t="s">
        <v>169</v>
      </c>
      <c r="J616" s="47">
        <v>3.2098291605812674</v>
      </c>
      <c r="K616" s="47">
        <v>2.8834058561153757</v>
      </c>
      <c r="L616" s="47">
        <v>1.1606161936565034</v>
      </c>
      <c r="M616" s="47">
        <v>12.748643502195655</v>
      </c>
      <c r="N616" s="47">
        <v>129.35430170862247</v>
      </c>
      <c r="O616" s="47">
        <v>4.7875417988330771</v>
      </c>
      <c r="P616" s="47">
        <v>0</v>
      </c>
      <c r="Q616" s="41" t="s">
        <v>137</v>
      </c>
    </row>
    <row r="617" spans="1:17" x14ac:dyDescent="0.25">
      <c r="A617" s="40" t="s">
        <v>162</v>
      </c>
      <c r="B617" s="40" t="s">
        <v>18</v>
      </c>
      <c r="C617" s="40" t="s">
        <v>19</v>
      </c>
      <c r="D617" s="40" t="s">
        <v>20</v>
      </c>
      <c r="E617" s="40" t="s">
        <v>21</v>
      </c>
      <c r="F617" s="40" t="s">
        <v>43</v>
      </c>
      <c r="G617" s="40" t="s">
        <v>44</v>
      </c>
      <c r="H617" s="40" t="s">
        <v>163</v>
      </c>
      <c r="I617" s="40" t="s">
        <v>169</v>
      </c>
      <c r="J617" s="47">
        <v>0.87278500770861411</v>
      </c>
      <c r="K617" s="47">
        <v>0.78402721031451783</v>
      </c>
      <c r="L617" s="47">
        <v>0.31558327962345367</v>
      </c>
      <c r="M617" s="47">
        <v>3.4664850871138744</v>
      </c>
      <c r="N617" s="47">
        <v>35.172742711782739</v>
      </c>
      <c r="O617" s="47">
        <v>1.3017810284467466</v>
      </c>
      <c r="P617" s="47">
        <v>0</v>
      </c>
      <c r="Q617" s="41" t="s">
        <v>137</v>
      </c>
    </row>
    <row r="618" spans="1:17" x14ac:dyDescent="0.25">
      <c r="A618" s="40" t="s">
        <v>162</v>
      </c>
      <c r="B618" s="40" t="s">
        <v>18</v>
      </c>
      <c r="C618" s="40" t="s">
        <v>19</v>
      </c>
      <c r="D618" s="40" t="s">
        <v>20</v>
      </c>
      <c r="E618" s="40" t="s">
        <v>21</v>
      </c>
      <c r="F618" s="40" t="s">
        <v>47</v>
      </c>
      <c r="G618" s="40" t="s">
        <v>48</v>
      </c>
      <c r="H618" s="40" t="s">
        <v>163</v>
      </c>
      <c r="I618" s="40" t="s">
        <v>169</v>
      </c>
      <c r="J618" s="47">
        <v>0</v>
      </c>
      <c r="K618" s="47">
        <v>0</v>
      </c>
      <c r="L618" s="47">
        <v>0</v>
      </c>
      <c r="M618" s="47">
        <v>0</v>
      </c>
      <c r="N618" s="47">
        <v>0</v>
      </c>
      <c r="O618" s="47">
        <v>0</v>
      </c>
      <c r="P618" s="47">
        <v>0</v>
      </c>
      <c r="Q618" s="41" t="s">
        <v>137</v>
      </c>
    </row>
    <row r="619" spans="1:17" x14ac:dyDescent="0.25">
      <c r="A619" s="40" t="s">
        <v>162</v>
      </c>
      <c r="B619" s="40" t="s">
        <v>18</v>
      </c>
      <c r="C619" s="40" t="s">
        <v>19</v>
      </c>
      <c r="D619" s="40" t="s">
        <v>20</v>
      </c>
      <c r="E619" s="40" t="s">
        <v>21</v>
      </c>
      <c r="F619" s="40" t="s">
        <v>59</v>
      </c>
      <c r="G619" s="40" t="s">
        <v>60</v>
      </c>
      <c r="H619" s="40" t="s">
        <v>163</v>
      </c>
      <c r="I619" s="40" t="s">
        <v>169</v>
      </c>
      <c r="J619" s="47">
        <v>3.5776972216815928</v>
      </c>
      <c r="K619" s="47">
        <v>3.2138636059173633</v>
      </c>
      <c r="L619" s="47">
        <v>1.2936306338283727</v>
      </c>
      <c r="M619" s="47">
        <v>14.209723993458532</v>
      </c>
      <c r="N619" s="47">
        <v>144.17917673590284</v>
      </c>
      <c r="O619" s="47">
        <v>5.3362263645420374</v>
      </c>
      <c r="P619" s="47">
        <v>0</v>
      </c>
      <c r="Q619" s="41" t="s">
        <v>137</v>
      </c>
    </row>
    <row r="620" spans="1:17" x14ac:dyDescent="0.25">
      <c r="A620" s="40" t="s">
        <v>162</v>
      </c>
      <c r="B620" s="40" t="s">
        <v>18</v>
      </c>
      <c r="C620" s="40" t="s">
        <v>19</v>
      </c>
      <c r="D620" s="40" t="s">
        <v>20</v>
      </c>
      <c r="E620" s="40" t="s">
        <v>21</v>
      </c>
      <c r="F620" s="40" t="s">
        <v>61</v>
      </c>
      <c r="G620" s="40" t="s">
        <v>62</v>
      </c>
      <c r="H620" s="40" t="s">
        <v>163</v>
      </c>
      <c r="I620" s="40" t="s">
        <v>169</v>
      </c>
      <c r="J620" s="47">
        <v>0</v>
      </c>
      <c r="K620" s="47">
        <v>0</v>
      </c>
      <c r="L620" s="47">
        <v>0</v>
      </c>
      <c r="M620" s="47">
        <v>0</v>
      </c>
      <c r="N620" s="47">
        <v>0</v>
      </c>
      <c r="O620" s="47">
        <v>0</v>
      </c>
      <c r="P620" s="47">
        <v>0</v>
      </c>
      <c r="Q620" s="41" t="s">
        <v>137</v>
      </c>
    </row>
    <row r="621" spans="1:17" x14ac:dyDescent="0.25">
      <c r="A621" s="40" t="s">
        <v>162</v>
      </c>
      <c r="B621" s="40" t="s">
        <v>18</v>
      </c>
      <c r="C621" s="40" t="s">
        <v>19</v>
      </c>
      <c r="D621" s="40" t="s">
        <v>20</v>
      </c>
      <c r="E621" s="40" t="s">
        <v>21</v>
      </c>
      <c r="F621" s="40" t="s">
        <v>65</v>
      </c>
      <c r="G621" s="40" t="s">
        <v>66</v>
      </c>
      <c r="H621" s="40" t="s">
        <v>163</v>
      </c>
      <c r="I621" s="40" t="s">
        <v>169</v>
      </c>
      <c r="J621" s="47">
        <v>1.4570460459267776</v>
      </c>
      <c r="K621" s="47">
        <v>1.3088718717647325</v>
      </c>
      <c r="L621" s="47">
        <v>0.52684150813171615</v>
      </c>
      <c r="M621" s="47">
        <v>5.7870246908843201</v>
      </c>
      <c r="N621" s="47">
        <v>58.718132460992678</v>
      </c>
      <c r="O621" s="47">
        <v>2.1732212210433293</v>
      </c>
      <c r="P621" s="47">
        <v>0</v>
      </c>
      <c r="Q621" s="41" t="s">
        <v>137</v>
      </c>
    </row>
    <row r="622" spans="1:17" x14ac:dyDescent="0.25">
      <c r="A622" s="40" t="s">
        <v>162</v>
      </c>
      <c r="B622" s="40" t="s">
        <v>18</v>
      </c>
      <c r="C622" s="40" t="s">
        <v>19</v>
      </c>
      <c r="D622" s="40" t="s">
        <v>20</v>
      </c>
      <c r="E622" s="40" t="s">
        <v>21</v>
      </c>
      <c r="F622" s="40" t="s">
        <v>73</v>
      </c>
      <c r="G622" s="40" t="s">
        <v>74</v>
      </c>
      <c r="H622" s="40" t="s">
        <v>163</v>
      </c>
      <c r="I622" s="40" t="s">
        <v>169</v>
      </c>
      <c r="J622" s="47">
        <v>0</v>
      </c>
      <c r="K622" s="47">
        <v>0</v>
      </c>
      <c r="L622" s="47">
        <v>0</v>
      </c>
      <c r="M622" s="47">
        <v>0</v>
      </c>
      <c r="N622" s="47">
        <v>0</v>
      </c>
      <c r="O622" s="47">
        <v>0</v>
      </c>
      <c r="P622" s="47">
        <v>0</v>
      </c>
      <c r="Q622" s="41" t="s">
        <v>137</v>
      </c>
    </row>
    <row r="623" spans="1:17" x14ac:dyDescent="0.25">
      <c r="A623" s="40" t="s">
        <v>162</v>
      </c>
      <c r="B623" s="40" t="s">
        <v>18</v>
      </c>
      <c r="C623" s="40" t="s">
        <v>19</v>
      </c>
      <c r="D623" s="40" t="s">
        <v>20</v>
      </c>
      <c r="E623" s="40" t="s">
        <v>21</v>
      </c>
      <c r="F623" s="40" t="s">
        <v>75</v>
      </c>
      <c r="G623" s="40" t="s">
        <v>76</v>
      </c>
      <c r="H623" s="40" t="s">
        <v>163</v>
      </c>
      <c r="I623" s="40" t="s">
        <v>169</v>
      </c>
      <c r="J623" s="47">
        <v>1.1468827787245428</v>
      </c>
      <c r="K623" s="47">
        <v>1.0302506317356062</v>
      </c>
      <c r="L623" s="47">
        <v>0.4146920781828855</v>
      </c>
      <c r="M623" s="47">
        <v>4.5551332962901334</v>
      </c>
      <c r="N623" s="47">
        <v>46.218728026226906</v>
      </c>
      <c r="O623" s="47">
        <v>1.7106048225044028</v>
      </c>
      <c r="P623" s="47">
        <v>0</v>
      </c>
      <c r="Q623" s="41" t="s">
        <v>137</v>
      </c>
    </row>
    <row r="624" spans="1:17" x14ac:dyDescent="0.25">
      <c r="A624" s="40" t="s">
        <v>162</v>
      </c>
      <c r="B624" s="40" t="s">
        <v>18</v>
      </c>
      <c r="C624" s="40" t="s">
        <v>19</v>
      </c>
      <c r="D624" s="40" t="s">
        <v>20</v>
      </c>
      <c r="E624" s="40" t="s">
        <v>21</v>
      </c>
      <c r="F624" s="40" t="s">
        <v>85</v>
      </c>
      <c r="G624" s="40" t="s">
        <v>86</v>
      </c>
      <c r="H624" s="40" t="s">
        <v>163</v>
      </c>
      <c r="I624" s="40" t="s">
        <v>169</v>
      </c>
      <c r="J624" s="47">
        <v>0.64917893135351468</v>
      </c>
      <c r="K624" s="47">
        <v>0.58316073494468268</v>
      </c>
      <c r="L624" s="47">
        <v>0.23473136500918049</v>
      </c>
      <c r="M624" s="47">
        <v>2.5783773375227166</v>
      </c>
      <c r="N624" s="47">
        <v>26.161544165788815</v>
      </c>
      <c r="O624" s="47">
        <v>0.96826688066286948</v>
      </c>
      <c r="P624" s="47">
        <v>0</v>
      </c>
      <c r="Q624" s="41" t="s">
        <v>137</v>
      </c>
    </row>
    <row r="625" spans="1:17" x14ac:dyDescent="0.25">
      <c r="A625" s="40" t="s">
        <v>162</v>
      </c>
      <c r="B625" s="40" t="s">
        <v>18</v>
      </c>
      <c r="C625" s="40" t="s">
        <v>19</v>
      </c>
      <c r="D625" s="40" t="s">
        <v>20</v>
      </c>
      <c r="E625" s="40" t="s">
        <v>21</v>
      </c>
      <c r="F625" s="40" t="s">
        <v>101</v>
      </c>
      <c r="G625" s="40" t="s">
        <v>21</v>
      </c>
      <c r="H625" s="40" t="s">
        <v>163</v>
      </c>
      <c r="I625" s="40" t="s">
        <v>169</v>
      </c>
      <c r="J625" s="47">
        <v>2.0485201833822022</v>
      </c>
      <c r="K625" s="47">
        <v>1.8401960969365549</v>
      </c>
      <c r="L625" s="47">
        <v>0.74070786291785851</v>
      </c>
      <c r="M625" s="47">
        <v>8.1362129317383527</v>
      </c>
      <c r="N625" s="47">
        <v>82.554206034266954</v>
      </c>
      <c r="O625" s="47">
        <v>3.0554199345361663</v>
      </c>
      <c r="P625" s="47">
        <v>0</v>
      </c>
      <c r="Q625" s="41" t="s">
        <v>137</v>
      </c>
    </row>
    <row r="626" spans="1:17" x14ac:dyDescent="0.25">
      <c r="A626" s="40" t="s">
        <v>162</v>
      </c>
      <c r="B626" s="40" t="s">
        <v>18</v>
      </c>
      <c r="C626" s="40" t="s">
        <v>19</v>
      </c>
      <c r="D626" s="40" t="s">
        <v>20</v>
      </c>
      <c r="E626" s="40" t="s">
        <v>21</v>
      </c>
      <c r="F626" s="40" t="s">
        <v>104</v>
      </c>
      <c r="G626" s="40" t="s">
        <v>105</v>
      </c>
      <c r="H626" s="40" t="s">
        <v>163</v>
      </c>
      <c r="I626" s="40" t="s">
        <v>169</v>
      </c>
      <c r="J626" s="47">
        <v>2.1350773742293376</v>
      </c>
      <c r="K626" s="47">
        <v>1.9179508615958456</v>
      </c>
      <c r="L626" s="47">
        <v>0.77200537825241577</v>
      </c>
      <c r="M626" s="47">
        <v>8.4799965767413799</v>
      </c>
      <c r="N626" s="47">
        <v>86.042411923038784</v>
      </c>
      <c r="O626" s="47">
        <v>3.1845221852912151</v>
      </c>
      <c r="P626" s="47">
        <v>0</v>
      </c>
      <c r="Q626" s="41" t="s">
        <v>137</v>
      </c>
    </row>
    <row r="627" spans="1:17" x14ac:dyDescent="0.25">
      <c r="A627" s="40" t="s">
        <v>162</v>
      </c>
      <c r="B627" s="40" t="s">
        <v>18</v>
      </c>
      <c r="C627" s="40" t="s">
        <v>19</v>
      </c>
      <c r="D627" s="40" t="s">
        <v>20</v>
      </c>
      <c r="E627" s="40" t="s">
        <v>21</v>
      </c>
      <c r="F627" s="40" t="s">
        <v>112</v>
      </c>
      <c r="G627" s="40" t="s">
        <v>113</v>
      </c>
      <c r="H627" s="40" t="s">
        <v>163</v>
      </c>
      <c r="I627" s="40" t="s">
        <v>169</v>
      </c>
      <c r="J627" s="47">
        <v>3.4550745346481513</v>
      </c>
      <c r="K627" s="47">
        <v>3.103711022650034</v>
      </c>
      <c r="L627" s="47">
        <v>1.2492924871044162</v>
      </c>
      <c r="M627" s="47">
        <v>13.722697163037573</v>
      </c>
      <c r="N627" s="47">
        <v>139.23755172680939</v>
      </c>
      <c r="O627" s="47">
        <v>5.1533315093057173</v>
      </c>
      <c r="P627" s="47">
        <v>0</v>
      </c>
      <c r="Q627" s="41" t="s">
        <v>137</v>
      </c>
    </row>
    <row r="628" spans="1:17" x14ac:dyDescent="0.25">
      <c r="A628" s="40" t="s">
        <v>162</v>
      </c>
      <c r="B628" s="40" t="s">
        <v>18</v>
      </c>
      <c r="C628" s="40" t="s">
        <v>19</v>
      </c>
      <c r="D628" s="40" t="s">
        <v>20</v>
      </c>
      <c r="E628" s="40" t="s">
        <v>21</v>
      </c>
      <c r="F628" s="40" t="s">
        <v>114</v>
      </c>
      <c r="G628" s="40" t="s">
        <v>115</v>
      </c>
      <c r="H628" s="40" t="s">
        <v>163</v>
      </c>
      <c r="I628" s="40" t="s">
        <v>169</v>
      </c>
      <c r="J628" s="47">
        <v>0</v>
      </c>
      <c r="K628" s="47">
        <v>0</v>
      </c>
      <c r="L628" s="47">
        <v>0</v>
      </c>
      <c r="M628" s="47">
        <v>0</v>
      </c>
      <c r="N628" s="47">
        <v>0</v>
      </c>
      <c r="O628" s="47">
        <v>0</v>
      </c>
      <c r="P628" s="47">
        <v>0</v>
      </c>
      <c r="Q628" s="41" t="s">
        <v>137</v>
      </c>
    </row>
    <row r="629" spans="1:17" x14ac:dyDescent="0.25">
      <c r="A629" s="40" t="s">
        <v>162</v>
      </c>
      <c r="B629" s="40" t="s">
        <v>18</v>
      </c>
      <c r="C629" s="40" t="s">
        <v>19</v>
      </c>
      <c r="D629" s="40" t="s">
        <v>20</v>
      </c>
      <c r="E629" s="40" t="s">
        <v>21</v>
      </c>
      <c r="F629" s="40" t="s">
        <v>116</v>
      </c>
      <c r="G629" s="40" t="s">
        <v>117</v>
      </c>
      <c r="H629" s="40" t="s">
        <v>163</v>
      </c>
      <c r="I629" s="40" t="s">
        <v>169</v>
      </c>
      <c r="J629" s="47">
        <v>0.49770384737102802</v>
      </c>
      <c r="K629" s="47">
        <v>0.44708989679092348</v>
      </c>
      <c r="L629" s="47">
        <v>0.17996071317370504</v>
      </c>
      <c r="M629" s="47">
        <v>1.9767559587674164</v>
      </c>
      <c r="N629" s="47">
        <v>20.057183860438094</v>
      </c>
      <c r="O629" s="47">
        <v>0.74233794184153334</v>
      </c>
      <c r="P629" s="47">
        <v>0</v>
      </c>
      <c r="Q629" s="41" t="s">
        <v>137</v>
      </c>
    </row>
    <row r="630" spans="1:17" x14ac:dyDescent="0.25">
      <c r="A630" s="40" t="s">
        <v>162</v>
      </c>
      <c r="B630" s="40" t="s">
        <v>18</v>
      </c>
      <c r="C630" s="40" t="s">
        <v>19</v>
      </c>
      <c r="D630" s="40" t="s">
        <v>20</v>
      </c>
      <c r="E630" s="40" t="s">
        <v>21</v>
      </c>
      <c r="F630" s="40" t="s">
        <v>118</v>
      </c>
      <c r="G630" s="40" t="s">
        <v>119</v>
      </c>
      <c r="H630" s="40" t="s">
        <v>163</v>
      </c>
      <c r="I630" s="40" t="s">
        <v>169</v>
      </c>
      <c r="J630" s="47">
        <v>0.96655529779301086</v>
      </c>
      <c r="K630" s="47">
        <v>0.86826153869541656</v>
      </c>
      <c r="L630" s="47">
        <v>0.34948892123589093</v>
      </c>
      <c r="M630" s="47">
        <v>3.8389173692004896</v>
      </c>
      <c r="N630" s="47">
        <v>38.9516324246189</v>
      </c>
      <c r="O630" s="47">
        <v>1.4416418000980502</v>
      </c>
      <c r="P630" s="47">
        <v>0</v>
      </c>
      <c r="Q630" s="41" t="s">
        <v>137</v>
      </c>
    </row>
    <row r="631" spans="1:17" x14ac:dyDescent="0.25">
      <c r="A631" s="40" t="s">
        <v>162</v>
      </c>
      <c r="B631" s="40" t="s">
        <v>18</v>
      </c>
      <c r="C631" s="40" t="s">
        <v>19</v>
      </c>
      <c r="D631" s="40" t="s">
        <v>20</v>
      </c>
      <c r="E631" s="40" t="s">
        <v>21</v>
      </c>
      <c r="F631" s="40" t="s">
        <v>120</v>
      </c>
      <c r="G631" s="40" t="s">
        <v>121</v>
      </c>
      <c r="H631" s="40" t="s">
        <v>163</v>
      </c>
      <c r="I631" s="40" t="s">
        <v>169</v>
      </c>
      <c r="J631" s="47">
        <v>0</v>
      </c>
      <c r="K631" s="47">
        <v>0</v>
      </c>
      <c r="L631" s="47">
        <v>0</v>
      </c>
      <c r="M631" s="47">
        <v>0</v>
      </c>
      <c r="N631" s="47">
        <v>0</v>
      </c>
      <c r="O631" s="47">
        <v>0</v>
      </c>
      <c r="P631" s="47">
        <v>0</v>
      </c>
      <c r="Q631" s="41" t="s">
        <v>137</v>
      </c>
    </row>
    <row r="632" spans="1:17" x14ac:dyDescent="0.25">
      <c r="A632" s="40" t="s">
        <v>162</v>
      </c>
      <c r="B632" s="40" t="s">
        <v>18</v>
      </c>
      <c r="C632" s="40" t="s">
        <v>19</v>
      </c>
      <c r="D632" s="40" t="s">
        <v>20</v>
      </c>
      <c r="E632" s="40" t="s">
        <v>21</v>
      </c>
      <c r="F632" s="40" t="s">
        <v>22</v>
      </c>
      <c r="G632" s="40" t="s">
        <v>23</v>
      </c>
      <c r="H632" s="40" t="s">
        <v>163</v>
      </c>
      <c r="I632" s="40" t="s">
        <v>170</v>
      </c>
      <c r="J632" s="47">
        <v>0</v>
      </c>
      <c r="K632" s="47">
        <v>0</v>
      </c>
      <c r="L632" s="47">
        <v>0</v>
      </c>
      <c r="M632" s="47">
        <v>0</v>
      </c>
      <c r="N632" s="47">
        <v>0</v>
      </c>
      <c r="O632" s="47">
        <v>0</v>
      </c>
      <c r="P632" s="47">
        <v>0</v>
      </c>
      <c r="Q632" s="41" t="s">
        <v>137</v>
      </c>
    </row>
    <row r="633" spans="1:17" x14ac:dyDescent="0.25">
      <c r="A633" s="40" t="s">
        <v>162</v>
      </c>
      <c r="B633" s="40" t="s">
        <v>18</v>
      </c>
      <c r="C633" s="40" t="s">
        <v>19</v>
      </c>
      <c r="D633" s="40" t="s">
        <v>20</v>
      </c>
      <c r="E633" s="40" t="s">
        <v>21</v>
      </c>
      <c r="F633" s="40" t="s">
        <v>35</v>
      </c>
      <c r="G633" s="40" t="s">
        <v>36</v>
      </c>
      <c r="H633" s="40" t="s">
        <v>163</v>
      </c>
      <c r="I633" s="40" t="s">
        <v>170</v>
      </c>
      <c r="J633" s="47">
        <v>0</v>
      </c>
      <c r="K633" s="47">
        <v>0</v>
      </c>
      <c r="L633" s="47">
        <v>0</v>
      </c>
      <c r="M633" s="47">
        <v>0</v>
      </c>
      <c r="N633" s="47">
        <v>0</v>
      </c>
      <c r="O633" s="47">
        <v>0</v>
      </c>
      <c r="P633" s="47">
        <v>0</v>
      </c>
      <c r="Q633" s="41" t="s">
        <v>137</v>
      </c>
    </row>
    <row r="634" spans="1:17" x14ac:dyDescent="0.25">
      <c r="A634" s="40" t="s">
        <v>162</v>
      </c>
      <c r="B634" s="40" t="s">
        <v>18</v>
      </c>
      <c r="C634" s="40" t="s">
        <v>19</v>
      </c>
      <c r="D634" s="40" t="s">
        <v>20</v>
      </c>
      <c r="E634" s="40" t="s">
        <v>21</v>
      </c>
      <c r="F634" s="40" t="s">
        <v>41</v>
      </c>
      <c r="G634" s="40" t="s">
        <v>42</v>
      </c>
      <c r="H634" s="40" t="s">
        <v>163</v>
      </c>
      <c r="I634" s="40" t="s">
        <v>170</v>
      </c>
      <c r="J634" s="47">
        <v>0</v>
      </c>
      <c r="K634" s="47">
        <v>0</v>
      </c>
      <c r="L634" s="47">
        <v>0</v>
      </c>
      <c r="M634" s="47">
        <v>0</v>
      </c>
      <c r="N634" s="47">
        <v>0</v>
      </c>
      <c r="O634" s="47">
        <v>0</v>
      </c>
      <c r="P634" s="47">
        <v>0</v>
      </c>
      <c r="Q634" s="41" t="s">
        <v>137</v>
      </c>
    </row>
    <row r="635" spans="1:17" x14ac:dyDescent="0.25">
      <c r="A635" s="40" t="s">
        <v>162</v>
      </c>
      <c r="B635" s="40" t="s">
        <v>18</v>
      </c>
      <c r="C635" s="40" t="s">
        <v>19</v>
      </c>
      <c r="D635" s="40" t="s">
        <v>20</v>
      </c>
      <c r="E635" s="40" t="s">
        <v>21</v>
      </c>
      <c r="F635" s="40" t="s">
        <v>43</v>
      </c>
      <c r="G635" s="40" t="s">
        <v>44</v>
      </c>
      <c r="H635" s="40" t="s">
        <v>163</v>
      </c>
      <c r="I635" s="40" t="s">
        <v>170</v>
      </c>
      <c r="J635" s="47">
        <v>0</v>
      </c>
      <c r="K635" s="47">
        <v>0</v>
      </c>
      <c r="L635" s="47">
        <v>0</v>
      </c>
      <c r="M635" s="47">
        <v>0</v>
      </c>
      <c r="N635" s="47">
        <v>0</v>
      </c>
      <c r="O635" s="47">
        <v>0</v>
      </c>
      <c r="P635" s="47">
        <v>0</v>
      </c>
      <c r="Q635" s="41" t="s">
        <v>137</v>
      </c>
    </row>
    <row r="636" spans="1:17" x14ac:dyDescent="0.25">
      <c r="A636" s="40" t="s">
        <v>162</v>
      </c>
      <c r="B636" s="40" t="s">
        <v>18</v>
      </c>
      <c r="C636" s="40" t="s">
        <v>19</v>
      </c>
      <c r="D636" s="40" t="s">
        <v>20</v>
      </c>
      <c r="E636" s="40" t="s">
        <v>21</v>
      </c>
      <c r="F636" s="40" t="s">
        <v>47</v>
      </c>
      <c r="G636" s="40" t="s">
        <v>48</v>
      </c>
      <c r="H636" s="40" t="s">
        <v>163</v>
      </c>
      <c r="I636" s="40" t="s">
        <v>170</v>
      </c>
      <c r="J636" s="47">
        <v>0</v>
      </c>
      <c r="K636" s="47">
        <v>0</v>
      </c>
      <c r="L636" s="47">
        <v>0</v>
      </c>
      <c r="M636" s="47">
        <v>0</v>
      </c>
      <c r="N636" s="47">
        <v>0</v>
      </c>
      <c r="O636" s="47">
        <v>0</v>
      </c>
      <c r="P636" s="47">
        <v>0</v>
      </c>
      <c r="Q636" s="41" t="s">
        <v>137</v>
      </c>
    </row>
    <row r="637" spans="1:17" x14ac:dyDescent="0.25">
      <c r="A637" s="40" t="s">
        <v>162</v>
      </c>
      <c r="B637" s="40" t="s">
        <v>18</v>
      </c>
      <c r="C637" s="40" t="s">
        <v>19</v>
      </c>
      <c r="D637" s="40" t="s">
        <v>20</v>
      </c>
      <c r="E637" s="40" t="s">
        <v>21</v>
      </c>
      <c r="F637" s="40" t="s">
        <v>59</v>
      </c>
      <c r="G637" s="40" t="s">
        <v>60</v>
      </c>
      <c r="H637" s="40" t="s">
        <v>163</v>
      </c>
      <c r="I637" s="40" t="s">
        <v>170</v>
      </c>
      <c r="J637" s="47">
        <v>0</v>
      </c>
      <c r="K637" s="47">
        <v>0</v>
      </c>
      <c r="L637" s="47">
        <v>0</v>
      </c>
      <c r="M637" s="47">
        <v>0</v>
      </c>
      <c r="N637" s="47">
        <v>0</v>
      </c>
      <c r="O637" s="47">
        <v>0</v>
      </c>
      <c r="P637" s="47">
        <v>0</v>
      </c>
      <c r="Q637" s="41" t="s">
        <v>137</v>
      </c>
    </row>
    <row r="638" spans="1:17" x14ac:dyDescent="0.25">
      <c r="A638" s="40" t="s">
        <v>162</v>
      </c>
      <c r="B638" s="40" t="s">
        <v>18</v>
      </c>
      <c r="C638" s="40" t="s">
        <v>19</v>
      </c>
      <c r="D638" s="40" t="s">
        <v>20</v>
      </c>
      <c r="E638" s="40" t="s">
        <v>21</v>
      </c>
      <c r="F638" s="40" t="s">
        <v>61</v>
      </c>
      <c r="G638" s="40" t="s">
        <v>62</v>
      </c>
      <c r="H638" s="40" t="s">
        <v>163</v>
      </c>
      <c r="I638" s="40" t="s">
        <v>170</v>
      </c>
      <c r="J638" s="47">
        <v>0</v>
      </c>
      <c r="K638" s="47">
        <v>0</v>
      </c>
      <c r="L638" s="47">
        <v>0</v>
      </c>
      <c r="M638" s="47">
        <v>0</v>
      </c>
      <c r="N638" s="47">
        <v>0</v>
      </c>
      <c r="O638" s="47">
        <v>0</v>
      </c>
      <c r="P638" s="47">
        <v>0</v>
      </c>
      <c r="Q638" s="41" t="s">
        <v>137</v>
      </c>
    </row>
    <row r="639" spans="1:17" x14ac:dyDescent="0.25">
      <c r="A639" s="40" t="s">
        <v>162</v>
      </c>
      <c r="B639" s="40" t="s">
        <v>18</v>
      </c>
      <c r="C639" s="40" t="s">
        <v>19</v>
      </c>
      <c r="D639" s="40" t="s">
        <v>20</v>
      </c>
      <c r="E639" s="40" t="s">
        <v>21</v>
      </c>
      <c r="F639" s="40" t="s">
        <v>65</v>
      </c>
      <c r="G639" s="40" t="s">
        <v>66</v>
      </c>
      <c r="H639" s="40" t="s">
        <v>163</v>
      </c>
      <c r="I639" s="40" t="s">
        <v>170</v>
      </c>
      <c r="J639" s="47">
        <v>0</v>
      </c>
      <c r="K639" s="47">
        <v>0</v>
      </c>
      <c r="L639" s="47">
        <v>0</v>
      </c>
      <c r="M639" s="47">
        <v>0</v>
      </c>
      <c r="N639" s="47">
        <v>0</v>
      </c>
      <c r="O639" s="47">
        <v>0</v>
      </c>
      <c r="P639" s="47">
        <v>0</v>
      </c>
      <c r="Q639" s="41" t="s">
        <v>137</v>
      </c>
    </row>
    <row r="640" spans="1:17" x14ac:dyDescent="0.25">
      <c r="A640" s="40" t="s">
        <v>162</v>
      </c>
      <c r="B640" s="40" t="s">
        <v>18</v>
      </c>
      <c r="C640" s="40" t="s">
        <v>19</v>
      </c>
      <c r="D640" s="40" t="s">
        <v>20</v>
      </c>
      <c r="E640" s="40" t="s">
        <v>21</v>
      </c>
      <c r="F640" s="40" t="s">
        <v>73</v>
      </c>
      <c r="G640" s="40" t="s">
        <v>74</v>
      </c>
      <c r="H640" s="40" t="s">
        <v>163</v>
      </c>
      <c r="I640" s="40" t="s">
        <v>170</v>
      </c>
      <c r="J640" s="47">
        <v>0</v>
      </c>
      <c r="K640" s="47">
        <v>0</v>
      </c>
      <c r="L640" s="47">
        <v>0</v>
      </c>
      <c r="M640" s="47">
        <v>0</v>
      </c>
      <c r="N640" s="47">
        <v>0</v>
      </c>
      <c r="O640" s="47">
        <v>0</v>
      </c>
      <c r="P640" s="47">
        <v>0</v>
      </c>
      <c r="Q640" s="41" t="s">
        <v>137</v>
      </c>
    </row>
    <row r="641" spans="1:17" x14ac:dyDescent="0.25">
      <c r="A641" s="40" t="s">
        <v>162</v>
      </c>
      <c r="B641" s="40" t="s">
        <v>18</v>
      </c>
      <c r="C641" s="40" t="s">
        <v>19</v>
      </c>
      <c r="D641" s="40" t="s">
        <v>20</v>
      </c>
      <c r="E641" s="40" t="s">
        <v>21</v>
      </c>
      <c r="F641" s="40" t="s">
        <v>75</v>
      </c>
      <c r="G641" s="40" t="s">
        <v>76</v>
      </c>
      <c r="H641" s="40" t="s">
        <v>163</v>
      </c>
      <c r="I641" s="40" t="s">
        <v>170</v>
      </c>
      <c r="J641" s="47">
        <v>0</v>
      </c>
      <c r="K641" s="47">
        <v>0</v>
      </c>
      <c r="L641" s="47">
        <v>0</v>
      </c>
      <c r="M641" s="47">
        <v>0</v>
      </c>
      <c r="N641" s="47">
        <v>0</v>
      </c>
      <c r="O641" s="47">
        <v>0</v>
      </c>
      <c r="P641" s="47">
        <v>0</v>
      </c>
      <c r="Q641" s="41" t="s">
        <v>137</v>
      </c>
    </row>
    <row r="642" spans="1:17" x14ac:dyDescent="0.25">
      <c r="A642" s="40" t="s">
        <v>162</v>
      </c>
      <c r="B642" s="40" t="s">
        <v>18</v>
      </c>
      <c r="C642" s="40" t="s">
        <v>19</v>
      </c>
      <c r="D642" s="40" t="s">
        <v>20</v>
      </c>
      <c r="E642" s="40" t="s">
        <v>21</v>
      </c>
      <c r="F642" s="40" t="s">
        <v>85</v>
      </c>
      <c r="G642" s="40" t="s">
        <v>86</v>
      </c>
      <c r="H642" s="40" t="s">
        <v>163</v>
      </c>
      <c r="I642" s="40" t="s">
        <v>170</v>
      </c>
      <c r="J642" s="47">
        <v>0</v>
      </c>
      <c r="K642" s="47">
        <v>0</v>
      </c>
      <c r="L642" s="47">
        <v>0</v>
      </c>
      <c r="M642" s="47">
        <v>0</v>
      </c>
      <c r="N642" s="47">
        <v>0</v>
      </c>
      <c r="O642" s="47">
        <v>0</v>
      </c>
      <c r="P642" s="47">
        <v>0</v>
      </c>
      <c r="Q642" s="41" t="s">
        <v>137</v>
      </c>
    </row>
    <row r="643" spans="1:17" x14ac:dyDescent="0.25">
      <c r="A643" s="40" t="s">
        <v>162</v>
      </c>
      <c r="B643" s="40" t="s">
        <v>18</v>
      </c>
      <c r="C643" s="40" t="s">
        <v>19</v>
      </c>
      <c r="D643" s="40" t="s">
        <v>20</v>
      </c>
      <c r="E643" s="40" t="s">
        <v>21</v>
      </c>
      <c r="F643" s="40" t="s">
        <v>101</v>
      </c>
      <c r="G643" s="40" t="s">
        <v>21</v>
      </c>
      <c r="H643" s="40" t="s">
        <v>163</v>
      </c>
      <c r="I643" s="40" t="s">
        <v>170</v>
      </c>
      <c r="J643" s="47">
        <v>0.13333417316242319</v>
      </c>
      <c r="K643" s="47">
        <v>0.12269698081646042</v>
      </c>
      <c r="L643" s="47">
        <v>8.2130737591041142E-3</v>
      </c>
      <c r="M643" s="47">
        <v>4.9854504971785225</v>
      </c>
      <c r="N643" s="47">
        <v>3.3243721140848979</v>
      </c>
      <c r="O643" s="47">
        <v>0.86110902299957071</v>
      </c>
      <c r="P643" s="47">
        <v>5.3301861277886921E-2</v>
      </c>
      <c r="Q643" s="41" t="s">
        <v>137</v>
      </c>
    </row>
    <row r="644" spans="1:17" x14ac:dyDescent="0.25">
      <c r="A644" s="40" t="s">
        <v>162</v>
      </c>
      <c r="B644" s="40" t="s">
        <v>18</v>
      </c>
      <c r="C644" s="40" t="s">
        <v>19</v>
      </c>
      <c r="D644" s="40" t="s">
        <v>20</v>
      </c>
      <c r="E644" s="40" t="s">
        <v>21</v>
      </c>
      <c r="F644" s="40" t="s">
        <v>104</v>
      </c>
      <c r="G644" s="40" t="s">
        <v>105</v>
      </c>
      <c r="H644" s="40" t="s">
        <v>163</v>
      </c>
      <c r="I644" s="40" t="s">
        <v>170</v>
      </c>
      <c r="J644" s="47">
        <v>0</v>
      </c>
      <c r="K644" s="47">
        <v>0</v>
      </c>
      <c r="L644" s="47">
        <v>0</v>
      </c>
      <c r="M644" s="47">
        <v>0</v>
      </c>
      <c r="N644" s="47">
        <v>0</v>
      </c>
      <c r="O644" s="47">
        <v>0</v>
      </c>
      <c r="P644" s="47">
        <v>0</v>
      </c>
      <c r="Q644" s="41" t="s">
        <v>137</v>
      </c>
    </row>
    <row r="645" spans="1:17" x14ac:dyDescent="0.25">
      <c r="A645" s="40" t="s">
        <v>162</v>
      </c>
      <c r="B645" s="40" t="s">
        <v>18</v>
      </c>
      <c r="C645" s="40" t="s">
        <v>19</v>
      </c>
      <c r="D645" s="40" t="s">
        <v>20</v>
      </c>
      <c r="E645" s="40" t="s">
        <v>21</v>
      </c>
      <c r="F645" s="40" t="s">
        <v>112</v>
      </c>
      <c r="G645" s="40" t="s">
        <v>113</v>
      </c>
      <c r="H645" s="40" t="s">
        <v>163</v>
      </c>
      <c r="I645" s="40" t="s">
        <v>170</v>
      </c>
      <c r="J645" s="47">
        <v>0</v>
      </c>
      <c r="K645" s="47">
        <v>0</v>
      </c>
      <c r="L645" s="47">
        <v>0</v>
      </c>
      <c r="M645" s="47">
        <v>0</v>
      </c>
      <c r="N645" s="47">
        <v>0</v>
      </c>
      <c r="O645" s="47">
        <v>0</v>
      </c>
      <c r="P645" s="47">
        <v>0</v>
      </c>
      <c r="Q645" s="41" t="s">
        <v>137</v>
      </c>
    </row>
    <row r="646" spans="1:17" x14ac:dyDescent="0.25">
      <c r="A646" s="40" t="s">
        <v>162</v>
      </c>
      <c r="B646" s="40" t="s">
        <v>18</v>
      </c>
      <c r="C646" s="40" t="s">
        <v>19</v>
      </c>
      <c r="D646" s="40" t="s">
        <v>20</v>
      </c>
      <c r="E646" s="40" t="s">
        <v>21</v>
      </c>
      <c r="F646" s="40" t="s">
        <v>114</v>
      </c>
      <c r="G646" s="40" t="s">
        <v>115</v>
      </c>
      <c r="H646" s="40" t="s">
        <v>163</v>
      </c>
      <c r="I646" s="40" t="s">
        <v>170</v>
      </c>
      <c r="J646" s="47">
        <v>0</v>
      </c>
      <c r="K646" s="47">
        <v>0</v>
      </c>
      <c r="L646" s="47">
        <v>0</v>
      </c>
      <c r="M646" s="47">
        <v>0</v>
      </c>
      <c r="N646" s="47">
        <v>0</v>
      </c>
      <c r="O646" s="47">
        <v>0</v>
      </c>
      <c r="P646" s="47">
        <v>0</v>
      </c>
      <c r="Q646" s="41" t="s">
        <v>137</v>
      </c>
    </row>
    <row r="647" spans="1:17" x14ac:dyDescent="0.25">
      <c r="A647" s="40" t="s">
        <v>162</v>
      </c>
      <c r="B647" s="40" t="s">
        <v>18</v>
      </c>
      <c r="C647" s="40" t="s">
        <v>19</v>
      </c>
      <c r="D647" s="40" t="s">
        <v>20</v>
      </c>
      <c r="E647" s="40" t="s">
        <v>21</v>
      </c>
      <c r="F647" s="40" t="s">
        <v>116</v>
      </c>
      <c r="G647" s="40" t="s">
        <v>117</v>
      </c>
      <c r="H647" s="40" t="s">
        <v>163</v>
      </c>
      <c r="I647" s="40" t="s">
        <v>170</v>
      </c>
      <c r="J647" s="47">
        <v>0</v>
      </c>
      <c r="K647" s="47">
        <v>0</v>
      </c>
      <c r="L647" s="47">
        <v>0</v>
      </c>
      <c r="M647" s="47">
        <v>0</v>
      </c>
      <c r="N647" s="47">
        <v>0</v>
      </c>
      <c r="O647" s="47">
        <v>0</v>
      </c>
      <c r="P647" s="47">
        <v>0</v>
      </c>
      <c r="Q647" s="41" t="s">
        <v>137</v>
      </c>
    </row>
    <row r="648" spans="1:17" x14ac:dyDescent="0.25">
      <c r="A648" s="40" t="s">
        <v>162</v>
      </c>
      <c r="B648" s="40" t="s">
        <v>18</v>
      </c>
      <c r="C648" s="40" t="s">
        <v>19</v>
      </c>
      <c r="D648" s="40" t="s">
        <v>20</v>
      </c>
      <c r="E648" s="40" t="s">
        <v>21</v>
      </c>
      <c r="F648" s="40" t="s">
        <v>118</v>
      </c>
      <c r="G648" s="40" t="s">
        <v>119</v>
      </c>
      <c r="H648" s="40" t="s">
        <v>163</v>
      </c>
      <c r="I648" s="40" t="s">
        <v>170</v>
      </c>
      <c r="J648" s="47">
        <v>0</v>
      </c>
      <c r="K648" s="47">
        <v>0</v>
      </c>
      <c r="L648" s="47">
        <v>0</v>
      </c>
      <c r="M648" s="47">
        <v>0</v>
      </c>
      <c r="N648" s="47">
        <v>0</v>
      </c>
      <c r="O648" s="47">
        <v>0</v>
      </c>
      <c r="P648" s="47">
        <v>0</v>
      </c>
      <c r="Q648" s="41" t="s">
        <v>137</v>
      </c>
    </row>
    <row r="649" spans="1:17" x14ac:dyDescent="0.25">
      <c r="A649" s="40" t="s">
        <v>162</v>
      </c>
      <c r="B649" s="40" t="s">
        <v>18</v>
      </c>
      <c r="C649" s="40" t="s">
        <v>19</v>
      </c>
      <c r="D649" s="40" t="s">
        <v>20</v>
      </c>
      <c r="E649" s="40" t="s">
        <v>21</v>
      </c>
      <c r="F649" s="40" t="s">
        <v>120</v>
      </c>
      <c r="G649" s="40" t="s">
        <v>121</v>
      </c>
      <c r="H649" s="40" t="s">
        <v>163</v>
      </c>
      <c r="I649" s="40" t="s">
        <v>170</v>
      </c>
      <c r="J649" s="47">
        <v>0</v>
      </c>
      <c r="K649" s="47">
        <v>0</v>
      </c>
      <c r="L649" s="47">
        <v>0</v>
      </c>
      <c r="M649" s="47">
        <v>0</v>
      </c>
      <c r="N649" s="47">
        <v>0</v>
      </c>
      <c r="O649" s="47">
        <v>0</v>
      </c>
      <c r="P649" s="47">
        <v>0</v>
      </c>
      <c r="Q649" s="41" t="s">
        <v>137</v>
      </c>
    </row>
    <row r="650" spans="1:17" x14ac:dyDescent="0.25">
      <c r="A650" s="40" t="s">
        <v>162</v>
      </c>
      <c r="B650" s="40" t="s">
        <v>18</v>
      </c>
      <c r="C650" s="40" t="s">
        <v>19</v>
      </c>
      <c r="D650" s="40" t="s">
        <v>20</v>
      </c>
      <c r="E650" s="40" t="s">
        <v>21</v>
      </c>
      <c r="F650" s="40" t="s">
        <v>22</v>
      </c>
      <c r="G650" s="40" t="s">
        <v>23</v>
      </c>
      <c r="H650" s="40" t="s">
        <v>163</v>
      </c>
      <c r="I650" s="40" t="s">
        <v>171</v>
      </c>
      <c r="J650" s="47">
        <v>3.2450599270620825E-4</v>
      </c>
      <c r="K650" s="47">
        <v>3.1477081292502197E-4</v>
      </c>
      <c r="L650" s="47">
        <v>1.8567384997425309E-4</v>
      </c>
      <c r="M650" s="47">
        <v>1.7087466864591793E-3</v>
      </c>
      <c r="N650" s="47">
        <v>5.3084533876201472E-3</v>
      </c>
      <c r="O650" s="47">
        <v>4.0894679937485687E-4</v>
      </c>
      <c r="P650" s="47">
        <v>1.6888148480541782E-6</v>
      </c>
      <c r="Q650" s="41" t="s">
        <v>26</v>
      </c>
    </row>
    <row r="651" spans="1:17" x14ac:dyDescent="0.25">
      <c r="A651" s="40" t="s">
        <v>162</v>
      </c>
      <c r="B651" s="40" t="s">
        <v>18</v>
      </c>
      <c r="C651" s="40" t="s">
        <v>19</v>
      </c>
      <c r="D651" s="40" t="s">
        <v>20</v>
      </c>
      <c r="E651" s="40" t="s">
        <v>21</v>
      </c>
      <c r="F651" s="40" t="s">
        <v>35</v>
      </c>
      <c r="G651" s="40" t="s">
        <v>36</v>
      </c>
      <c r="H651" s="40" t="s">
        <v>163</v>
      </c>
      <c r="I651" s="40" t="s">
        <v>171</v>
      </c>
      <c r="J651" s="47">
        <v>0.11279017041486032</v>
      </c>
      <c r="K651" s="47">
        <v>0.1094064653024145</v>
      </c>
      <c r="L651" s="47">
        <v>6.4535588404801017E-2</v>
      </c>
      <c r="M651" s="47">
        <v>0.59391762954604921</v>
      </c>
      <c r="N651" s="47">
        <v>1.8450856862020726</v>
      </c>
      <c r="O651" s="47">
        <v>0.14213968379271588</v>
      </c>
      <c r="P651" s="47">
        <v>5.8698982081243094E-4</v>
      </c>
      <c r="Q651" s="41" t="s">
        <v>26</v>
      </c>
    </row>
    <row r="652" spans="1:17" x14ac:dyDescent="0.25">
      <c r="A652" s="40" t="s">
        <v>162</v>
      </c>
      <c r="B652" s="40" t="s">
        <v>18</v>
      </c>
      <c r="C652" s="40" t="s">
        <v>19</v>
      </c>
      <c r="D652" s="40" t="s">
        <v>20</v>
      </c>
      <c r="E652" s="40" t="s">
        <v>21</v>
      </c>
      <c r="F652" s="40" t="s">
        <v>41</v>
      </c>
      <c r="G652" s="40" t="s">
        <v>42</v>
      </c>
      <c r="H652" s="40" t="s">
        <v>163</v>
      </c>
      <c r="I652" s="40" t="s">
        <v>171</v>
      </c>
      <c r="J652" s="47">
        <v>1.8703633028105902</v>
      </c>
      <c r="K652" s="47">
        <v>1.8142524037262724</v>
      </c>
      <c r="L652" s="47">
        <v>1.070173010942852</v>
      </c>
      <c r="M652" s="47">
        <v>9.8487459954119352</v>
      </c>
      <c r="N652" s="47">
        <v>30.596465501560935</v>
      </c>
      <c r="O652" s="47">
        <v>2.357056891226847</v>
      </c>
      <c r="P652" s="47">
        <v>9.7338643601010688E-3</v>
      </c>
      <c r="Q652" s="41" t="s">
        <v>26</v>
      </c>
    </row>
    <row r="653" spans="1:17" x14ac:dyDescent="0.25">
      <c r="A653" s="40" t="s">
        <v>162</v>
      </c>
      <c r="B653" s="40" t="s">
        <v>18</v>
      </c>
      <c r="C653" s="40" t="s">
        <v>19</v>
      </c>
      <c r="D653" s="40" t="s">
        <v>20</v>
      </c>
      <c r="E653" s="40" t="s">
        <v>21</v>
      </c>
      <c r="F653" s="40" t="s">
        <v>43</v>
      </c>
      <c r="G653" s="40" t="s">
        <v>44</v>
      </c>
      <c r="H653" s="40" t="s">
        <v>163</v>
      </c>
      <c r="I653" s="40" t="s">
        <v>171</v>
      </c>
      <c r="J653" s="47">
        <v>3.5208900208623599E-2</v>
      </c>
      <c r="K653" s="47">
        <v>3.415263320236489E-2</v>
      </c>
      <c r="L653" s="47">
        <v>2.0145612722206462E-2</v>
      </c>
      <c r="M653" s="47">
        <v>0.18539901548082097</v>
      </c>
      <c r="N653" s="47">
        <v>0.57596719255678597</v>
      </c>
      <c r="O653" s="47">
        <v>4.4370727732171975E-2</v>
      </c>
      <c r="P653" s="47">
        <v>1.8323641101387835E-4</v>
      </c>
      <c r="Q653" s="41" t="s">
        <v>26</v>
      </c>
    </row>
    <row r="654" spans="1:17" x14ac:dyDescent="0.25">
      <c r="A654" s="40" t="s">
        <v>162</v>
      </c>
      <c r="B654" s="40" t="s">
        <v>18</v>
      </c>
      <c r="C654" s="40" t="s">
        <v>19</v>
      </c>
      <c r="D654" s="40" t="s">
        <v>20</v>
      </c>
      <c r="E654" s="40" t="s">
        <v>21</v>
      </c>
      <c r="F654" s="40" t="s">
        <v>47</v>
      </c>
      <c r="G654" s="40" t="s">
        <v>48</v>
      </c>
      <c r="H654" s="40" t="s">
        <v>163</v>
      </c>
      <c r="I654" s="40" t="s">
        <v>171</v>
      </c>
      <c r="J654" s="47">
        <v>1.2006721730129705E-2</v>
      </c>
      <c r="K654" s="47">
        <v>1.1646520078225813E-2</v>
      </c>
      <c r="L654" s="47">
        <v>6.869932449047364E-3</v>
      </c>
      <c r="M654" s="47">
        <v>6.3223627398989637E-2</v>
      </c>
      <c r="N654" s="47">
        <v>0.19641277534194546</v>
      </c>
      <c r="O654" s="47">
        <v>1.5131031576869704E-2</v>
      </c>
      <c r="P654" s="47">
        <v>6.2486149378004592E-5</v>
      </c>
      <c r="Q654" s="41" t="s">
        <v>26</v>
      </c>
    </row>
    <row r="655" spans="1:17" x14ac:dyDescent="0.25">
      <c r="A655" s="40" t="s">
        <v>162</v>
      </c>
      <c r="B655" s="40" t="s">
        <v>18</v>
      </c>
      <c r="C655" s="40" t="s">
        <v>19</v>
      </c>
      <c r="D655" s="40" t="s">
        <v>20</v>
      </c>
      <c r="E655" s="40" t="s">
        <v>21</v>
      </c>
      <c r="F655" s="40" t="s">
        <v>59</v>
      </c>
      <c r="G655" s="40" t="s">
        <v>60</v>
      </c>
      <c r="H655" s="40" t="s">
        <v>163</v>
      </c>
      <c r="I655" s="40" t="s">
        <v>171</v>
      </c>
      <c r="J655" s="47">
        <v>7.1553571391718918E-2</v>
      </c>
      <c r="K655" s="47">
        <v>6.9406964249967354E-2</v>
      </c>
      <c r="L655" s="47">
        <v>4.0941083919322808E-2</v>
      </c>
      <c r="M655" s="47">
        <v>0.37677864436424907</v>
      </c>
      <c r="N655" s="47">
        <v>1.1705139719702424</v>
      </c>
      <c r="O655" s="47">
        <v>9.017276926215595E-2</v>
      </c>
      <c r="P655" s="47">
        <v>3.723836739959463E-4</v>
      </c>
      <c r="Q655" s="41" t="s">
        <v>26</v>
      </c>
    </row>
    <row r="656" spans="1:17" x14ac:dyDescent="0.25">
      <c r="A656" s="40" t="s">
        <v>162</v>
      </c>
      <c r="B656" s="40" t="s">
        <v>18</v>
      </c>
      <c r="C656" s="40" t="s">
        <v>19</v>
      </c>
      <c r="D656" s="40" t="s">
        <v>20</v>
      </c>
      <c r="E656" s="40" t="s">
        <v>21</v>
      </c>
      <c r="F656" s="40" t="s">
        <v>61</v>
      </c>
      <c r="G656" s="40" t="s">
        <v>62</v>
      </c>
      <c r="H656" s="40" t="s">
        <v>163</v>
      </c>
      <c r="I656" s="40" t="s">
        <v>171</v>
      </c>
      <c r="J656" s="47">
        <v>0</v>
      </c>
      <c r="K656" s="47">
        <v>0</v>
      </c>
      <c r="L656" s="47">
        <v>0</v>
      </c>
      <c r="M656" s="47">
        <v>0</v>
      </c>
      <c r="N656" s="47">
        <v>0</v>
      </c>
      <c r="O656" s="47">
        <v>0</v>
      </c>
      <c r="P656" s="47">
        <v>0</v>
      </c>
      <c r="Q656" s="41" t="s">
        <v>26</v>
      </c>
    </row>
    <row r="657" spans="1:17" x14ac:dyDescent="0.25">
      <c r="A657" s="40" t="s">
        <v>162</v>
      </c>
      <c r="B657" s="40" t="s">
        <v>18</v>
      </c>
      <c r="C657" s="40" t="s">
        <v>19</v>
      </c>
      <c r="D657" s="40" t="s">
        <v>20</v>
      </c>
      <c r="E657" s="40" t="s">
        <v>21</v>
      </c>
      <c r="F657" s="40" t="s">
        <v>65</v>
      </c>
      <c r="G657" s="40" t="s">
        <v>66</v>
      </c>
      <c r="H657" s="40" t="s">
        <v>163</v>
      </c>
      <c r="I657" s="40" t="s">
        <v>171</v>
      </c>
      <c r="J657" s="47">
        <v>25.887500235808471</v>
      </c>
      <c r="K657" s="47">
        <v>25.110875228734212</v>
      </c>
      <c r="L657" s="47">
        <v>10.846886649809031</v>
      </c>
      <c r="M657" s="47">
        <v>152.2059903362678</v>
      </c>
      <c r="N657" s="47">
        <v>309.01894839206102</v>
      </c>
      <c r="O657" s="47">
        <v>31.182934338526792</v>
      </c>
      <c r="P657" s="47">
        <v>9.3986701169729514E-2</v>
      </c>
      <c r="Q657" s="41" t="s">
        <v>26</v>
      </c>
    </row>
    <row r="658" spans="1:17" x14ac:dyDescent="0.25">
      <c r="A658" s="40" t="s">
        <v>162</v>
      </c>
      <c r="B658" s="40" t="s">
        <v>18</v>
      </c>
      <c r="C658" s="40" t="s">
        <v>19</v>
      </c>
      <c r="D658" s="40" t="s">
        <v>20</v>
      </c>
      <c r="E658" s="40" t="s">
        <v>21</v>
      </c>
      <c r="F658" s="40" t="s">
        <v>73</v>
      </c>
      <c r="G658" s="40" t="s">
        <v>74</v>
      </c>
      <c r="H658" s="40" t="s">
        <v>163</v>
      </c>
      <c r="I658" s="40" t="s">
        <v>171</v>
      </c>
      <c r="J658" s="47">
        <v>0.15193776210995552</v>
      </c>
      <c r="K658" s="47">
        <v>0.14737962924665685</v>
      </c>
      <c r="L658" s="47">
        <v>8.6934817481069973E-2</v>
      </c>
      <c r="M658" s="47">
        <v>0.80005655793376851</v>
      </c>
      <c r="N658" s="47">
        <v>2.4854842317510979</v>
      </c>
      <c r="O658" s="47">
        <v>0.19147400330230016</v>
      </c>
      <c r="P658" s="47">
        <v>7.907242220445669E-4</v>
      </c>
      <c r="Q658" s="41" t="s">
        <v>26</v>
      </c>
    </row>
    <row r="659" spans="1:17" x14ac:dyDescent="0.25">
      <c r="A659" s="40" t="s">
        <v>162</v>
      </c>
      <c r="B659" s="40" t="s">
        <v>18</v>
      </c>
      <c r="C659" s="40" t="s">
        <v>19</v>
      </c>
      <c r="D659" s="40" t="s">
        <v>20</v>
      </c>
      <c r="E659" s="40" t="s">
        <v>21</v>
      </c>
      <c r="F659" s="40" t="s">
        <v>75</v>
      </c>
      <c r="G659" s="40" t="s">
        <v>76</v>
      </c>
      <c r="H659" s="40" t="s">
        <v>163</v>
      </c>
      <c r="I659" s="40" t="s">
        <v>171</v>
      </c>
      <c r="J659" s="47">
        <v>6.4901198541241645E-3</v>
      </c>
      <c r="K659" s="47">
        <v>6.2954162585004397E-3</v>
      </c>
      <c r="L659" s="47">
        <v>3.7134769994850618E-3</v>
      </c>
      <c r="M659" s="47">
        <v>3.4174933729183586E-2</v>
      </c>
      <c r="N659" s="47">
        <v>0.10616906775240295</v>
      </c>
      <c r="O659" s="47">
        <v>8.1789359874971379E-3</v>
      </c>
      <c r="P659" s="47">
        <v>3.3776296961083568E-5</v>
      </c>
      <c r="Q659" s="41" t="s">
        <v>26</v>
      </c>
    </row>
    <row r="660" spans="1:17" x14ac:dyDescent="0.25">
      <c r="A660" s="40" t="s">
        <v>162</v>
      </c>
      <c r="B660" s="40" t="s">
        <v>18</v>
      </c>
      <c r="C660" s="40" t="s">
        <v>19</v>
      </c>
      <c r="D660" s="40" t="s">
        <v>20</v>
      </c>
      <c r="E660" s="40" t="s">
        <v>21</v>
      </c>
      <c r="F660" s="40" t="s">
        <v>85</v>
      </c>
      <c r="G660" s="40" t="s">
        <v>86</v>
      </c>
      <c r="H660" s="40" t="s">
        <v>163</v>
      </c>
      <c r="I660" s="40" t="s">
        <v>171</v>
      </c>
      <c r="J660" s="47">
        <v>2.1660775013139399E-2</v>
      </c>
      <c r="K660" s="47">
        <v>2.1010951762745218E-2</v>
      </c>
      <c r="L660" s="47">
        <v>1.2393729485781393E-2</v>
      </c>
      <c r="M660" s="47">
        <v>0.11405884132115023</v>
      </c>
      <c r="N660" s="47">
        <v>0.35433926362364482</v>
      </c>
      <c r="O660" s="47">
        <v>2.7297198858271698E-2</v>
      </c>
      <c r="P660" s="47">
        <v>1.1272839110761639E-4</v>
      </c>
      <c r="Q660" s="41" t="s">
        <v>26</v>
      </c>
    </row>
    <row r="661" spans="1:17" x14ac:dyDescent="0.25">
      <c r="A661" s="40" t="s">
        <v>162</v>
      </c>
      <c r="B661" s="40" t="s">
        <v>18</v>
      </c>
      <c r="C661" s="40" t="s">
        <v>19</v>
      </c>
      <c r="D661" s="40" t="s">
        <v>20</v>
      </c>
      <c r="E661" s="40" t="s">
        <v>21</v>
      </c>
      <c r="F661" s="40" t="s">
        <v>101</v>
      </c>
      <c r="G661" s="40" t="s">
        <v>21</v>
      </c>
      <c r="H661" s="40" t="s">
        <v>163</v>
      </c>
      <c r="I661" s="40" t="s">
        <v>171</v>
      </c>
      <c r="J661" s="47">
        <v>0</v>
      </c>
      <c r="K661" s="47">
        <v>0</v>
      </c>
      <c r="L661" s="47">
        <v>0</v>
      </c>
      <c r="M661" s="47">
        <v>0</v>
      </c>
      <c r="N661" s="47">
        <v>0</v>
      </c>
      <c r="O661" s="47">
        <v>0</v>
      </c>
      <c r="P661" s="47">
        <v>0</v>
      </c>
      <c r="Q661" s="41" t="s">
        <v>26</v>
      </c>
    </row>
    <row r="662" spans="1:17" x14ac:dyDescent="0.25">
      <c r="A662" s="40" t="s">
        <v>162</v>
      </c>
      <c r="B662" s="40" t="s">
        <v>18</v>
      </c>
      <c r="C662" s="40" t="s">
        <v>19</v>
      </c>
      <c r="D662" s="40" t="s">
        <v>20</v>
      </c>
      <c r="E662" s="40" t="s">
        <v>21</v>
      </c>
      <c r="F662" s="40" t="s">
        <v>104</v>
      </c>
      <c r="G662" s="40" t="s">
        <v>105</v>
      </c>
      <c r="H662" s="40" t="s">
        <v>163</v>
      </c>
      <c r="I662" s="40" t="s">
        <v>171</v>
      </c>
      <c r="J662" s="47">
        <v>0.70004055276546773</v>
      </c>
      <c r="K662" s="47">
        <v>0.67903933618250367</v>
      </c>
      <c r="L662" s="47">
        <v>0.40054491285695748</v>
      </c>
      <c r="M662" s="47">
        <v>3.6861937893640651</v>
      </c>
      <c r="N662" s="47">
        <v>11.451661070443564</v>
      </c>
      <c r="O662" s="47">
        <v>0.88220048295141007</v>
      </c>
      <c r="P662" s="47">
        <v>3.643195830964876E-3</v>
      </c>
      <c r="Q662" s="41" t="s">
        <v>26</v>
      </c>
    </row>
    <row r="663" spans="1:17" x14ac:dyDescent="0.25">
      <c r="A663" s="40" t="s">
        <v>162</v>
      </c>
      <c r="B663" s="40" t="s">
        <v>18</v>
      </c>
      <c r="C663" s="40" t="s">
        <v>19</v>
      </c>
      <c r="D663" s="40" t="s">
        <v>20</v>
      </c>
      <c r="E663" s="40" t="s">
        <v>21</v>
      </c>
      <c r="F663" s="40" t="s">
        <v>112</v>
      </c>
      <c r="G663" s="40" t="s">
        <v>113</v>
      </c>
      <c r="H663" s="40" t="s">
        <v>163</v>
      </c>
      <c r="I663" s="40" t="s">
        <v>171</v>
      </c>
      <c r="J663" s="47">
        <v>0.50760849909068617</v>
      </c>
      <c r="K663" s="47">
        <v>0.4923802441179656</v>
      </c>
      <c r="L663" s="47">
        <v>0.2904403198222254</v>
      </c>
      <c r="M663" s="47">
        <v>2.672907004293771</v>
      </c>
      <c r="N663" s="47">
        <v>8.3037482115848142</v>
      </c>
      <c r="O663" s="47">
        <v>0.63969503092211988</v>
      </c>
      <c r="P663" s="47">
        <v>2.6417286260687484E-3</v>
      </c>
      <c r="Q663" s="41" t="s">
        <v>26</v>
      </c>
    </row>
    <row r="664" spans="1:17" x14ac:dyDescent="0.25">
      <c r="A664" s="40" t="s">
        <v>162</v>
      </c>
      <c r="B664" s="40" t="s">
        <v>18</v>
      </c>
      <c r="C664" s="40" t="s">
        <v>19</v>
      </c>
      <c r="D664" s="40" t="s">
        <v>20</v>
      </c>
      <c r="E664" s="40" t="s">
        <v>21</v>
      </c>
      <c r="F664" s="40" t="s">
        <v>114</v>
      </c>
      <c r="G664" s="40" t="s">
        <v>115</v>
      </c>
      <c r="H664" s="40" t="s">
        <v>163</v>
      </c>
      <c r="I664" s="40" t="s">
        <v>171</v>
      </c>
      <c r="J664" s="47">
        <v>20.074546570607549</v>
      </c>
      <c r="K664" s="47">
        <v>19.472310173489319</v>
      </c>
      <c r="L664" s="47">
        <v>8.4080318404238295</v>
      </c>
      <c r="M664" s="47">
        <v>118.04154334770422</v>
      </c>
      <c r="N664" s="47">
        <v>239.53674945790533</v>
      </c>
      <c r="O664" s="47">
        <v>24.179737533819925</v>
      </c>
      <c r="P664" s="47">
        <v>7.2849193603217274E-2</v>
      </c>
      <c r="Q664" s="41" t="s">
        <v>26</v>
      </c>
    </row>
    <row r="665" spans="1:17" x14ac:dyDescent="0.25">
      <c r="A665" s="40" t="s">
        <v>162</v>
      </c>
      <c r="B665" s="40" t="s">
        <v>18</v>
      </c>
      <c r="C665" s="40" t="s">
        <v>19</v>
      </c>
      <c r="D665" s="40" t="s">
        <v>20</v>
      </c>
      <c r="E665" s="40" t="s">
        <v>21</v>
      </c>
      <c r="F665" s="40" t="s">
        <v>116</v>
      </c>
      <c r="G665" s="40" t="s">
        <v>117</v>
      </c>
      <c r="H665" s="40" t="s">
        <v>163</v>
      </c>
      <c r="I665" s="40" t="s">
        <v>171</v>
      </c>
      <c r="J665" s="47">
        <v>1.08303875065697E-2</v>
      </c>
      <c r="K665" s="47">
        <v>1.0505475881372609E-2</v>
      </c>
      <c r="L665" s="47">
        <v>6.1968647428906967E-3</v>
      </c>
      <c r="M665" s="47">
        <v>5.7029420660575113E-2</v>
      </c>
      <c r="N665" s="47">
        <v>0.17716963181182241</v>
      </c>
      <c r="O665" s="47">
        <v>1.3648599429135849E-2</v>
      </c>
      <c r="P665" s="47">
        <v>5.6364195553808197E-5</v>
      </c>
      <c r="Q665" s="41" t="s">
        <v>26</v>
      </c>
    </row>
    <row r="666" spans="1:17" x14ac:dyDescent="0.25">
      <c r="A666" s="40" t="s">
        <v>162</v>
      </c>
      <c r="B666" s="40" t="s">
        <v>18</v>
      </c>
      <c r="C666" s="40" t="s">
        <v>19</v>
      </c>
      <c r="D666" s="40" t="s">
        <v>20</v>
      </c>
      <c r="E666" s="40" t="s">
        <v>21</v>
      </c>
      <c r="F666" s="40" t="s">
        <v>118</v>
      </c>
      <c r="G666" s="40" t="s">
        <v>119</v>
      </c>
      <c r="H666" s="40" t="s">
        <v>163</v>
      </c>
      <c r="I666" s="40" t="s">
        <v>171</v>
      </c>
      <c r="J666" s="47">
        <v>22.343253645421779</v>
      </c>
      <c r="K666" s="47">
        <v>21.672956036059126</v>
      </c>
      <c r="L666" s="47">
        <v>9.3596301673831555</v>
      </c>
      <c r="M666" s="47">
        <v>131.37640520089565</v>
      </c>
      <c r="N666" s="47">
        <v>266.64738954620378</v>
      </c>
      <c r="O666" s="47">
        <v>26.912887685633176</v>
      </c>
      <c r="P666" s="47">
        <v>8.1096277057682145E-2</v>
      </c>
      <c r="Q666" s="41" t="s">
        <v>26</v>
      </c>
    </row>
    <row r="667" spans="1:17" x14ac:dyDescent="0.25">
      <c r="A667" s="40" t="s">
        <v>162</v>
      </c>
      <c r="B667" s="40" t="s">
        <v>18</v>
      </c>
      <c r="C667" s="40" t="s">
        <v>19</v>
      </c>
      <c r="D667" s="40" t="s">
        <v>20</v>
      </c>
      <c r="E667" s="40" t="s">
        <v>21</v>
      </c>
      <c r="F667" s="40" t="s">
        <v>120</v>
      </c>
      <c r="G667" s="40" t="s">
        <v>121</v>
      </c>
      <c r="H667" s="40" t="s">
        <v>163</v>
      </c>
      <c r="I667" s="40" t="s">
        <v>171</v>
      </c>
      <c r="J667" s="47">
        <v>2.0200498045961465E-2</v>
      </c>
      <c r="K667" s="47">
        <v>1.959448310458262E-2</v>
      </c>
      <c r="L667" s="47">
        <v>1.1558197160897255E-2</v>
      </c>
      <c r="M667" s="47">
        <v>0.10636948123208392</v>
      </c>
      <c r="N667" s="47">
        <v>0.33045122337935418</v>
      </c>
      <c r="O667" s="47">
        <v>2.5456938261084843E-2</v>
      </c>
      <c r="P667" s="47">
        <v>1.0512872429137261E-4</v>
      </c>
      <c r="Q667" s="41" t="s">
        <v>26</v>
      </c>
    </row>
    <row r="668" spans="1:17" x14ac:dyDescent="0.25">
      <c r="A668" s="40" t="s">
        <v>162</v>
      </c>
      <c r="B668" s="40" t="s">
        <v>18</v>
      </c>
      <c r="C668" s="40" t="s">
        <v>19</v>
      </c>
      <c r="D668" s="40" t="s">
        <v>20</v>
      </c>
      <c r="E668" s="40" t="s">
        <v>21</v>
      </c>
      <c r="F668" s="40" t="s">
        <v>22</v>
      </c>
      <c r="G668" s="40" t="s">
        <v>23</v>
      </c>
      <c r="H668" s="40" t="s">
        <v>172</v>
      </c>
      <c r="I668" s="40" t="s">
        <v>173</v>
      </c>
      <c r="J668" s="47">
        <v>4.3187203791469194E-3</v>
      </c>
      <c r="K668" s="47">
        <v>3.8204318062137971E-3</v>
      </c>
      <c r="L668" s="47">
        <v>1.2144549763033179E-3</v>
      </c>
      <c r="M668" s="47">
        <v>4.4275052659294376</v>
      </c>
      <c r="N668" s="47">
        <v>0.18710395822362649</v>
      </c>
      <c r="O668" s="47">
        <v>0.33771985255397574</v>
      </c>
      <c r="P668" s="47">
        <v>4.3562401263823065E-3</v>
      </c>
      <c r="Q668" s="41" t="s">
        <v>26</v>
      </c>
    </row>
    <row r="669" spans="1:17" x14ac:dyDescent="0.25">
      <c r="A669" s="40" t="s">
        <v>162</v>
      </c>
      <c r="B669" s="40" t="s">
        <v>18</v>
      </c>
      <c r="C669" s="40" t="s">
        <v>19</v>
      </c>
      <c r="D669" s="40" t="s">
        <v>20</v>
      </c>
      <c r="E669" s="40" t="s">
        <v>21</v>
      </c>
      <c r="F669" s="40" t="s">
        <v>22</v>
      </c>
      <c r="G669" s="40" t="s">
        <v>23</v>
      </c>
      <c r="H669" s="40" t="s">
        <v>172</v>
      </c>
      <c r="I669" s="40" t="s">
        <v>174</v>
      </c>
      <c r="J669" s="47">
        <v>0.30524437353751022</v>
      </c>
      <c r="K669" s="47">
        <v>0.27002837640276961</v>
      </c>
      <c r="L669" s="47">
        <v>1.6097960173547622E-2</v>
      </c>
      <c r="M669" s="47">
        <v>41.967841905967816</v>
      </c>
      <c r="N669" s="47">
        <v>11.183500289850773</v>
      </c>
      <c r="O669" s="47">
        <v>3.6973798337833017</v>
      </c>
      <c r="P669" s="47">
        <v>6.129108981086176E-2</v>
      </c>
      <c r="Q669" s="41" t="s">
        <v>26</v>
      </c>
    </row>
    <row r="670" spans="1:17" x14ac:dyDescent="0.25">
      <c r="A670" s="40" t="s">
        <v>162</v>
      </c>
      <c r="B670" s="40" t="s">
        <v>18</v>
      </c>
      <c r="C670" s="40" t="s">
        <v>19</v>
      </c>
      <c r="D670" s="40" t="s">
        <v>20</v>
      </c>
      <c r="E670" s="40" t="s">
        <v>21</v>
      </c>
      <c r="F670" s="40" t="s">
        <v>22</v>
      </c>
      <c r="G670" s="40" t="s">
        <v>23</v>
      </c>
      <c r="H670" s="40" t="s">
        <v>172</v>
      </c>
      <c r="I670" s="40" t="s">
        <v>175</v>
      </c>
      <c r="J670" s="47">
        <v>7.0540877146161368E-3</v>
      </c>
      <c r="K670" s="47">
        <v>6.2405479939507168E-3</v>
      </c>
      <c r="L670" s="47">
        <v>1.218307979717107E-3</v>
      </c>
      <c r="M670" s="47">
        <v>3.0697057672261399</v>
      </c>
      <c r="N670" s="47">
        <v>1.5092712088272584</v>
      </c>
      <c r="O670" s="47">
        <v>0.14133959019067105</v>
      </c>
      <c r="P670" s="47">
        <v>3.4153256466960126E-3</v>
      </c>
      <c r="Q670" s="41" t="s">
        <v>26</v>
      </c>
    </row>
    <row r="671" spans="1:17" x14ac:dyDescent="0.25">
      <c r="A671" s="40" t="s">
        <v>162</v>
      </c>
      <c r="B671" s="40" t="s">
        <v>18</v>
      </c>
      <c r="C671" s="40" t="s">
        <v>19</v>
      </c>
      <c r="D671" s="40" t="s">
        <v>20</v>
      </c>
      <c r="E671" s="40" t="s">
        <v>21</v>
      </c>
      <c r="F671" s="40" t="s">
        <v>22</v>
      </c>
      <c r="G671" s="40" t="s">
        <v>23</v>
      </c>
      <c r="H671" s="40" t="s">
        <v>172</v>
      </c>
      <c r="I671" s="40" t="s">
        <v>176</v>
      </c>
      <c r="J671" s="47">
        <v>6.1020025974494317E-2</v>
      </c>
      <c r="K671" s="47">
        <v>5.3992411227250715E-2</v>
      </c>
      <c r="L671" s="47">
        <v>7.3892138585051979E-3</v>
      </c>
      <c r="M671" s="47">
        <v>14.525415211188768</v>
      </c>
      <c r="N671" s="47">
        <v>3.2227936327973596</v>
      </c>
      <c r="O671" s="47">
        <v>1.5820202729489874</v>
      </c>
      <c r="P671" s="47">
        <v>2.250288951868884E-2</v>
      </c>
      <c r="Q671" s="41" t="s">
        <v>26</v>
      </c>
    </row>
    <row r="672" spans="1:17" x14ac:dyDescent="0.25">
      <c r="A672" s="40" t="s">
        <v>162</v>
      </c>
      <c r="B672" s="40" t="s">
        <v>18</v>
      </c>
      <c r="C672" s="40" t="s">
        <v>19</v>
      </c>
      <c r="D672" s="40" t="s">
        <v>20</v>
      </c>
      <c r="E672" s="40" t="s">
        <v>21</v>
      </c>
      <c r="F672" s="40" t="s">
        <v>22</v>
      </c>
      <c r="G672" s="40" t="s">
        <v>23</v>
      </c>
      <c r="H672" s="40" t="s">
        <v>172</v>
      </c>
      <c r="I672" s="40" t="s">
        <v>177</v>
      </c>
      <c r="J672" s="47">
        <v>0</v>
      </c>
      <c r="K672" s="47">
        <v>0</v>
      </c>
      <c r="L672" s="47">
        <v>0</v>
      </c>
      <c r="M672" s="47">
        <v>0</v>
      </c>
      <c r="N672" s="47">
        <v>0</v>
      </c>
      <c r="O672" s="47">
        <v>0</v>
      </c>
      <c r="P672" s="47">
        <v>0</v>
      </c>
      <c r="Q672" s="41" t="s">
        <v>26</v>
      </c>
    </row>
    <row r="673" spans="1:17" x14ac:dyDescent="0.25">
      <c r="A673" s="40" t="s">
        <v>162</v>
      </c>
      <c r="B673" s="40" t="s">
        <v>18</v>
      </c>
      <c r="C673" s="40" t="s">
        <v>19</v>
      </c>
      <c r="D673" s="40" t="s">
        <v>20</v>
      </c>
      <c r="E673" s="40" t="s">
        <v>21</v>
      </c>
      <c r="F673" s="40" t="s">
        <v>22</v>
      </c>
      <c r="G673" s="40" t="s">
        <v>23</v>
      </c>
      <c r="H673" s="40" t="s">
        <v>172</v>
      </c>
      <c r="I673" s="40" t="s">
        <v>178</v>
      </c>
      <c r="J673" s="47">
        <v>0.35515783320342953</v>
      </c>
      <c r="K673" s="47">
        <v>0.32674006235385822</v>
      </c>
      <c r="L673" s="47">
        <v>5.4754481683554172E-3</v>
      </c>
      <c r="M673" s="47">
        <v>8.9955212392829313</v>
      </c>
      <c r="N673" s="47">
        <v>4.9835044816835543</v>
      </c>
      <c r="O673" s="47">
        <v>6.4104091971940766</v>
      </c>
      <c r="P673" s="47">
        <v>9.7778643803585336E-3</v>
      </c>
      <c r="Q673" s="41" t="s">
        <v>137</v>
      </c>
    </row>
    <row r="674" spans="1:17" x14ac:dyDescent="0.25">
      <c r="A674" s="40" t="s">
        <v>162</v>
      </c>
      <c r="B674" s="40" t="s">
        <v>18</v>
      </c>
      <c r="C674" s="40" t="s">
        <v>19</v>
      </c>
      <c r="D674" s="40" t="s">
        <v>20</v>
      </c>
      <c r="E674" s="40" t="s">
        <v>21</v>
      </c>
      <c r="F674" s="40" t="s">
        <v>22</v>
      </c>
      <c r="G674" s="40" t="s">
        <v>23</v>
      </c>
      <c r="H674" s="40" t="s">
        <v>172</v>
      </c>
      <c r="I674" s="40" t="s">
        <v>179</v>
      </c>
      <c r="J674" s="47">
        <v>0.27961890214802926</v>
      </c>
      <c r="K674" s="47">
        <v>0.25705322310909023</v>
      </c>
      <c r="L674" s="47">
        <v>8.5695566032338143E-3</v>
      </c>
      <c r="M674" s="47">
        <v>14.612559550742526</v>
      </c>
      <c r="N674" s="47">
        <v>5.2124111223841121</v>
      </c>
      <c r="O674" s="47">
        <v>9.0820788985663157</v>
      </c>
      <c r="P674" s="47">
        <v>1.9287892905468767E-2</v>
      </c>
      <c r="Q674" s="41" t="s">
        <v>137</v>
      </c>
    </row>
    <row r="675" spans="1:17" x14ac:dyDescent="0.25">
      <c r="A675" s="40" t="s">
        <v>162</v>
      </c>
      <c r="B675" s="40" t="s">
        <v>18</v>
      </c>
      <c r="C675" s="40" t="s">
        <v>19</v>
      </c>
      <c r="D675" s="40" t="s">
        <v>20</v>
      </c>
      <c r="E675" s="40" t="s">
        <v>21</v>
      </c>
      <c r="F675" s="40" t="s">
        <v>22</v>
      </c>
      <c r="G675" s="40" t="s">
        <v>23</v>
      </c>
      <c r="H675" s="40" t="s">
        <v>172</v>
      </c>
      <c r="I675" s="40" t="s">
        <v>180</v>
      </c>
      <c r="J675" s="47">
        <v>0.20502279513509583</v>
      </c>
      <c r="K675" s="47">
        <v>0.18861321098244846</v>
      </c>
      <c r="L675" s="47">
        <v>4.284902774743281E-3</v>
      </c>
      <c r="M675" s="47">
        <v>8.2214067438642502</v>
      </c>
      <c r="N675" s="47">
        <v>3.6129715242881062</v>
      </c>
      <c r="O675" s="47">
        <v>6.7822923312213232</v>
      </c>
      <c r="P675" s="47">
        <v>1.0147840652538053E-2</v>
      </c>
      <c r="Q675" s="41" t="s">
        <v>137</v>
      </c>
    </row>
    <row r="676" spans="1:17" x14ac:dyDescent="0.25">
      <c r="A676" s="40" t="s">
        <v>162</v>
      </c>
      <c r="B676" s="40" t="s">
        <v>18</v>
      </c>
      <c r="C676" s="40" t="s">
        <v>19</v>
      </c>
      <c r="D676" s="40" t="s">
        <v>20</v>
      </c>
      <c r="E676" s="40" t="s">
        <v>21</v>
      </c>
      <c r="F676" s="40" t="s">
        <v>22</v>
      </c>
      <c r="G676" s="40" t="s">
        <v>23</v>
      </c>
      <c r="H676" s="40" t="s">
        <v>172</v>
      </c>
      <c r="I676" s="40" t="s">
        <v>181</v>
      </c>
      <c r="J676" s="47">
        <v>0.22016500473727763</v>
      </c>
      <c r="K676" s="47">
        <v>0.19414301213757468</v>
      </c>
      <c r="L676" s="47">
        <v>1.6792078651042222E-2</v>
      </c>
      <c r="M676" s="47">
        <v>43.033400412704907</v>
      </c>
      <c r="N676" s="47">
        <v>8.7352654189227508</v>
      </c>
      <c r="O676" s="47">
        <v>4.8506920961501745</v>
      </c>
      <c r="P676" s="47">
        <v>5.7814995751784518E-2</v>
      </c>
      <c r="Q676" s="41" t="s">
        <v>26</v>
      </c>
    </row>
    <row r="677" spans="1:17" x14ac:dyDescent="0.25">
      <c r="A677" s="40" t="s">
        <v>162</v>
      </c>
      <c r="B677" s="40" t="s">
        <v>18</v>
      </c>
      <c r="C677" s="40" t="s">
        <v>19</v>
      </c>
      <c r="D677" s="40" t="s">
        <v>20</v>
      </c>
      <c r="E677" s="40" t="s">
        <v>21</v>
      </c>
      <c r="F677" s="40" t="s">
        <v>35</v>
      </c>
      <c r="G677" s="40" t="s">
        <v>36</v>
      </c>
      <c r="H677" s="40" t="s">
        <v>172</v>
      </c>
      <c r="I677" s="40" t="s">
        <v>173</v>
      </c>
      <c r="J677" s="47">
        <v>1.8026338862559241</v>
      </c>
      <c r="K677" s="47">
        <v>1.5946482359136391</v>
      </c>
      <c r="L677" s="47">
        <v>0.50691350710900485</v>
      </c>
      <c r="M677" s="47">
        <v>1848.0406979989468</v>
      </c>
      <c r="N677" s="47">
        <v>78.097192162541702</v>
      </c>
      <c r="O677" s="47">
        <v>140.96426645602946</v>
      </c>
      <c r="P677" s="47">
        <v>1.8182946287519746</v>
      </c>
      <c r="Q677" s="41" t="s">
        <v>26</v>
      </c>
    </row>
    <row r="678" spans="1:17" x14ac:dyDescent="0.25">
      <c r="A678" s="40" t="s">
        <v>162</v>
      </c>
      <c r="B678" s="40" t="s">
        <v>18</v>
      </c>
      <c r="C678" s="40" t="s">
        <v>19</v>
      </c>
      <c r="D678" s="40" t="s">
        <v>20</v>
      </c>
      <c r="E678" s="40" t="s">
        <v>21</v>
      </c>
      <c r="F678" s="40" t="s">
        <v>35</v>
      </c>
      <c r="G678" s="40" t="s">
        <v>36</v>
      </c>
      <c r="H678" s="40" t="s">
        <v>172</v>
      </c>
      <c r="I678" s="40" t="s">
        <v>174</v>
      </c>
      <c r="J678" s="47">
        <v>79.563168808022382</v>
      </c>
      <c r="K678" s="47">
        <v>70.384465368337118</v>
      </c>
      <c r="L678" s="47">
        <v>4.1968388724835304</v>
      </c>
      <c r="M678" s="47">
        <v>10943.894597692111</v>
      </c>
      <c r="N678" s="47">
        <v>2916.5350512579062</v>
      </c>
      <c r="O678" s="47">
        <v>963.61976169467721</v>
      </c>
      <c r="P678" s="47">
        <v>15.977056606792802</v>
      </c>
      <c r="Q678" s="41" t="s">
        <v>26</v>
      </c>
    </row>
    <row r="679" spans="1:17" x14ac:dyDescent="0.25">
      <c r="A679" s="40" t="s">
        <v>162</v>
      </c>
      <c r="B679" s="40" t="s">
        <v>18</v>
      </c>
      <c r="C679" s="40" t="s">
        <v>19</v>
      </c>
      <c r="D679" s="40" t="s">
        <v>20</v>
      </c>
      <c r="E679" s="40" t="s">
        <v>21</v>
      </c>
      <c r="F679" s="40" t="s">
        <v>35</v>
      </c>
      <c r="G679" s="40" t="s">
        <v>36</v>
      </c>
      <c r="H679" s="40" t="s">
        <v>172</v>
      </c>
      <c r="I679" s="40" t="s">
        <v>175</v>
      </c>
      <c r="J679" s="47">
        <v>2.8569055244195352</v>
      </c>
      <c r="K679" s="47">
        <v>2.5274219375500402</v>
      </c>
      <c r="L679" s="47">
        <v>0.49341473178542838</v>
      </c>
      <c r="M679" s="47">
        <v>1243.230835726587</v>
      </c>
      <c r="N679" s="47">
        <v>611.25483957503957</v>
      </c>
      <c r="O679" s="47">
        <v>57.242534027221787</v>
      </c>
      <c r="P679" s="47">
        <v>1.383206886911885</v>
      </c>
      <c r="Q679" s="41" t="s">
        <v>26</v>
      </c>
    </row>
    <row r="680" spans="1:17" x14ac:dyDescent="0.25">
      <c r="A680" s="40" t="s">
        <v>162</v>
      </c>
      <c r="B680" s="40" t="s">
        <v>18</v>
      </c>
      <c r="C680" s="40" t="s">
        <v>19</v>
      </c>
      <c r="D680" s="40" t="s">
        <v>20</v>
      </c>
      <c r="E680" s="40" t="s">
        <v>21</v>
      </c>
      <c r="F680" s="40" t="s">
        <v>35</v>
      </c>
      <c r="G680" s="40" t="s">
        <v>36</v>
      </c>
      <c r="H680" s="40" t="s">
        <v>172</v>
      </c>
      <c r="I680" s="40" t="s">
        <v>176</v>
      </c>
      <c r="J680" s="47">
        <v>12.65444818404136</v>
      </c>
      <c r="K680" s="47">
        <v>11.215376572633582</v>
      </c>
      <c r="L680" s="47">
        <v>1.4738894864278127</v>
      </c>
      <c r="M680" s="47">
        <v>2892.6034871046254</v>
      </c>
      <c r="N680" s="47">
        <v>644.81161457774988</v>
      </c>
      <c r="O680" s="47">
        <v>314.95707423630154</v>
      </c>
      <c r="P680" s="47">
        <v>4.4979657569517597</v>
      </c>
      <c r="Q680" s="41" t="s">
        <v>26</v>
      </c>
    </row>
    <row r="681" spans="1:17" x14ac:dyDescent="0.25">
      <c r="A681" s="40" t="s">
        <v>162</v>
      </c>
      <c r="B681" s="40" t="s">
        <v>18</v>
      </c>
      <c r="C681" s="40" t="s">
        <v>19</v>
      </c>
      <c r="D681" s="40" t="s">
        <v>20</v>
      </c>
      <c r="E681" s="40" t="s">
        <v>21</v>
      </c>
      <c r="F681" s="40" t="s">
        <v>35</v>
      </c>
      <c r="G681" s="40" t="s">
        <v>36</v>
      </c>
      <c r="H681" s="40" t="s">
        <v>172</v>
      </c>
      <c r="I681" s="40" t="s">
        <v>177</v>
      </c>
      <c r="J681" s="47">
        <v>1.6378773819029326E-2</v>
      </c>
      <c r="K681" s="47">
        <v>1.445505591015981E-2</v>
      </c>
      <c r="L681" s="47">
        <v>1.3788537923207869E-3</v>
      </c>
      <c r="M681" s="47">
        <v>2.5825984832767839</v>
      </c>
      <c r="N681" s="47">
        <v>0.648554368566301</v>
      </c>
      <c r="O681" s="47">
        <v>0.22692691583553512</v>
      </c>
      <c r="P681" s="47">
        <v>5.080385852090032E-3</v>
      </c>
      <c r="Q681" s="41" t="s">
        <v>26</v>
      </c>
    </row>
    <row r="682" spans="1:17" x14ac:dyDescent="0.25">
      <c r="A682" s="40" t="s">
        <v>162</v>
      </c>
      <c r="B682" s="40" t="s">
        <v>18</v>
      </c>
      <c r="C682" s="40" t="s">
        <v>19</v>
      </c>
      <c r="D682" s="40" t="s">
        <v>20</v>
      </c>
      <c r="E682" s="40" t="s">
        <v>21</v>
      </c>
      <c r="F682" s="40" t="s">
        <v>35</v>
      </c>
      <c r="G682" s="40" t="s">
        <v>36</v>
      </c>
      <c r="H682" s="40" t="s">
        <v>172</v>
      </c>
      <c r="I682" s="40" t="s">
        <v>178</v>
      </c>
      <c r="J682" s="47">
        <v>26.920963756819958</v>
      </c>
      <c r="K682" s="47">
        <v>24.766896726422452</v>
      </c>
      <c r="L682" s="47">
        <v>0.41503897116134059</v>
      </c>
      <c r="M682" s="47">
        <v>681.86050993764627</v>
      </c>
      <c r="N682" s="47">
        <v>377.74963971161338</v>
      </c>
      <c r="O682" s="47">
        <v>485.90901714731092</v>
      </c>
      <c r="P682" s="47">
        <v>0.74116212003117676</v>
      </c>
      <c r="Q682" s="41" t="s">
        <v>137</v>
      </c>
    </row>
    <row r="683" spans="1:17" x14ac:dyDescent="0.25">
      <c r="A683" s="40" t="s">
        <v>162</v>
      </c>
      <c r="B683" s="40" t="s">
        <v>18</v>
      </c>
      <c r="C683" s="40" t="s">
        <v>19</v>
      </c>
      <c r="D683" s="40" t="s">
        <v>20</v>
      </c>
      <c r="E683" s="40" t="s">
        <v>21</v>
      </c>
      <c r="F683" s="40" t="s">
        <v>35</v>
      </c>
      <c r="G683" s="40" t="s">
        <v>36</v>
      </c>
      <c r="H683" s="40" t="s">
        <v>172</v>
      </c>
      <c r="I683" s="40" t="s">
        <v>179</v>
      </c>
      <c r="J683" s="47">
        <v>36.343227575637883</v>
      </c>
      <c r="K683" s="47">
        <v>33.405675642172369</v>
      </c>
      <c r="L683" s="47">
        <v>1.1449163724856002</v>
      </c>
      <c r="M683" s="47">
        <v>2081.1380796830745</v>
      </c>
      <c r="N683" s="47">
        <v>683.32093691025455</v>
      </c>
      <c r="O683" s="47">
        <v>1223.9078754179804</v>
      </c>
      <c r="P683" s="47">
        <v>2.6531486398958593</v>
      </c>
      <c r="Q683" s="41" t="s">
        <v>137</v>
      </c>
    </row>
    <row r="684" spans="1:17" x14ac:dyDescent="0.25">
      <c r="A684" s="40" t="s">
        <v>162</v>
      </c>
      <c r="B684" s="40" t="s">
        <v>18</v>
      </c>
      <c r="C684" s="40" t="s">
        <v>19</v>
      </c>
      <c r="D684" s="40" t="s">
        <v>20</v>
      </c>
      <c r="E684" s="40" t="s">
        <v>21</v>
      </c>
      <c r="F684" s="40" t="s">
        <v>35</v>
      </c>
      <c r="G684" s="40" t="s">
        <v>36</v>
      </c>
      <c r="H684" s="40" t="s">
        <v>172</v>
      </c>
      <c r="I684" s="40" t="s">
        <v>180</v>
      </c>
      <c r="J684" s="47">
        <v>121.52726181632802</v>
      </c>
      <c r="K684" s="47">
        <v>111.80048080984632</v>
      </c>
      <c r="L684" s="47">
        <v>2.53987611972908</v>
      </c>
      <c r="M684" s="47">
        <v>4873.238847425534</v>
      </c>
      <c r="N684" s="47">
        <v>2141.588871021775</v>
      </c>
      <c r="O684" s="47">
        <v>4020.2037793314389</v>
      </c>
      <c r="P684" s="47">
        <v>6.0151325467919312</v>
      </c>
      <c r="Q684" s="41" t="s">
        <v>137</v>
      </c>
    </row>
    <row r="685" spans="1:17" x14ac:dyDescent="0.25">
      <c r="A685" s="40" t="s">
        <v>162</v>
      </c>
      <c r="B685" s="40" t="s">
        <v>18</v>
      </c>
      <c r="C685" s="40" t="s">
        <v>19</v>
      </c>
      <c r="D685" s="40" t="s">
        <v>20</v>
      </c>
      <c r="E685" s="40" t="s">
        <v>21</v>
      </c>
      <c r="F685" s="40" t="s">
        <v>35</v>
      </c>
      <c r="G685" s="40" t="s">
        <v>36</v>
      </c>
      <c r="H685" s="40" t="s">
        <v>172</v>
      </c>
      <c r="I685" s="40" t="s">
        <v>181</v>
      </c>
      <c r="J685" s="47">
        <v>37.953855606920619</v>
      </c>
      <c r="K685" s="47">
        <v>33.707960021931257</v>
      </c>
      <c r="L685" s="47">
        <v>2.3310076045879828</v>
      </c>
      <c r="M685" s="47">
        <v>6020.7321179640476</v>
      </c>
      <c r="N685" s="47">
        <v>1267.6076019193811</v>
      </c>
      <c r="O685" s="47">
        <v>682.80537890885239</v>
      </c>
      <c r="P685" s="47">
        <v>8.1780316546813836</v>
      </c>
      <c r="Q685" s="41" t="s">
        <v>26</v>
      </c>
    </row>
    <row r="686" spans="1:17" x14ac:dyDescent="0.25">
      <c r="A686" s="40" t="s">
        <v>162</v>
      </c>
      <c r="B686" s="40" t="s">
        <v>18</v>
      </c>
      <c r="C686" s="40" t="s">
        <v>19</v>
      </c>
      <c r="D686" s="40" t="s">
        <v>20</v>
      </c>
      <c r="E686" s="40" t="s">
        <v>21</v>
      </c>
      <c r="F686" s="40" t="s">
        <v>41</v>
      </c>
      <c r="G686" s="40" t="s">
        <v>42</v>
      </c>
      <c r="H686" s="40" t="s">
        <v>172</v>
      </c>
      <c r="I686" s="40" t="s">
        <v>173</v>
      </c>
      <c r="J686" s="47">
        <v>0.46685367298578201</v>
      </c>
      <c r="K686" s="47">
        <v>0.41298867825171143</v>
      </c>
      <c r="L686" s="47">
        <v>0.13128258293838865</v>
      </c>
      <c r="M686" s="47">
        <v>478.61331924697214</v>
      </c>
      <c r="N686" s="47">
        <v>20.225937883974023</v>
      </c>
      <c r="O686" s="47">
        <v>36.507516061084765</v>
      </c>
      <c r="P686" s="47">
        <v>0.47090955766192738</v>
      </c>
      <c r="Q686" s="41" t="s">
        <v>26</v>
      </c>
    </row>
    <row r="687" spans="1:17" x14ac:dyDescent="0.25">
      <c r="A687" s="40" t="s">
        <v>162</v>
      </c>
      <c r="B687" s="40" t="s">
        <v>18</v>
      </c>
      <c r="C687" s="40" t="s">
        <v>19</v>
      </c>
      <c r="D687" s="40" t="s">
        <v>20</v>
      </c>
      <c r="E687" s="40" t="s">
        <v>21</v>
      </c>
      <c r="F687" s="40" t="s">
        <v>41</v>
      </c>
      <c r="G687" s="40" t="s">
        <v>42</v>
      </c>
      <c r="H687" s="40" t="s">
        <v>172</v>
      </c>
      <c r="I687" s="40" t="s">
        <v>174</v>
      </c>
      <c r="J687" s="47">
        <v>15.413296737445529</v>
      </c>
      <c r="K687" s="47">
        <v>13.635152020708659</v>
      </c>
      <c r="L687" s="47">
        <v>0.8130122517421785</v>
      </c>
      <c r="M687" s="47">
        <v>2120.0024031852786</v>
      </c>
      <c r="N687" s="47">
        <v>564.97371992742058</v>
      </c>
      <c r="O687" s="47">
        <v>186.67855269598638</v>
      </c>
      <c r="P687" s="47">
        <v>3.0951147247204176</v>
      </c>
      <c r="Q687" s="41" t="s">
        <v>26</v>
      </c>
    </row>
    <row r="688" spans="1:17" x14ac:dyDescent="0.25">
      <c r="A688" s="40" t="s">
        <v>162</v>
      </c>
      <c r="B688" s="40" t="s">
        <v>18</v>
      </c>
      <c r="C688" s="40" t="s">
        <v>19</v>
      </c>
      <c r="D688" s="40" t="s">
        <v>20</v>
      </c>
      <c r="E688" s="40" t="s">
        <v>21</v>
      </c>
      <c r="F688" s="40" t="s">
        <v>41</v>
      </c>
      <c r="G688" s="40" t="s">
        <v>42</v>
      </c>
      <c r="H688" s="40" t="s">
        <v>172</v>
      </c>
      <c r="I688" s="40" t="s">
        <v>175</v>
      </c>
      <c r="J688" s="47">
        <v>0.39785054710435014</v>
      </c>
      <c r="K688" s="47">
        <v>0.35196690685882043</v>
      </c>
      <c r="L688" s="47">
        <v>6.871257005604485E-2</v>
      </c>
      <c r="M688" s="47">
        <v>173.13140527155431</v>
      </c>
      <c r="N688" s="47">
        <v>85.122896177857356</v>
      </c>
      <c r="O688" s="47">
        <v>7.9715528867538481</v>
      </c>
      <c r="P688" s="47">
        <v>0.19262436647365508</v>
      </c>
      <c r="Q688" s="41" t="s">
        <v>26</v>
      </c>
    </row>
    <row r="689" spans="1:17" x14ac:dyDescent="0.25">
      <c r="A689" s="40" t="s">
        <v>162</v>
      </c>
      <c r="B689" s="40" t="s">
        <v>18</v>
      </c>
      <c r="C689" s="40" t="s">
        <v>19</v>
      </c>
      <c r="D689" s="40" t="s">
        <v>20</v>
      </c>
      <c r="E689" s="40" t="s">
        <v>21</v>
      </c>
      <c r="F689" s="40" t="s">
        <v>41</v>
      </c>
      <c r="G689" s="40" t="s">
        <v>42</v>
      </c>
      <c r="H689" s="40" t="s">
        <v>172</v>
      </c>
      <c r="I689" s="40" t="s">
        <v>176</v>
      </c>
      <c r="J689" s="47">
        <v>2.8453910078661795</v>
      </c>
      <c r="K689" s="47">
        <v>2.5218089420221905</v>
      </c>
      <c r="L689" s="47">
        <v>0.33141635057320773</v>
      </c>
      <c r="M689" s="47">
        <v>650.41519308392401</v>
      </c>
      <c r="N689" s="47">
        <v>144.98362539493866</v>
      </c>
      <c r="O689" s="47">
        <v>70.82081007456955</v>
      </c>
      <c r="P689" s="47">
        <v>1.0114038231370084</v>
      </c>
      <c r="Q689" s="41" t="s">
        <v>26</v>
      </c>
    </row>
    <row r="690" spans="1:17" x14ac:dyDescent="0.25">
      <c r="A690" s="40" t="s">
        <v>162</v>
      </c>
      <c r="B690" s="40" t="s">
        <v>18</v>
      </c>
      <c r="C690" s="40" t="s">
        <v>19</v>
      </c>
      <c r="D690" s="40" t="s">
        <v>20</v>
      </c>
      <c r="E690" s="40" t="s">
        <v>21</v>
      </c>
      <c r="F690" s="40" t="s">
        <v>41</v>
      </c>
      <c r="G690" s="40" t="s">
        <v>42</v>
      </c>
      <c r="H690" s="40" t="s">
        <v>172</v>
      </c>
      <c r="I690" s="40" t="s">
        <v>177</v>
      </c>
      <c r="J690" s="47">
        <v>0</v>
      </c>
      <c r="K690" s="47">
        <v>0</v>
      </c>
      <c r="L690" s="47">
        <v>0</v>
      </c>
      <c r="M690" s="47">
        <v>0</v>
      </c>
      <c r="N690" s="47">
        <v>0</v>
      </c>
      <c r="O690" s="47">
        <v>0</v>
      </c>
      <c r="P690" s="47">
        <v>0</v>
      </c>
      <c r="Q690" s="41" t="s">
        <v>26</v>
      </c>
    </row>
    <row r="691" spans="1:17" x14ac:dyDescent="0.25">
      <c r="A691" s="40" t="s">
        <v>162</v>
      </c>
      <c r="B691" s="40" t="s">
        <v>18</v>
      </c>
      <c r="C691" s="40" t="s">
        <v>19</v>
      </c>
      <c r="D691" s="40" t="s">
        <v>20</v>
      </c>
      <c r="E691" s="40" t="s">
        <v>21</v>
      </c>
      <c r="F691" s="40" t="s">
        <v>41</v>
      </c>
      <c r="G691" s="40" t="s">
        <v>42</v>
      </c>
      <c r="H691" s="40" t="s">
        <v>172</v>
      </c>
      <c r="I691" s="40" t="s">
        <v>178</v>
      </c>
      <c r="J691" s="47">
        <v>4.0487992985190964</v>
      </c>
      <c r="K691" s="47">
        <v>3.724836710833983</v>
      </c>
      <c r="L691" s="47">
        <v>6.2420109119251763E-2</v>
      </c>
      <c r="M691" s="47">
        <v>102.54894212782543</v>
      </c>
      <c r="N691" s="47">
        <v>56.811951091192519</v>
      </c>
      <c r="O691" s="47">
        <v>73.078664848012465</v>
      </c>
      <c r="P691" s="47">
        <v>0.11146765393608728</v>
      </c>
      <c r="Q691" s="41" t="s">
        <v>137</v>
      </c>
    </row>
    <row r="692" spans="1:17" x14ac:dyDescent="0.25">
      <c r="A692" s="40" t="s">
        <v>162</v>
      </c>
      <c r="B692" s="40" t="s">
        <v>18</v>
      </c>
      <c r="C692" s="40" t="s">
        <v>19</v>
      </c>
      <c r="D692" s="40" t="s">
        <v>20</v>
      </c>
      <c r="E692" s="40" t="s">
        <v>21</v>
      </c>
      <c r="F692" s="40" t="s">
        <v>41</v>
      </c>
      <c r="G692" s="40" t="s">
        <v>42</v>
      </c>
      <c r="H692" s="40" t="s">
        <v>172</v>
      </c>
      <c r="I692" s="40" t="s">
        <v>179</v>
      </c>
      <c r="J692" s="47">
        <v>14.093660532402689</v>
      </c>
      <c r="K692" s="47">
        <v>12.951563979913994</v>
      </c>
      <c r="L692" s="47">
        <v>0.46383401705812305</v>
      </c>
      <c r="M692" s="47">
        <v>907.60744489876595</v>
      </c>
      <c r="N692" s="47">
        <v>266.35420806629918</v>
      </c>
      <c r="O692" s="47">
        <v>502.36446902328373</v>
      </c>
      <c r="P692" s="47">
        <v>1.0504756024773831</v>
      </c>
      <c r="Q692" s="41" t="s">
        <v>137</v>
      </c>
    </row>
    <row r="693" spans="1:17" x14ac:dyDescent="0.25">
      <c r="A693" s="40" t="s">
        <v>162</v>
      </c>
      <c r="B693" s="40" t="s">
        <v>18</v>
      </c>
      <c r="C693" s="40" t="s">
        <v>19</v>
      </c>
      <c r="D693" s="40" t="s">
        <v>20</v>
      </c>
      <c r="E693" s="40" t="s">
        <v>21</v>
      </c>
      <c r="F693" s="40" t="s">
        <v>41</v>
      </c>
      <c r="G693" s="40" t="s">
        <v>42</v>
      </c>
      <c r="H693" s="40" t="s">
        <v>172</v>
      </c>
      <c r="I693" s="40" t="s">
        <v>180</v>
      </c>
      <c r="J693" s="47">
        <v>29.241376156143041</v>
      </c>
      <c r="K693" s="47">
        <v>26.900959216371714</v>
      </c>
      <c r="L693" s="47">
        <v>0.61113425824776058</v>
      </c>
      <c r="M693" s="47">
        <v>1172.5781368436385</v>
      </c>
      <c r="N693" s="47">
        <v>515.30006365159124</v>
      </c>
      <c r="O693" s="47">
        <v>967.3244437404411</v>
      </c>
      <c r="P693" s="47">
        <v>1.4473357730682399</v>
      </c>
      <c r="Q693" s="41" t="s">
        <v>137</v>
      </c>
    </row>
    <row r="694" spans="1:17" x14ac:dyDescent="0.25">
      <c r="A694" s="40" t="s">
        <v>162</v>
      </c>
      <c r="B694" s="40" t="s">
        <v>18</v>
      </c>
      <c r="C694" s="40" t="s">
        <v>19</v>
      </c>
      <c r="D694" s="40" t="s">
        <v>20</v>
      </c>
      <c r="E694" s="40" t="s">
        <v>21</v>
      </c>
      <c r="F694" s="40" t="s">
        <v>41</v>
      </c>
      <c r="G694" s="40" t="s">
        <v>42</v>
      </c>
      <c r="H694" s="40" t="s">
        <v>172</v>
      </c>
      <c r="I694" s="40" t="s">
        <v>181</v>
      </c>
      <c r="J694" s="47">
        <v>11.46722006279839</v>
      </c>
      <c r="K694" s="47">
        <v>10.185272546429898</v>
      </c>
      <c r="L694" s="47">
        <v>0.70110037430603489</v>
      </c>
      <c r="M694" s="47">
        <v>1843.8244970319465</v>
      </c>
      <c r="N694" s="47">
        <v>386.85953821697979</v>
      </c>
      <c r="O694" s="47">
        <v>211.74017240974135</v>
      </c>
      <c r="P694" s="47">
        <v>2.4512468933584679</v>
      </c>
      <c r="Q694" s="41" t="s">
        <v>26</v>
      </c>
    </row>
    <row r="695" spans="1:17" x14ac:dyDescent="0.25">
      <c r="A695" s="40" t="s">
        <v>162</v>
      </c>
      <c r="B695" s="40" t="s">
        <v>18</v>
      </c>
      <c r="C695" s="40" t="s">
        <v>19</v>
      </c>
      <c r="D695" s="40" t="s">
        <v>20</v>
      </c>
      <c r="E695" s="40" t="s">
        <v>21</v>
      </c>
      <c r="F695" s="40" t="s">
        <v>47</v>
      </c>
      <c r="G695" s="40" t="s">
        <v>48</v>
      </c>
      <c r="H695" s="40" t="s">
        <v>172</v>
      </c>
      <c r="I695" s="40" t="s">
        <v>173</v>
      </c>
      <c r="J695" s="47">
        <v>4.405094786729858E-2</v>
      </c>
      <c r="K695" s="47">
        <v>3.8968404423380738E-2</v>
      </c>
      <c r="L695" s="47">
        <v>1.2387440758293842E-2</v>
      </c>
      <c r="M695" s="47">
        <v>45.160553712480258</v>
      </c>
      <c r="N695" s="47">
        <v>1.9084603738809902</v>
      </c>
      <c r="O695" s="47">
        <v>3.4447424960505519</v>
      </c>
      <c r="P695" s="47">
        <v>4.4433649289099528E-2</v>
      </c>
      <c r="Q695" s="41" t="s">
        <v>26</v>
      </c>
    </row>
    <row r="696" spans="1:17" x14ac:dyDescent="0.25">
      <c r="A696" s="40" t="s">
        <v>162</v>
      </c>
      <c r="B696" s="40" t="s">
        <v>18</v>
      </c>
      <c r="C696" s="40" t="s">
        <v>19</v>
      </c>
      <c r="D696" s="40" t="s">
        <v>20</v>
      </c>
      <c r="E696" s="40" t="s">
        <v>21</v>
      </c>
      <c r="F696" s="40" t="s">
        <v>47</v>
      </c>
      <c r="G696" s="40" t="s">
        <v>48</v>
      </c>
      <c r="H696" s="40" t="s">
        <v>172</v>
      </c>
      <c r="I696" s="40" t="s">
        <v>174</v>
      </c>
      <c r="J696" s="47">
        <v>3.021562981632008</v>
      </c>
      <c r="K696" s="47">
        <v>2.672965718165937</v>
      </c>
      <c r="L696" s="47">
        <v>0.15935101432492277</v>
      </c>
      <c r="M696" s="47">
        <v>415.43264517035846</v>
      </c>
      <c r="N696" s="47">
        <v>110.70359819992362</v>
      </c>
      <c r="O696" s="47">
        <v>36.599744346866615</v>
      </c>
      <c r="P696" s="47">
        <v>0.60671024310829713</v>
      </c>
      <c r="Q696" s="41" t="s">
        <v>26</v>
      </c>
    </row>
    <row r="697" spans="1:17" x14ac:dyDescent="0.25">
      <c r="A697" s="40" t="s">
        <v>162</v>
      </c>
      <c r="B697" s="40" t="s">
        <v>18</v>
      </c>
      <c r="C697" s="40" t="s">
        <v>19</v>
      </c>
      <c r="D697" s="40" t="s">
        <v>20</v>
      </c>
      <c r="E697" s="40" t="s">
        <v>21</v>
      </c>
      <c r="F697" s="40" t="s">
        <v>47</v>
      </c>
      <c r="G697" s="40" t="s">
        <v>48</v>
      </c>
      <c r="H697" s="40" t="s">
        <v>172</v>
      </c>
      <c r="I697" s="40" t="s">
        <v>175</v>
      </c>
      <c r="J697" s="47">
        <v>0.17211974023663376</v>
      </c>
      <c r="K697" s="47">
        <v>0.15226937105239749</v>
      </c>
      <c r="L697" s="47">
        <v>2.9726714705097412E-2</v>
      </c>
      <c r="M697" s="47">
        <v>74.900820720317824</v>
      </c>
      <c r="N697" s="47">
        <v>36.826217495385102</v>
      </c>
      <c r="O697" s="47">
        <v>3.4486860006523741</v>
      </c>
      <c r="P697" s="47">
        <v>8.3333945779382704E-2</v>
      </c>
      <c r="Q697" s="41" t="s">
        <v>26</v>
      </c>
    </row>
    <row r="698" spans="1:17" x14ac:dyDescent="0.25">
      <c r="A698" s="40" t="s">
        <v>162</v>
      </c>
      <c r="B698" s="40" t="s">
        <v>18</v>
      </c>
      <c r="C698" s="40" t="s">
        <v>19</v>
      </c>
      <c r="D698" s="40" t="s">
        <v>20</v>
      </c>
      <c r="E698" s="40" t="s">
        <v>21</v>
      </c>
      <c r="F698" s="40" t="s">
        <v>47</v>
      </c>
      <c r="G698" s="40" t="s">
        <v>48</v>
      </c>
      <c r="H698" s="40" t="s">
        <v>172</v>
      </c>
      <c r="I698" s="40" t="s">
        <v>176</v>
      </c>
      <c r="J698" s="47">
        <v>0.46451765599562572</v>
      </c>
      <c r="K698" s="47">
        <v>0.41163743812915765</v>
      </c>
      <c r="L698" s="47">
        <v>5.4278820700787739E-2</v>
      </c>
      <c r="M698" s="47">
        <v>106.5386591492783</v>
      </c>
      <c r="N698" s="47">
        <v>23.739157851980735</v>
      </c>
      <c r="O698" s="47">
        <v>11.600774488850538</v>
      </c>
      <c r="P698" s="47">
        <v>0.1656168535101904</v>
      </c>
      <c r="Q698" s="41" t="s">
        <v>26</v>
      </c>
    </row>
    <row r="699" spans="1:17" x14ac:dyDescent="0.25">
      <c r="A699" s="40" t="s">
        <v>162</v>
      </c>
      <c r="B699" s="40" t="s">
        <v>18</v>
      </c>
      <c r="C699" s="40" t="s">
        <v>19</v>
      </c>
      <c r="D699" s="40" t="s">
        <v>20</v>
      </c>
      <c r="E699" s="40" t="s">
        <v>21</v>
      </c>
      <c r="F699" s="40" t="s">
        <v>47</v>
      </c>
      <c r="G699" s="40" t="s">
        <v>48</v>
      </c>
      <c r="H699" s="40" t="s">
        <v>172</v>
      </c>
      <c r="I699" s="40" t="s">
        <v>177</v>
      </c>
      <c r="J699" s="47">
        <v>0</v>
      </c>
      <c r="K699" s="47">
        <v>0</v>
      </c>
      <c r="L699" s="47">
        <v>0</v>
      </c>
      <c r="M699" s="47">
        <v>0</v>
      </c>
      <c r="N699" s="47">
        <v>0</v>
      </c>
      <c r="O699" s="47">
        <v>0</v>
      </c>
      <c r="P699" s="47">
        <v>0</v>
      </c>
      <c r="Q699" s="41" t="s">
        <v>26</v>
      </c>
    </row>
    <row r="700" spans="1:17" x14ac:dyDescent="0.25">
      <c r="A700" s="40" t="s">
        <v>162</v>
      </c>
      <c r="B700" s="40" t="s">
        <v>18</v>
      </c>
      <c r="C700" s="40" t="s">
        <v>19</v>
      </c>
      <c r="D700" s="40" t="s">
        <v>20</v>
      </c>
      <c r="E700" s="40" t="s">
        <v>21</v>
      </c>
      <c r="F700" s="40" t="s">
        <v>47</v>
      </c>
      <c r="G700" s="40" t="s">
        <v>48</v>
      </c>
      <c r="H700" s="40" t="s">
        <v>172</v>
      </c>
      <c r="I700" s="40" t="s">
        <v>178</v>
      </c>
      <c r="J700" s="47">
        <v>1.0654734996102886</v>
      </c>
      <c r="K700" s="47">
        <v>0.98022018706157465</v>
      </c>
      <c r="L700" s="47">
        <v>1.6426344505066252E-2</v>
      </c>
      <c r="M700" s="47">
        <v>26.986563717848796</v>
      </c>
      <c r="N700" s="47">
        <v>14.950513445050664</v>
      </c>
      <c r="O700" s="47">
        <v>19.231227591582229</v>
      </c>
      <c r="P700" s="47">
        <v>2.9333593141075594E-2</v>
      </c>
      <c r="Q700" s="41" t="s">
        <v>137</v>
      </c>
    </row>
    <row r="701" spans="1:17" x14ac:dyDescent="0.25">
      <c r="A701" s="40" t="s">
        <v>162</v>
      </c>
      <c r="B701" s="40" t="s">
        <v>18</v>
      </c>
      <c r="C701" s="40" t="s">
        <v>19</v>
      </c>
      <c r="D701" s="40" t="s">
        <v>20</v>
      </c>
      <c r="E701" s="40" t="s">
        <v>21</v>
      </c>
      <c r="F701" s="40" t="s">
        <v>47</v>
      </c>
      <c r="G701" s="40" t="s">
        <v>48</v>
      </c>
      <c r="H701" s="40" t="s">
        <v>172</v>
      </c>
      <c r="I701" s="40" t="s">
        <v>179</v>
      </c>
      <c r="J701" s="47">
        <v>5.4746199371578914</v>
      </c>
      <c r="K701" s="47">
        <v>5.0336609341926311</v>
      </c>
      <c r="L701" s="47">
        <v>0.1620237257215944</v>
      </c>
      <c r="M701" s="47">
        <v>257.82153343940013</v>
      </c>
      <c r="N701" s="47">
        <v>102.06542372877792</v>
      </c>
      <c r="O701" s="47">
        <v>169.76631869890733</v>
      </c>
      <c r="P701" s="47">
        <v>0.37692911058579637</v>
      </c>
      <c r="Q701" s="41" t="s">
        <v>137</v>
      </c>
    </row>
    <row r="702" spans="1:17" x14ac:dyDescent="0.25">
      <c r="A702" s="40" t="s">
        <v>162</v>
      </c>
      <c r="B702" s="40" t="s">
        <v>18</v>
      </c>
      <c r="C702" s="40" t="s">
        <v>19</v>
      </c>
      <c r="D702" s="40" t="s">
        <v>20</v>
      </c>
      <c r="E702" s="40" t="s">
        <v>21</v>
      </c>
      <c r="F702" s="40" t="s">
        <v>47</v>
      </c>
      <c r="G702" s="40" t="s">
        <v>48</v>
      </c>
      <c r="H702" s="40" t="s">
        <v>172</v>
      </c>
      <c r="I702" s="40" t="s">
        <v>180</v>
      </c>
      <c r="J702" s="47">
        <v>17.068147694996728</v>
      </c>
      <c r="K702" s="47">
        <v>15.702049814288833</v>
      </c>
      <c r="L702" s="47">
        <v>0.35671815599737822</v>
      </c>
      <c r="M702" s="47">
        <v>684.43211142669861</v>
      </c>
      <c r="N702" s="47">
        <v>300.77987939698482</v>
      </c>
      <c r="O702" s="47">
        <v>564.6258365741752</v>
      </c>
      <c r="P702" s="47">
        <v>0.84480773432379286</v>
      </c>
      <c r="Q702" s="41" t="s">
        <v>137</v>
      </c>
    </row>
    <row r="703" spans="1:17" x14ac:dyDescent="0.25">
      <c r="A703" s="40" t="s">
        <v>162</v>
      </c>
      <c r="B703" s="40" t="s">
        <v>18</v>
      </c>
      <c r="C703" s="40" t="s">
        <v>19</v>
      </c>
      <c r="D703" s="40" t="s">
        <v>20</v>
      </c>
      <c r="E703" s="40" t="s">
        <v>21</v>
      </c>
      <c r="F703" s="40" t="s">
        <v>47</v>
      </c>
      <c r="G703" s="40" t="s">
        <v>48</v>
      </c>
      <c r="H703" s="40" t="s">
        <v>172</v>
      </c>
      <c r="I703" s="40" t="s">
        <v>181</v>
      </c>
      <c r="J703" s="47">
        <v>2.3195644495530834</v>
      </c>
      <c r="K703" s="47">
        <v>2.0585205602075511</v>
      </c>
      <c r="L703" s="47">
        <v>0.14610287154217771</v>
      </c>
      <c r="M703" s="47">
        <v>376.43900041121753</v>
      </c>
      <c r="N703" s="47">
        <v>78.866997696844464</v>
      </c>
      <c r="O703" s="47">
        <v>42.670837134944101</v>
      </c>
      <c r="P703" s="47">
        <v>0.50874257104289378</v>
      </c>
      <c r="Q703" s="41" t="s">
        <v>26</v>
      </c>
    </row>
    <row r="704" spans="1:17" x14ac:dyDescent="0.25">
      <c r="A704" s="40" t="s">
        <v>162</v>
      </c>
      <c r="B704" s="40" t="s">
        <v>18</v>
      </c>
      <c r="C704" s="40" t="s">
        <v>19</v>
      </c>
      <c r="D704" s="40" t="s">
        <v>20</v>
      </c>
      <c r="E704" s="40" t="s">
        <v>21</v>
      </c>
      <c r="F704" s="40" t="s">
        <v>43</v>
      </c>
      <c r="G704" s="40" t="s">
        <v>44</v>
      </c>
      <c r="H704" s="40" t="s">
        <v>172</v>
      </c>
      <c r="I704" s="40" t="s">
        <v>173</v>
      </c>
      <c r="J704" s="47">
        <v>0.27227000000000001</v>
      </c>
      <c r="K704" s="47">
        <v>0.111412</v>
      </c>
      <c r="L704" s="47">
        <v>5.9903353310107176E-2</v>
      </c>
      <c r="M704" s="47">
        <v>61.226728166113617</v>
      </c>
      <c r="N704" s="47">
        <v>2.9416507994621957</v>
      </c>
      <c r="O704" s="47">
        <v>27.7055984446358</v>
      </c>
      <c r="P704" s="47">
        <v>0.42684813907572844</v>
      </c>
      <c r="Q704" s="41" t="s">
        <v>26</v>
      </c>
    </row>
    <row r="705" spans="1:17" x14ac:dyDescent="0.25">
      <c r="A705" s="40" t="s">
        <v>162</v>
      </c>
      <c r="B705" s="40" t="s">
        <v>18</v>
      </c>
      <c r="C705" s="40" t="s">
        <v>19</v>
      </c>
      <c r="D705" s="40" t="s">
        <v>20</v>
      </c>
      <c r="E705" s="40" t="s">
        <v>21</v>
      </c>
      <c r="F705" s="40" t="s">
        <v>43</v>
      </c>
      <c r="G705" s="40" t="s">
        <v>44</v>
      </c>
      <c r="H705" s="40" t="s">
        <v>172</v>
      </c>
      <c r="I705" s="40" t="s">
        <v>174</v>
      </c>
      <c r="J705" s="47">
        <v>1.745082464676585</v>
      </c>
      <c r="K705" s="47">
        <v>0.47372128804879449</v>
      </c>
      <c r="L705" s="47">
        <v>0.24769762640538945</v>
      </c>
      <c r="M705" s="47">
        <v>150.48070390358393</v>
      </c>
      <c r="N705" s="47">
        <v>24.654127762088997</v>
      </c>
      <c r="O705" s="47">
        <v>23.846687772313828</v>
      </c>
      <c r="P705" s="47">
        <v>0.94101956316217916</v>
      </c>
      <c r="Q705" s="41" t="s">
        <v>26</v>
      </c>
    </row>
    <row r="706" spans="1:17" x14ac:dyDescent="0.25">
      <c r="A706" s="40" t="s">
        <v>162</v>
      </c>
      <c r="B706" s="40" t="s">
        <v>18</v>
      </c>
      <c r="C706" s="40" t="s">
        <v>19</v>
      </c>
      <c r="D706" s="40" t="s">
        <v>20</v>
      </c>
      <c r="E706" s="40" t="s">
        <v>21</v>
      </c>
      <c r="F706" s="40" t="s">
        <v>43</v>
      </c>
      <c r="G706" s="40" t="s">
        <v>44</v>
      </c>
      <c r="H706" s="40" t="s">
        <v>172</v>
      </c>
      <c r="I706" s="40" t="s">
        <v>175</v>
      </c>
      <c r="J706" s="47">
        <v>5.8141928421838511E-2</v>
      </c>
      <c r="K706" s="47">
        <v>1.5789988906643404E-2</v>
      </c>
      <c r="L706" s="47">
        <v>5.338957316682269E-2</v>
      </c>
      <c r="M706" s="47">
        <v>17.494548843951545</v>
      </c>
      <c r="N706" s="47">
        <v>3.8563400682754558</v>
      </c>
      <c r="O706" s="47">
        <v>1.5739441766411244</v>
      </c>
      <c r="P706" s="47">
        <v>0.14983257184254489</v>
      </c>
      <c r="Q706" s="41" t="s">
        <v>26</v>
      </c>
    </row>
    <row r="707" spans="1:17" x14ac:dyDescent="0.25">
      <c r="A707" s="40" t="s">
        <v>162</v>
      </c>
      <c r="B707" s="40" t="s">
        <v>18</v>
      </c>
      <c r="C707" s="40" t="s">
        <v>19</v>
      </c>
      <c r="D707" s="40" t="s">
        <v>20</v>
      </c>
      <c r="E707" s="40" t="s">
        <v>21</v>
      </c>
      <c r="F707" s="40" t="s">
        <v>43</v>
      </c>
      <c r="G707" s="40" t="s">
        <v>44</v>
      </c>
      <c r="H707" s="40" t="s">
        <v>172</v>
      </c>
      <c r="I707" s="40" t="s">
        <v>176</v>
      </c>
      <c r="J707" s="47">
        <v>4.0706397411449197E-4</v>
      </c>
      <c r="K707" s="47">
        <v>3.6884308120338201E-4</v>
      </c>
      <c r="L707" s="47">
        <v>1.7820788093108811E-4</v>
      </c>
      <c r="M707" s="47">
        <v>0.10619427387718476</v>
      </c>
      <c r="N707" s="47">
        <v>2.6440911160245606E-2</v>
      </c>
      <c r="O707" s="47">
        <v>1.4561920601122125E-2</v>
      </c>
      <c r="P707" s="47">
        <v>5.9114602275790165E-4</v>
      </c>
      <c r="Q707" s="41" t="s">
        <v>26</v>
      </c>
    </row>
    <row r="708" spans="1:17" x14ac:dyDescent="0.25">
      <c r="A708" s="40" t="s">
        <v>162</v>
      </c>
      <c r="B708" s="40" t="s">
        <v>18</v>
      </c>
      <c r="C708" s="40" t="s">
        <v>19</v>
      </c>
      <c r="D708" s="40" t="s">
        <v>20</v>
      </c>
      <c r="E708" s="40" t="s">
        <v>21</v>
      </c>
      <c r="F708" s="40" t="s">
        <v>43</v>
      </c>
      <c r="G708" s="40" t="s">
        <v>44</v>
      </c>
      <c r="H708" s="40" t="s">
        <v>172</v>
      </c>
      <c r="I708" s="40" t="s">
        <v>177</v>
      </c>
      <c r="J708" s="47">
        <v>0</v>
      </c>
      <c r="K708" s="47">
        <v>0</v>
      </c>
      <c r="L708" s="47">
        <v>0</v>
      </c>
      <c r="M708" s="47">
        <v>0</v>
      </c>
      <c r="N708" s="47">
        <v>0</v>
      </c>
      <c r="O708" s="47">
        <v>0</v>
      </c>
      <c r="P708" s="47">
        <v>0</v>
      </c>
      <c r="Q708" s="41" t="s">
        <v>26</v>
      </c>
    </row>
    <row r="709" spans="1:17" x14ac:dyDescent="0.25">
      <c r="A709" s="40" t="s">
        <v>162</v>
      </c>
      <c r="B709" s="40" t="s">
        <v>18</v>
      </c>
      <c r="C709" s="40" t="s">
        <v>19</v>
      </c>
      <c r="D709" s="40" t="s">
        <v>20</v>
      </c>
      <c r="E709" s="40" t="s">
        <v>21</v>
      </c>
      <c r="F709" s="40" t="s">
        <v>43</v>
      </c>
      <c r="G709" s="40" t="s">
        <v>44</v>
      </c>
      <c r="H709" s="40" t="s">
        <v>172</v>
      </c>
      <c r="I709" s="40" t="s">
        <v>178</v>
      </c>
      <c r="J709" s="47">
        <v>3.1664556277653473</v>
      </c>
      <c r="K709" s="47">
        <v>2.3139636420615974</v>
      </c>
      <c r="L709" s="47">
        <v>8.4348663761244183E-2</v>
      </c>
      <c r="M709" s="47">
        <v>16.766229881938276</v>
      </c>
      <c r="N709" s="47">
        <v>45.684103257357044</v>
      </c>
      <c r="O709" s="47">
        <v>2.7389597998052353</v>
      </c>
      <c r="P709" s="47">
        <v>0.11609602502388836</v>
      </c>
      <c r="Q709" s="41" t="s">
        <v>137</v>
      </c>
    </row>
    <row r="710" spans="1:17" x14ac:dyDescent="0.25">
      <c r="A710" s="40" t="s">
        <v>162</v>
      </c>
      <c r="B710" s="40" t="s">
        <v>18</v>
      </c>
      <c r="C710" s="40" t="s">
        <v>19</v>
      </c>
      <c r="D710" s="40" t="s">
        <v>20</v>
      </c>
      <c r="E710" s="40" t="s">
        <v>21</v>
      </c>
      <c r="F710" s="40" t="s">
        <v>43</v>
      </c>
      <c r="G710" s="40" t="s">
        <v>44</v>
      </c>
      <c r="H710" s="40" t="s">
        <v>172</v>
      </c>
      <c r="I710" s="40" t="s">
        <v>179</v>
      </c>
      <c r="J710" s="47">
        <v>0.15688028660961034</v>
      </c>
      <c r="K710" s="47">
        <v>9.8651915409338431E-2</v>
      </c>
      <c r="L710" s="47">
        <v>3.6254757999968634E-3</v>
      </c>
      <c r="M710" s="47">
        <v>0.68227829057215716</v>
      </c>
      <c r="N710" s="47">
        <v>1.8644785227781517</v>
      </c>
      <c r="O710" s="47">
        <v>0.51975511790439999</v>
      </c>
      <c r="P710" s="47">
        <v>9.6472934585697216E-3</v>
      </c>
      <c r="Q710" s="41" t="s">
        <v>137</v>
      </c>
    </row>
    <row r="711" spans="1:17" x14ac:dyDescent="0.25">
      <c r="A711" s="40" t="s">
        <v>162</v>
      </c>
      <c r="B711" s="40" t="s">
        <v>18</v>
      </c>
      <c r="C711" s="40" t="s">
        <v>19</v>
      </c>
      <c r="D711" s="40" t="s">
        <v>20</v>
      </c>
      <c r="E711" s="40" t="s">
        <v>21</v>
      </c>
      <c r="F711" s="40" t="s">
        <v>43</v>
      </c>
      <c r="G711" s="40" t="s">
        <v>44</v>
      </c>
      <c r="H711" s="40" t="s">
        <v>172</v>
      </c>
      <c r="I711" s="40" t="s">
        <v>180</v>
      </c>
      <c r="J711" s="47">
        <v>0</v>
      </c>
      <c r="K711" s="47">
        <v>0</v>
      </c>
      <c r="L711" s="47">
        <v>0</v>
      </c>
      <c r="M711" s="47">
        <v>0</v>
      </c>
      <c r="N711" s="47">
        <v>0</v>
      </c>
      <c r="O711" s="47">
        <v>0</v>
      </c>
      <c r="P711" s="47">
        <v>0</v>
      </c>
      <c r="Q711" s="41" t="s">
        <v>137</v>
      </c>
    </row>
    <row r="712" spans="1:17" x14ac:dyDescent="0.25">
      <c r="A712" s="40" t="s">
        <v>162</v>
      </c>
      <c r="B712" s="40" t="s">
        <v>18</v>
      </c>
      <c r="C712" s="40" t="s">
        <v>19</v>
      </c>
      <c r="D712" s="40" t="s">
        <v>20</v>
      </c>
      <c r="E712" s="40" t="s">
        <v>21</v>
      </c>
      <c r="F712" s="40" t="s">
        <v>43</v>
      </c>
      <c r="G712" s="40" t="s">
        <v>44</v>
      </c>
      <c r="H712" s="40" t="s">
        <v>172</v>
      </c>
      <c r="I712" s="40" t="s">
        <v>181</v>
      </c>
      <c r="J712" s="47">
        <v>1.011200658529172</v>
      </c>
      <c r="K712" s="47">
        <v>0.40525564075484577</v>
      </c>
      <c r="L712" s="47">
        <v>0.15524492085254119</v>
      </c>
      <c r="M712" s="47">
        <v>104.28453856514405</v>
      </c>
      <c r="N712" s="47">
        <v>23.773506049502515</v>
      </c>
      <c r="O712" s="47">
        <v>15.22973599336666</v>
      </c>
      <c r="P712" s="47">
        <v>0.51717167623674021</v>
      </c>
      <c r="Q712" s="41" t="s">
        <v>26</v>
      </c>
    </row>
    <row r="713" spans="1:17" x14ac:dyDescent="0.25">
      <c r="A713" s="40" t="s">
        <v>162</v>
      </c>
      <c r="B713" s="40" t="s">
        <v>18</v>
      </c>
      <c r="C713" s="40" t="s">
        <v>19</v>
      </c>
      <c r="D713" s="40" t="s">
        <v>20</v>
      </c>
      <c r="E713" s="40" t="s">
        <v>21</v>
      </c>
      <c r="F713" s="40" t="s">
        <v>59</v>
      </c>
      <c r="G713" s="40" t="s">
        <v>60</v>
      </c>
      <c r="H713" s="40" t="s">
        <v>172</v>
      </c>
      <c r="I713" s="40" t="s">
        <v>173</v>
      </c>
      <c r="J713" s="47">
        <v>0.36752310426540291</v>
      </c>
      <c r="K713" s="47">
        <v>0.3251187467087942</v>
      </c>
      <c r="L713" s="47">
        <v>0.10335011848341236</v>
      </c>
      <c r="M713" s="47">
        <v>376.78069813059506</v>
      </c>
      <c r="N713" s="47">
        <v>15.922546844830611</v>
      </c>
      <c r="O713" s="47">
        <v>28.739959452343331</v>
      </c>
      <c r="P713" s="47">
        <v>0.37071603475513432</v>
      </c>
      <c r="Q713" s="41" t="s">
        <v>26</v>
      </c>
    </row>
    <row r="714" spans="1:17" x14ac:dyDescent="0.25">
      <c r="A714" s="40" t="s">
        <v>162</v>
      </c>
      <c r="B714" s="40" t="s">
        <v>18</v>
      </c>
      <c r="C714" s="40" t="s">
        <v>19</v>
      </c>
      <c r="D714" s="40" t="s">
        <v>20</v>
      </c>
      <c r="E714" s="40" t="s">
        <v>21</v>
      </c>
      <c r="F714" s="40" t="s">
        <v>59</v>
      </c>
      <c r="G714" s="40" t="s">
        <v>60</v>
      </c>
      <c r="H714" s="40" t="s">
        <v>172</v>
      </c>
      <c r="I714" s="40" t="s">
        <v>174</v>
      </c>
      <c r="J714" s="47">
        <v>13.786641168616597</v>
      </c>
      <c r="K714" s="47">
        <v>12.196152126044883</v>
      </c>
      <c r="L714" s="47">
        <v>0.72720622453169503</v>
      </c>
      <c r="M714" s="47">
        <v>1896.2428071582897</v>
      </c>
      <c r="N714" s="47">
        <v>505.34140553719709</v>
      </c>
      <c r="O714" s="47">
        <v>166.9778383496477</v>
      </c>
      <c r="P714" s="47">
        <v>2.7684628747749644</v>
      </c>
      <c r="Q714" s="41" t="s">
        <v>26</v>
      </c>
    </row>
    <row r="715" spans="1:17" x14ac:dyDescent="0.25">
      <c r="A715" s="40" t="s">
        <v>162</v>
      </c>
      <c r="B715" s="40" t="s">
        <v>18</v>
      </c>
      <c r="C715" s="40" t="s">
        <v>19</v>
      </c>
      <c r="D715" s="40" t="s">
        <v>20</v>
      </c>
      <c r="E715" s="40" t="s">
        <v>21</v>
      </c>
      <c r="F715" s="40" t="s">
        <v>59</v>
      </c>
      <c r="G715" s="40" t="s">
        <v>60</v>
      </c>
      <c r="H715" s="40" t="s">
        <v>172</v>
      </c>
      <c r="I715" s="40" t="s">
        <v>175</v>
      </c>
      <c r="J715" s="47">
        <v>0.81686335735254867</v>
      </c>
      <c r="K715" s="47">
        <v>0.72265545769949291</v>
      </c>
      <c r="L715" s="47">
        <v>0.14108006405124099</v>
      </c>
      <c r="M715" s="47">
        <v>355.4719278447871</v>
      </c>
      <c r="N715" s="47">
        <v>174.77360598219656</v>
      </c>
      <c r="O715" s="47">
        <v>16.367124544079712</v>
      </c>
      <c r="P715" s="47">
        <v>0.39549470988739821</v>
      </c>
      <c r="Q715" s="41" t="s">
        <v>26</v>
      </c>
    </row>
    <row r="716" spans="1:17" x14ac:dyDescent="0.25">
      <c r="A716" s="40" t="s">
        <v>162</v>
      </c>
      <c r="B716" s="40" t="s">
        <v>18</v>
      </c>
      <c r="C716" s="40" t="s">
        <v>19</v>
      </c>
      <c r="D716" s="40" t="s">
        <v>20</v>
      </c>
      <c r="E716" s="40" t="s">
        <v>21</v>
      </c>
      <c r="F716" s="40" t="s">
        <v>59</v>
      </c>
      <c r="G716" s="40" t="s">
        <v>60</v>
      </c>
      <c r="H716" s="40" t="s">
        <v>172</v>
      </c>
      <c r="I716" s="40" t="s">
        <v>176</v>
      </c>
      <c r="J716" s="47">
        <v>1.9928058924081087</v>
      </c>
      <c r="K716" s="47">
        <v>1.7663855074962649</v>
      </c>
      <c r="L716" s="47">
        <v>0.23145913871808477</v>
      </c>
      <c r="M716" s="47">
        <v>454.19077084097802</v>
      </c>
      <c r="N716" s="47">
        <v>101.27821917703255</v>
      </c>
      <c r="O716" s="47">
        <v>49.45385276685424</v>
      </c>
      <c r="P716" s="47">
        <v>0.70646752756792586</v>
      </c>
      <c r="Q716" s="41" t="s">
        <v>26</v>
      </c>
    </row>
    <row r="717" spans="1:17" x14ac:dyDescent="0.25">
      <c r="A717" s="40" t="s">
        <v>162</v>
      </c>
      <c r="B717" s="40" t="s">
        <v>18</v>
      </c>
      <c r="C717" s="40" t="s">
        <v>19</v>
      </c>
      <c r="D717" s="40" t="s">
        <v>20</v>
      </c>
      <c r="E717" s="40" t="s">
        <v>21</v>
      </c>
      <c r="F717" s="40" t="s">
        <v>59</v>
      </c>
      <c r="G717" s="40" t="s">
        <v>60</v>
      </c>
      <c r="H717" s="40" t="s">
        <v>172</v>
      </c>
      <c r="I717" s="40" t="s">
        <v>177</v>
      </c>
      <c r="J717" s="47">
        <v>4.0946934547573324E-2</v>
      </c>
      <c r="K717" s="47">
        <v>3.6137639775399522E-2</v>
      </c>
      <c r="L717" s="47">
        <v>3.4471344808019674E-3</v>
      </c>
      <c r="M717" s="47">
        <v>6.456496208191961</v>
      </c>
      <c r="N717" s="47">
        <v>1.6213859214157524</v>
      </c>
      <c r="O717" s="47">
        <v>0.56731728958883776</v>
      </c>
      <c r="P717" s="47">
        <v>1.2700964630225083E-2</v>
      </c>
      <c r="Q717" s="41" t="s">
        <v>26</v>
      </c>
    </row>
    <row r="718" spans="1:17" x14ac:dyDescent="0.25">
      <c r="A718" s="40" t="s">
        <v>162</v>
      </c>
      <c r="B718" s="40" t="s">
        <v>18</v>
      </c>
      <c r="C718" s="40" t="s">
        <v>19</v>
      </c>
      <c r="D718" s="40" t="s">
        <v>20</v>
      </c>
      <c r="E718" s="40" t="s">
        <v>21</v>
      </c>
      <c r="F718" s="40" t="s">
        <v>59</v>
      </c>
      <c r="G718" s="40" t="s">
        <v>60</v>
      </c>
      <c r="H718" s="40" t="s">
        <v>172</v>
      </c>
      <c r="I718" s="40" t="s">
        <v>178</v>
      </c>
      <c r="J718" s="47">
        <v>8.1686301636788787</v>
      </c>
      <c r="K718" s="47">
        <v>7.5150214341387382</v>
      </c>
      <c r="L718" s="47">
        <v>0.12593530787217461</v>
      </c>
      <c r="M718" s="47">
        <v>206.89698850350743</v>
      </c>
      <c r="N718" s="47">
        <v>114.62060307872177</v>
      </c>
      <c r="O718" s="47">
        <v>147.43941153546373</v>
      </c>
      <c r="P718" s="47">
        <v>0.22489088074824626</v>
      </c>
      <c r="Q718" s="41" t="s">
        <v>137</v>
      </c>
    </row>
    <row r="719" spans="1:17" x14ac:dyDescent="0.25">
      <c r="A719" s="40" t="s">
        <v>162</v>
      </c>
      <c r="B719" s="40" t="s">
        <v>18</v>
      </c>
      <c r="C719" s="40" t="s">
        <v>19</v>
      </c>
      <c r="D719" s="40" t="s">
        <v>20</v>
      </c>
      <c r="E719" s="40" t="s">
        <v>21</v>
      </c>
      <c r="F719" s="40" t="s">
        <v>59</v>
      </c>
      <c r="G719" s="40" t="s">
        <v>60</v>
      </c>
      <c r="H719" s="40" t="s">
        <v>172</v>
      </c>
      <c r="I719" s="40" t="s">
        <v>179</v>
      </c>
      <c r="J719" s="47">
        <v>5.6601410249998318</v>
      </c>
      <c r="K719" s="47">
        <v>5.2010092341715621</v>
      </c>
      <c r="L719" s="47">
        <v>0.18936118149660713</v>
      </c>
      <c r="M719" s="47">
        <v>379.33792362063065</v>
      </c>
      <c r="N719" s="47">
        <v>106.88795028714611</v>
      </c>
      <c r="O719" s="47">
        <v>206.06178097652159</v>
      </c>
      <c r="P719" s="47">
        <v>0.42073658948685067</v>
      </c>
      <c r="Q719" s="41" t="s">
        <v>137</v>
      </c>
    </row>
    <row r="720" spans="1:17" x14ac:dyDescent="0.25">
      <c r="A720" s="40" t="s">
        <v>162</v>
      </c>
      <c r="B720" s="40" t="s">
        <v>18</v>
      </c>
      <c r="C720" s="40" t="s">
        <v>19</v>
      </c>
      <c r="D720" s="40" t="s">
        <v>20</v>
      </c>
      <c r="E720" s="40" t="s">
        <v>21</v>
      </c>
      <c r="F720" s="40" t="s">
        <v>59</v>
      </c>
      <c r="G720" s="40" t="s">
        <v>60</v>
      </c>
      <c r="H720" s="40" t="s">
        <v>172</v>
      </c>
      <c r="I720" s="40" t="s">
        <v>180</v>
      </c>
      <c r="J720" s="47">
        <v>8.6365852450659109</v>
      </c>
      <c r="K720" s="47">
        <v>7.9453315126356419</v>
      </c>
      <c r="L720" s="47">
        <v>0.18050152938606076</v>
      </c>
      <c r="M720" s="47">
        <v>346.32675908528142</v>
      </c>
      <c r="N720" s="47">
        <v>152.1964254606365</v>
      </c>
      <c r="O720" s="47">
        <v>285.70406445269828</v>
      </c>
      <c r="P720" s="47">
        <v>0.42747778748816551</v>
      </c>
      <c r="Q720" s="41" t="s">
        <v>137</v>
      </c>
    </row>
    <row r="721" spans="1:17" x14ac:dyDescent="0.25">
      <c r="A721" s="40" t="s">
        <v>162</v>
      </c>
      <c r="B721" s="40" t="s">
        <v>18</v>
      </c>
      <c r="C721" s="40" t="s">
        <v>19</v>
      </c>
      <c r="D721" s="40" t="s">
        <v>20</v>
      </c>
      <c r="E721" s="40" t="s">
        <v>21</v>
      </c>
      <c r="F721" s="40" t="s">
        <v>59</v>
      </c>
      <c r="G721" s="40" t="s">
        <v>60</v>
      </c>
      <c r="H721" s="40" t="s">
        <v>172</v>
      </c>
      <c r="I721" s="40" t="s">
        <v>181</v>
      </c>
      <c r="J721" s="47">
        <v>5.7122871999476743</v>
      </c>
      <c r="K721" s="47">
        <v>5.0699651134923798</v>
      </c>
      <c r="L721" s="47">
        <v>0.3594344084406077</v>
      </c>
      <c r="M721" s="47">
        <v>931.85097085578548</v>
      </c>
      <c r="N721" s="47">
        <v>195.01085619807697</v>
      </c>
      <c r="O721" s="47">
        <v>105.93369610154691</v>
      </c>
      <c r="P721" s="47">
        <v>1.2569202927419658</v>
      </c>
      <c r="Q721" s="41" t="s">
        <v>26</v>
      </c>
    </row>
    <row r="722" spans="1:17" x14ac:dyDescent="0.25">
      <c r="A722" s="40" t="s">
        <v>162</v>
      </c>
      <c r="B722" s="40" t="s">
        <v>18</v>
      </c>
      <c r="C722" s="40" t="s">
        <v>19</v>
      </c>
      <c r="D722" s="40" t="s">
        <v>20</v>
      </c>
      <c r="E722" s="40" t="s">
        <v>21</v>
      </c>
      <c r="F722" s="40" t="s">
        <v>65</v>
      </c>
      <c r="G722" s="40" t="s">
        <v>66</v>
      </c>
      <c r="H722" s="40" t="s">
        <v>172</v>
      </c>
      <c r="I722" s="40" t="s">
        <v>173</v>
      </c>
      <c r="J722" s="47">
        <v>1.1513708530805689</v>
      </c>
      <c r="K722" s="47">
        <v>1.0185271195365984</v>
      </c>
      <c r="L722" s="47">
        <v>0.32377369668246458</v>
      </c>
      <c r="M722" s="47">
        <v>1180.3729038967879</v>
      </c>
      <c r="N722" s="47">
        <v>49.881915262418829</v>
      </c>
      <c r="O722" s="47">
        <v>90.036112690889922</v>
      </c>
      <c r="P722" s="47">
        <v>1.161373617693523</v>
      </c>
      <c r="Q722" s="41" t="s">
        <v>26</v>
      </c>
    </row>
    <row r="723" spans="1:17" x14ac:dyDescent="0.25">
      <c r="A723" s="40" t="s">
        <v>162</v>
      </c>
      <c r="B723" s="40" t="s">
        <v>18</v>
      </c>
      <c r="C723" s="40" t="s">
        <v>19</v>
      </c>
      <c r="D723" s="40" t="s">
        <v>20</v>
      </c>
      <c r="E723" s="40" t="s">
        <v>21</v>
      </c>
      <c r="F723" s="40" t="s">
        <v>65</v>
      </c>
      <c r="G723" s="40" t="s">
        <v>66</v>
      </c>
      <c r="H723" s="40" t="s">
        <v>172</v>
      </c>
      <c r="I723" s="40" t="s">
        <v>174</v>
      </c>
      <c r="J723" s="47">
        <v>45.226906448256187</v>
      </c>
      <c r="K723" s="47">
        <v>40.009362746244399</v>
      </c>
      <c r="L723" s="47">
        <v>2.3856531950818094</v>
      </c>
      <c r="M723" s="47">
        <v>6220.9564089007217</v>
      </c>
      <c r="N723" s="47">
        <v>1657.8778778967787</v>
      </c>
      <c r="O723" s="47">
        <v>547.76008925943177</v>
      </c>
      <c r="P723" s="47">
        <v>9.082003537084784</v>
      </c>
      <c r="Q723" s="41" t="s">
        <v>26</v>
      </c>
    </row>
    <row r="724" spans="1:17" x14ac:dyDescent="0.25">
      <c r="A724" s="40" t="s">
        <v>162</v>
      </c>
      <c r="B724" s="40" t="s">
        <v>18</v>
      </c>
      <c r="C724" s="40" t="s">
        <v>19</v>
      </c>
      <c r="D724" s="40" t="s">
        <v>20</v>
      </c>
      <c r="E724" s="40" t="s">
        <v>21</v>
      </c>
      <c r="F724" s="40" t="s">
        <v>65</v>
      </c>
      <c r="G724" s="40" t="s">
        <v>66</v>
      </c>
      <c r="H724" s="40" t="s">
        <v>172</v>
      </c>
      <c r="I724" s="40" t="s">
        <v>175</v>
      </c>
      <c r="J724" s="47">
        <v>2.2036970020460811</v>
      </c>
      <c r="K724" s="47">
        <v>1.949547193310204</v>
      </c>
      <c r="L724" s="47">
        <v>0.3805994128636242</v>
      </c>
      <c r="M724" s="47">
        <v>958.9760816814462</v>
      </c>
      <c r="N724" s="47">
        <v>471.49632563763555</v>
      </c>
      <c r="O724" s="47">
        <v>44.154487975565637</v>
      </c>
      <c r="P724" s="47">
        <v>1.0669477320278344</v>
      </c>
      <c r="Q724" s="41" t="s">
        <v>26</v>
      </c>
    </row>
    <row r="725" spans="1:17" x14ac:dyDescent="0.25">
      <c r="A725" s="40" t="s">
        <v>162</v>
      </c>
      <c r="B725" s="40" t="s">
        <v>18</v>
      </c>
      <c r="C725" s="40" t="s">
        <v>19</v>
      </c>
      <c r="D725" s="40" t="s">
        <v>20</v>
      </c>
      <c r="E725" s="40" t="s">
        <v>21</v>
      </c>
      <c r="F725" s="40" t="s">
        <v>65</v>
      </c>
      <c r="G725" s="40" t="s">
        <v>66</v>
      </c>
      <c r="H725" s="40" t="s">
        <v>172</v>
      </c>
      <c r="I725" s="40" t="s">
        <v>176</v>
      </c>
      <c r="J725" s="47">
        <v>8.0713238369613816</v>
      </c>
      <c r="K725" s="47">
        <v>7.1541138506499884</v>
      </c>
      <c r="L725" s="47">
        <v>0.93795818659528019</v>
      </c>
      <c r="M725" s="47">
        <v>1840.591292586761</v>
      </c>
      <c r="N725" s="47">
        <v>410.39970671249449</v>
      </c>
      <c r="O725" s="47">
        <v>200.41063533540068</v>
      </c>
      <c r="P725" s="47">
        <v>2.8627849627405642</v>
      </c>
      <c r="Q725" s="41" t="s">
        <v>26</v>
      </c>
    </row>
    <row r="726" spans="1:17" x14ac:dyDescent="0.25">
      <c r="A726" s="40" t="s">
        <v>162</v>
      </c>
      <c r="B726" s="40" t="s">
        <v>18</v>
      </c>
      <c r="C726" s="40" t="s">
        <v>19</v>
      </c>
      <c r="D726" s="40" t="s">
        <v>20</v>
      </c>
      <c r="E726" s="40" t="s">
        <v>21</v>
      </c>
      <c r="F726" s="40" t="s">
        <v>65</v>
      </c>
      <c r="G726" s="40" t="s">
        <v>66</v>
      </c>
      <c r="H726" s="40" t="s">
        <v>172</v>
      </c>
      <c r="I726" s="40" t="s">
        <v>177</v>
      </c>
      <c r="J726" s="47">
        <v>0</v>
      </c>
      <c r="K726" s="47">
        <v>0</v>
      </c>
      <c r="L726" s="47">
        <v>0</v>
      </c>
      <c r="M726" s="47">
        <v>0</v>
      </c>
      <c r="N726" s="47">
        <v>0</v>
      </c>
      <c r="O726" s="47">
        <v>0</v>
      </c>
      <c r="P726" s="47">
        <v>0</v>
      </c>
      <c r="Q726" s="41" t="s">
        <v>26</v>
      </c>
    </row>
    <row r="727" spans="1:17" x14ac:dyDescent="0.25">
      <c r="A727" s="40" t="s">
        <v>162</v>
      </c>
      <c r="B727" s="40" t="s">
        <v>18</v>
      </c>
      <c r="C727" s="40" t="s">
        <v>19</v>
      </c>
      <c r="D727" s="40" t="s">
        <v>20</v>
      </c>
      <c r="E727" s="40" t="s">
        <v>21</v>
      </c>
      <c r="F727" s="40" t="s">
        <v>65</v>
      </c>
      <c r="G727" s="40" t="s">
        <v>66</v>
      </c>
      <c r="H727" s="40" t="s">
        <v>172</v>
      </c>
      <c r="I727" s="40" t="s">
        <v>178</v>
      </c>
      <c r="J727" s="47">
        <v>19.320586126266569</v>
      </c>
      <c r="K727" s="47">
        <v>17.774659392049887</v>
      </c>
      <c r="L727" s="47">
        <v>0.29786438035853463</v>
      </c>
      <c r="M727" s="47">
        <v>489.35635541699139</v>
      </c>
      <c r="N727" s="47">
        <v>271.10264380358535</v>
      </c>
      <c r="O727" s="47">
        <v>348.72626032735775</v>
      </c>
      <c r="P727" s="47">
        <v>0.53191582229150425</v>
      </c>
      <c r="Q727" s="41" t="s">
        <v>137</v>
      </c>
    </row>
    <row r="728" spans="1:17" x14ac:dyDescent="0.25">
      <c r="A728" s="40" t="s">
        <v>162</v>
      </c>
      <c r="B728" s="40" t="s">
        <v>18</v>
      </c>
      <c r="C728" s="40" t="s">
        <v>19</v>
      </c>
      <c r="D728" s="40" t="s">
        <v>20</v>
      </c>
      <c r="E728" s="40" t="s">
        <v>21</v>
      </c>
      <c r="F728" s="40" t="s">
        <v>65</v>
      </c>
      <c r="G728" s="40" t="s">
        <v>66</v>
      </c>
      <c r="H728" s="40" t="s">
        <v>172</v>
      </c>
      <c r="I728" s="40" t="s">
        <v>179</v>
      </c>
      <c r="J728" s="47">
        <v>25.881847671775951</v>
      </c>
      <c r="K728" s="47">
        <v>23.786893767010842</v>
      </c>
      <c r="L728" s="47">
        <v>0.83547499184955021</v>
      </c>
      <c r="M728" s="47">
        <v>1585.2907102536085</v>
      </c>
      <c r="N728" s="47">
        <v>488.20289041210594</v>
      </c>
      <c r="O728" s="47">
        <v>899.73800211428306</v>
      </c>
      <c r="P728" s="47">
        <v>1.9170707627968915</v>
      </c>
      <c r="Q728" s="41" t="s">
        <v>137</v>
      </c>
    </row>
    <row r="729" spans="1:17" x14ac:dyDescent="0.25">
      <c r="A729" s="40" t="s">
        <v>162</v>
      </c>
      <c r="B729" s="40" t="s">
        <v>18</v>
      </c>
      <c r="C729" s="40" t="s">
        <v>19</v>
      </c>
      <c r="D729" s="40" t="s">
        <v>20</v>
      </c>
      <c r="E729" s="40" t="s">
        <v>21</v>
      </c>
      <c r="F729" s="40" t="s">
        <v>65</v>
      </c>
      <c r="G729" s="40" t="s">
        <v>66</v>
      </c>
      <c r="H729" s="40" t="s">
        <v>172</v>
      </c>
      <c r="I729" s="40" t="s">
        <v>180</v>
      </c>
      <c r="J729" s="47">
        <v>40.902047629451616</v>
      </c>
      <c r="K729" s="47">
        <v>37.628335590998468</v>
      </c>
      <c r="L729" s="47">
        <v>0.85483810356128476</v>
      </c>
      <c r="M729" s="47">
        <v>1640.1706454009179</v>
      </c>
      <c r="N729" s="47">
        <v>720.78781909547718</v>
      </c>
      <c r="O729" s="47">
        <v>1353.0673200786539</v>
      </c>
      <c r="P729" s="47">
        <v>2.0244942101813415</v>
      </c>
      <c r="Q729" s="41" t="s">
        <v>137</v>
      </c>
    </row>
    <row r="730" spans="1:17" x14ac:dyDescent="0.25">
      <c r="A730" s="40" t="s">
        <v>162</v>
      </c>
      <c r="B730" s="40" t="s">
        <v>18</v>
      </c>
      <c r="C730" s="40" t="s">
        <v>19</v>
      </c>
      <c r="D730" s="40" t="s">
        <v>20</v>
      </c>
      <c r="E730" s="40" t="s">
        <v>21</v>
      </c>
      <c r="F730" s="40" t="s">
        <v>65</v>
      </c>
      <c r="G730" s="40" t="s">
        <v>66</v>
      </c>
      <c r="H730" s="40" t="s">
        <v>172</v>
      </c>
      <c r="I730" s="40" t="s">
        <v>181</v>
      </c>
      <c r="J730" s="47">
        <v>25.693675800007817</v>
      </c>
      <c r="K730" s="47">
        <v>22.808135684006047</v>
      </c>
      <c r="L730" s="47">
        <v>1.6067820157684163</v>
      </c>
      <c r="M730" s="47">
        <v>4160.1733408938117</v>
      </c>
      <c r="N730" s="47">
        <v>872.27649883558297</v>
      </c>
      <c r="O730" s="47">
        <v>472.3955584954569</v>
      </c>
      <c r="P730" s="47">
        <v>5.6337976295758487</v>
      </c>
      <c r="Q730" s="41" t="s">
        <v>26</v>
      </c>
    </row>
    <row r="731" spans="1:17" x14ac:dyDescent="0.25">
      <c r="A731" s="40" t="s">
        <v>162</v>
      </c>
      <c r="B731" s="40" t="s">
        <v>18</v>
      </c>
      <c r="C731" s="40" t="s">
        <v>19</v>
      </c>
      <c r="D731" s="40" t="s">
        <v>20</v>
      </c>
      <c r="E731" s="40" t="s">
        <v>21</v>
      </c>
      <c r="F731" s="40" t="s">
        <v>73</v>
      </c>
      <c r="G731" s="40" t="s">
        <v>74</v>
      </c>
      <c r="H731" s="40" t="s">
        <v>172</v>
      </c>
      <c r="I731" s="40" t="s">
        <v>173</v>
      </c>
      <c r="J731" s="47">
        <v>7.5577606635071098E-2</v>
      </c>
      <c r="K731" s="47">
        <v>6.6857556608741445E-2</v>
      </c>
      <c r="L731" s="47">
        <v>2.1252962085308063E-2</v>
      </c>
      <c r="M731" s="47">
        <v>77.481342153765141</v>
      </c>
      <c r="N731" s="47">
        <v>3.2743192689134641</v>
      </c>
      <c r="O731" s="47">
        <v>5.9100974196945746</v>
      </c>
      <c r="P731" s="47">
        <v>7.6234202211690374E-2</v>
      </c>
      <c r="Q731" s="41" t="s">
        <v>26</v>
      </c>
    </row>
    <row r="732" spans="1:17" x14ac:dyDescent="0.25">
      <c r="A732" s="40" t="s">
        <v>162</v>
      </c>
      <c r="B732" s="40" t="s">
        <v>18</v>
      </c>
      <c r="C732" s="40" t="s">
        <v>19</v>
      </c>
      <c r="D732" s="40" t="s">
        <v>20</v>
      </c>
      <c r="E732" s="40" t="s">
        <v>21</v>
      </c>
      <c r="F732" s="40" t="s">
        <v>73</v>
      </c>
      <c r="G732" s="40" t="s">
        <v>74</v>
      </c>
      <c r="H732" s="40" t="s">
        <v>172</v>
      </c>
      <c r="I732" s="40" t="s">
        <v>174</v>
      </c>
      <c r="J732" s="47">
        <v>3.0595700631619702</v>
      </c>
      <c r="K732" s="47">
        <v>2.7065879284573326</v>
      </c>
      <c r="L732" s="47">
        <v>0.16135542959945012</v>
      </c>
      <c r="M732" s="47">
        <v>420.65821303413662</v>
      </c>
      <c r="N732" s="47">
        <v>112.09609629048867</v>
      </c>
      <c r="O732" s="47">
        <v>37.060118489594501</v>
      </c>
      <c r="P732" s="47">
        <v>0.61434181849330693</v>
      </c>
      <c r="Q732" s="41" t="s">
        <v>26</v>
      </c>
    </row>
    <row r="733" spans="1:17" x14ac:dyDescent="0.25">
      <c r="A733" s="40" t="s">
        <v>162</v>
      </c>
      <c r="B733" s="40" t="s">
        <v>18</v>
      </c>
      <c r="C733" s="40" t="s">
        <v>19</v>
      </c>
      <c r="D733" s="40" t="s">
        <v>20</v>
      </c>
      <c r="E733" s="40" t="s">
        <v>21</v>
      </c>
      <c r="F733" s="40" t="s">
        <v>73</v>
      </c>
      <c r="G733" s="40" t="s">
        <v>74</v>
      </c>
      <c r="H733" s="40" t="s">
        <v>172</v>
      </c>
      <c r="I733" s="40" t="s">
        <v>175</v>
      </c>
      <c r="J733" s="47">
        <v>0.27228778578418289</v>
      </c>
      <c r="K733" s="47">
        <v>0.24088515256649765</v>
      </c>
      <c r="L733" s="47">
        <v>4.7026688017080334E-2</v>
      </c>
      <c r="M733" s="47">
        <v>118.49064261492903</v>
      </c>
      <c r="N733" s="47">
        <v>58.257868660732179</v>
      </c>
      <c r="O733" s="47">
        <v>5.4557081813599018</v>
      </c>
      <c r="P733" s="47">
        <v>0.13183156996246606</v>
      </c>
      <c r="Q733" s="41" t="s">
        <v>26</v>
      </c>
    </row>
    <row r="734" spans="1:17" x14ac:dyDescent="0.25">
      <c r="A734" s="40" t="s">
        <v>162</v>
      </c>
      <c r="B734" s="40" t="s">
        <v>18</v>
      </c>
      <c r="C734" s="40" t="s">
        <v>19</v>
      </c>
      <c r="D734" s="40" t="s">
        <v>20</v>
      </c>
      <c r="E734" s="40" t="s">
        <v>21</v>
      </c>
      <c r="F734" s="40" t="s">
        <v>73</v>
      </c>
      <c r="G734" s="40" t="s">
        <v>74</v>
      </c>
      <c r="H734" s="40" t="s">
        <v>172</v>
      </c>
      <c r="I734" s="40" t="s">
        <v>176</v>
      </c>
      <c r="J734" s="47">
        <v>0.40999972508705168</v>
      </c>
      <c r="K734" s="47">
        <v>0.36278047094265081</v>
      </c>
      <c r="L734" s="47">
        <v>4.9648875139169754E-2</v>
      </c>
      <c r="M734" s="47">
        <v>97.597733666189711</v>
      </c>
      <c r="N734" s="47">
        <v>21.654276319245181</v>
      </c>
      <c r="O734" s="47">
        <v>10.629754193522409</v>
      </c>
      <c r="P734" s="47">
        <v>0.1511991902491677</v>
      </c>
      <c r="Q734" s="41" t="s">
        <v>26</v>
      </c>
    </row>
    <row r="735" spans="1:17" x14ac:dyDescent="0.25">
      <c r="A735" s="40" t="s">
        <v>162</v>
      </c>
      <c r="B735" s="40" t="s">
        <v>18</v>
      </c>
      <c r="C735" s="40" t="s">
        <v>19</v>
      </c>
      <c r="D735" s="40" t="s">
        <v>20</v>
      </c>
      <c r="E735" s="40" t="s">
        <v>21</v>
      </c>
      <c r="F735" s="40" t="s">
        <v>73</v>
      </c>
      <c r="G735" s="40" t="s">
        <v>74</v>
      </c>
      <c r="H735" s="40" t="s">
        <v>172</v>
      </c>
      <c r="I735" s="40" t="s">
        <v>177</v>
      </c>
      <c r="J735" s="47">
        <v>0</v>
      </c>
      <c r="K735" s="47">
        <v>0</v>
      </c>
      <c r="L735" s="47">
        <v>0</v>
      </c>
      <c r="M735" s="47">
        <v>0</v>
      </c>
      <c r="N735" s="47">
        <v>0</v>
      </c>
      <c r="O735" s="47">
        <v>0</v>
      </c>
      <c r="P735" s="47">
        <v>0</v>
      </c>
      <c r="Q735" s="41" t="s">
        <v>26</v>
      </c>
    </row>
    <row r="736" spans="1:17" x14ac:dyDescent="0.25">
      <c r="A736" s="40" t="s">
        <v>162</v>
      </c>
      <c r="B736" s="40" t="s">
        <v>18</v>
      </c>
      <c r="C736" s="40" t="s">
        <v>19</v>
      </c>
      <c r="D736" s="40" t="s">
        <v>20</v>
      </c>
      <c r="E736" s="40" t="s">
        <v>21</v>
      </c>
      <c r="F736" s="40" t="s">
        <v>73</v>
      </c>
      <c r="G736" s="40" t="s">
        <v>74</v>
      </c>
      <c r="H736" s="40" t="s">
        <v>172</v>
      </c>
      <c r="I736" s="40" t="s">
        <v>178</v>
      </c>
      <c r="J736" s="47">
        <v>0.42618939984411547</v>
      </c>
      <c r="K736" s="47">
        <v>0.39208807482462987</v>
      </c>
      <c r="L736" s="47">
        <v>6.5705378020265012E-3</v>
      </c>
      <c r="M736" s="47">
        <v>10.794625487139516</v>
      </c>
      <c r="N736" s="47">
        <v>5.9802053780202646</v>
      </c>
      <c r="O736" s="47">
        <v>7.6924910366328927</v>
      </c>
      <c r="P736" s="47">
        <v>1.1733437256430237E-2</v>
      </c>
      <c r="Q736" s="41" t="s">
        <v>137</v>
      </c>
    </row>
    <row r="737" spans="1:17" x14ac:dyDescent="0.25">
      <c r="A737" s="40" t="s">
        <v>162</v>
      </c>
      <c r="B737" s="40" t="s">
        <v>18</v>
      </c>
      <c r="C737" s="40" t="s">
        <v>19</v>
      </c>
      <c r="D737" s="40" t="s">
        <v>20</v>
      </c>
      <c r="E737" s="40" t="s">
        <v>21</v>
      </c>
      <c r="F737" s="40" t="s">
        <v>73</v>
      </c>
      <c r="G737" s="40" t="s">
        <v>74</v>
      </c>
      <c r="H737" s="40" t="s">
        <v>172</v>
      </c>
      <c r="I737" s="40" t="s">
        <v>179</v>
      </c>
      <c r="J737" s="47">
        <v>1.6210666620979775</v>
      </c>
      <c r="K737" s="47">
        <v>1.4897843578317869</v>
      </c>
      <c r="L737" s="47">
        <v>5.2790829705276564E-2</v>
      </c>
      <c r="M737" s="47">
        <v>100.81891379441248</v>
      </c>
      <c r="N737" s="47">
        <v>30.425811953218147</v>
      </c>
      <c r="O737" s="47">
        <v>56.999819472120599</v>
      </c>
      <c r="P737" s="47">
        <v>0.11650231603106208</v>
      </c>
      <c r="Q737" s="41" t="s">
        <v>137</v>
      </c>
    </row>
    <row r="738" spans="1:17" x14ac:dyDescent="0.25">
      <c r="A738" s="40" t="s">
        <v>162</v>
      </c>
      <c r="B738" s="40" t="s">
        <v>18</v>
      </c>
      <c r="C738" s="40" t="s">
        <v>19</v>
      </c>
      <c r="D738" s="40" t="s">
        <v>20</v>
      </c>
      <c r="E738" s="40" t="s">
        <v>21</v>
      </c>
      <c r="F738" s="40" t="s">
        <v>73</v>
      </c>
      <c r="G738" s="40" t="s">
        <v>74</v>
      </c>
      <c r="H738" s="40" t="s">
        <v>172</v>
      </c>
      <c r="I738" s="40" t="s">
        <v>180</v>
      </c>
      <c r="J738" s="47">
        <v>5.561243318039474</v>
      </c>
      <c r="K738" s="47">
        <v>5.1161333478989146</v>
      </c>
      <c r="L738" s="47">
        <v>0.11622798776491151</v>
      </c>
      <c r="M738" s="47">
        <v>223.00565792731774</v>
      </c>
      <c r="N738" s="47">
        <v>98.001852596314862</v>
      </c>
      <c r="O738" s="47">
        <v>183.96967948437842</v>
      </c>
      <c r="P738" s="47">
        <v>0.2752601777000947</v>
      </c>
      <c r="Q738" s="41" t="s">
        <v>137</v>
      </c>
    </row>
    <row r="739" spans="1:17" x14ac:dyDescent="0.25">
      <c r="A739" s="40" t="s">
        <v>162</v>
      </c>
      <c r="B739" s="40" t="s">
        <v>18</v>
      </c>
      <c r="C739" s="40" t="s">
        <v>19</v>
      </c>
      <c r="D739" s="40" t="s">
        <v>20</v>
      </c>
      <c r="E739" s="40" t="s">
        <v>21</v>
      </c>
      <c r="F739" s="40" t="s">
        <v>73</v>
      </c>
      <c r="G739" s="40" t="s">
        <v>74</v>
      </c>
      <c r="H739" s="40" t="s">
        <v>172</v>
      </c>
      <c r="I739" s="40" t="s">
        <v>181</v>
      </c>
      <c r="J739" s="47">
        <v>1.4308452492284283</v>
      </c>
      <c r="K739" s="47">
        <v>1.2689466003979459</v>
      </c>
      <c r="L739" s="47">
        <v>9.192390816267304E-2</v>
      </c>
      <c r="M739" s="47">
        <v>240.98065117711721</v>
      </c>
      <c r="N739" s="47">
        <v>50.094970235509081</v>
      </c>
      <c r="O739" s="47">
        <v>27.658489317347797</v>
      </c>
      <c r="P739" s="47">
        <v>0.31758059528650417</v>
      </c>
      <c r="Q739" s="41" t="s">
        <v>26</v>
      </c>
    </row>
    <row r="740" spans="1:17" x14ac:dyDescent="0.25">
      <c r="A740" s="40" t="s">
        <v>162</v>
      </c>
      <c r="B740" s="40" t="s">
        <v>18</v>
      </c>
      <c r="C740" s="40" t="s">
        <v>19</v>
      </c>
      <c r="D740" s="40" t="s">
        <v>20</v>
      </c>
      <c r="E740" s="40" t="s">
        <v>21</v>
      </c>
      <c r="F740" s="40" t="s">
        <v>75</v>
      </c>
      <c r="G740" s="40" t="s">
        <v>76</v>
      </c>
      <c r="H740" s="40" t="s">
        <v>172</v>
      </c>
      <c r="I740" s="40" t="s">
        <v>173</v>
      </c>
      <c r="J740" s="47">
        <v>2.7052464454976302</v>
      </c>
      <c r="K740" s="47">
        <v>2.393118483412322</v>
      </c>
      <c r="L740" s="47">
        <v>0.76073459715639835</v>
      </c>
      <c r="M740" s="47">
        <v>2773.389298578199</v>
      </c>
      <c r="N740" s="47">
        <v>117.20191943127965</v>
      </c>
      <c r="O740" s="47">
        <v>211.54771563981035</v>
      </c>
      <c r="P740" s="47">
        <v>2.7287488151658765</v>
      </c>
      <c r="Q740" s="41" t="s">
        <v>26</v>
      </c>
    </row>
    <row r="741" spans="1:17" x14ac:dyDescent="0.25">
      <c r="A741" s="40" t="s">
        <v>162</v>
      </c>
      <c r="B741" s="40" t="s">
        <v>18</v>
      </c>
      <c r="C741" s="40" t="s">
        <v>19</v>
      </c>
      <c r="D741" s="40" t="s">
        <v>20</v>
      </c>
      <c r="E741" s="40" t="s">
        <v>21</v>
      </c>
      <c r="F741" s="40" t="s">
        <v>75</v>
      </c>
      <c r="G741" s="40" t="s">
        <v>76</v>
      </c>
      <c r="H741" s="40" t="s">
        <v>172</v>
      </c>
      <c r="I741" s="40" t="s">
        <v>174</v>
      </c>
      <c r="J741" s="47">
        <v>137.68564029811205</v>
      </c>
      <c r="K741" s="47">
        <v>121.80180375696145</v>
      </c>
      <c r="L741" s="47">
        <v>7.2628710273140999</v>
      </c>
      <c r="M741" s="47">
        <v>18939.530874230335</v>
      </c>
      <c r="N741" s="47">
        <v>5047.4058792201213</v>
      </c>
      <c r="O741" s="47">
        <v>1667.5410678222429</v>
      </c>
      <c r="P741" s="47">
        <v>27.648855418709157</v>
      </c>
      <c r="Q741" s="41" t="s">
        <v>26</v>
      </c>
    </row>
    <row r="742" spans="1:17" x14ac:dyDescent="0.25">
      <c r="A742" s="40" t="s">
        <v>162</v>
      </c>
      <c r="B742" s="40" t="s">
        <v>18</v>
      </c>
      <c r="C742" s="40" t="s">
        <v>19</v>
      </c>
      <c r="D742" s="40" t="s">
        <v>20</v>
      </c>
      <c r="E742" s="40" t="s">
        <v>21</v>
      </c>
      <c r="F742" s="40" t="s">
        <v>75</v>
      </c>
      <c r="G742" s="40" t="s">
        <v>76</v>
      </c>
      <c r="H742" s="40" t="s">
        <v>172</v>
      </c>
      <c r="I742" s="40" t="s">
        <v>175</v>
      </c>
      <c r="J742" s="47">
        <v>8.2532826261008818</v>
      </c>
      <c r="K742" s="47">
        <v>7.3014411529223393</v>
      </c>
      <c r="L742" s="47">
        <v>1.4254203362690154</v>
      </c>
      <c r="M742" s="47">
        <v>3591.6174285420502</v>
      </c>
      <c r="N742" s="47">
        <v>1766.0593411817695</v>
      </c>
      <c r="O742" s="47">
        <v>165.36732052308514</v>
      </c>
      <c r="P742" s="47">
        <v>3.9967742544431539</v>
      </c>
      <c r="Q742" s="41" t="s">
        <v>26</v>
      </c>
    </row>
    <row r="743" spans="1:17" x14ac:dyDescent="0.25">
      <c r="A743" s="40" t="s">
        <v>162</v>
      </c>
      <c r="B743" s="40" t="s">
        <v>18</v>
      </c>
      <c r="C743" s="40" t="s">
        <v>19</v>
      </c>
      <c r="D743" s="40" t="s">
        <v>20</v>
      </c>
      <c r="E743" s="40" t="s">
        <v>21</v>
      </c>
      <c r="F743" s="40" t="s">
        <v>75</v>
      </c>
      <c r="G743" s="40" t="s">
        <v>76</v>
      </c>
      <c r="H743" s="40" t="s">
        <v>172</v>
      </c>
      <c r="I743" s="40" t="s">
        <v>176</v>
      </c>
      <c r="J743" s="47">
        <v>22.64189393317681</v>
      </c>
      <c r="K743" s="47">
        <v>20.073789805927998</v>
      </c>
      <c r="L743" s="47">
        <v>2.6156163938912216</v>
      </c>
      <c r="M743" s="47">
        <v>5131.4822126926383</v>
      </c>
      <c r="N743" s="47">
        <v>1145.055453911634</v>
      </c>
      <c r="O743" s="47">
        <v>558.70413401144924</v>
      </c>
      <c r="P743" s="47">
        <v>7.9862597459887876</v>
      </c>
      <c r="Q743" s="41" t="s">
        <v>26</v>
      </c>
    </row>
    <row r="744" spans="1:17" x14ac:dyDescent="0.25">
      <c r="A744" s="40" t="s">
        <v>162</v>
      </c>
      <c r="B744" s="40" t="s">
        <v>18</v>
      </c>
      <c r="C744" s="40" t="s">
        <v>19</v>
      </c>
      <c r="D744" s="40" t="s">
        <v>20</v>
      </c>
      <c r="E744" s="40" t="s">
        <v>21</v>
      </c>
      <c r="F744" s="40" t="s">
        <v>75</v>
      </c>
      <c r="G744" s="40" t="s">
        <v>76</v>
      </c>
      <c r="H744" s="40" t="s">
        <v>172</v>
      </c>
      <c r="I744" s="40" t="s">
        <v>177</v>
      </c>
      <c r="J744" s="47">
        <v>1.2284080364271996E-2</v>
      </c>
      <c r="K744" s="47">
        <v>1.0841291932619856E-2</v>
      </c>
      <c r="L744" s="47">
        <v>1.03414034424059E-3</v>
      </c>
      <c r="M744" s="47">
        <v>1.9369488624575883</v>
      </c>
      <c r="N744" s="47">
        <v>0.48641577642472567</v>
      </c>
      <c r="O744" s="47">
        <v>0.17019518687665131</v>
      </c>
      <c r="P744" s="47">
        <v>3.8102893890675244E-3</v>
      </c>
      <c r="Q744" s="41" t="s">
        <v>26</v>
      </c>
    </row>
    <row r="745" spans="1:17" x14ac:dyDescent="0.25">
      <c r="A745" s="40" t="s">
        <v>162</v>
      </c>
      <c r="B745" s="40" t="s">
        <v>18</v>
      </c>
      <c r="C745" s="40" t="s">
        <v>19</v>
      </c>
      <c r="D745" s="40" t="s">
        <v>20</v>
      </c>
      <c r="E745" s="40" t="s">
        <v>21</v>
      </c>
      <c r="F745" s="40" t="s">
        <v>75</v>
      </c>
      <c r="G745" s="40" t="s">
        <v>76</v>
      </c>
      <c r="H745" s="40" t="s">
        <v>172</v>
      </c>
      <c r="I745" s="40" t="s">
        <v>178</v>
      </c>
      <c r="J745" s="47">
        <v>48.869717848791893</v>
      </c>
      <c r="K745" s="47">
        <v>44.95943257989088</v>
      </c>
      <c r="L745" s="47">
        <v>0.75342166796570542</v>
      </c>
      <c r="M745" s="47">
        <v>1237.7837225253313</v>
      </c>
      <c r="N745" s="47">
        <v>685.73021667965713</v>
      </c>
      <c r="O745" s="47">
        <v>882.07230553390502</v>
      </c>
      <c r="P745" s="47">
        <v>1.3454341387373341</v>
      </c>
      <c r="Q745" s="41" t="s">
        <v>137</v>
      </c>
    </row>
    <row r="746" spans="1:17" x14ac:dyDescent="0.25">
      <c r="A746" s="40" t="s">
        <v>162</v>
      </c>
      <c r="B746" s="40" t="s">
        <v>18</v>
      </c>
      <c r="C746" s="40" t="s">
        <v>19</v>
      </c>
      <c r="D746" s="40" t="s">
        <v>20</v>
      </c>
      <c r="E746" s="40" t="s">
        <v>21</v>
      </c>
      <c r="F746" s="40" t="s">
        <v>75</v>
      </c>
      <c r="G746" s="40" t="s">
        <v>76</v>
      </c>
      <c r="H746" s="40" t="s">
        <v>172</v>
      </c>
      <c r="I746" s="40" t="s">
        <v>179</v>
      </c>
      <c r="J746" s="47">
        <v>50.398099774139567</v>
      </c>
      <c r="K746" s="47">
        <v>46.31403890663826</v>
      </c>
      <c r="L746" s="47">
        <v>1.658581425688914</v>
      </c>
      <c r="M746" s="47">
        <v>3251.5593944535294</v>
      </c>
      <c r="N746" s="47">
        <v>952.51191173101006</v>
      </c>
      <c r="O746" s="47">
        <v>1796.3394962574446</v>
      </c>
      <c r="P746" s="47">
        <v>3.7809609100248052</v>
      </c>
      <c r="Q746" s="41" t="s">
        <v>137</v>
      </c>
    </row>
    <row r="747" spans="1:17" x14ac:dyDescent="0.25">
      <c r="A747" s="40" t="s">
        <v>162</v>
      </c>
      <c r="B747" s="40" t="s">
        <v>18</v>
      </c>
      <c r="C747" s="40" t="s">
        <v>19</v>
      </c>
      <c r="D747" s="40" t="s">
        <v>20</v>
      </c>
      <c r="E747" s="40" t="s">
        <v>21</v>
      </c>
      <c r="F747" s="40" t="s">
        <v>75</v>
      </c>
      <c r="G747" s="40" t="s">
        <v>76</v>
      </c>
      <c r="H747" s="40" t="s">
        <v>172</v>
      </c>
      <c r="I747" s="40" t="s">
        <v>180</v>
      </c>
      <c r="J747" s="47">
        <v>60.94302585390723</v>
      </c>
      <c r="K747" s="47">
        <v>56.065276964532806</v>
      </c>
      <c r="L747" s="47">
        <v>1.2736873497924404</v>
      </c>
      <c r="M747" s="47">
        <v>2443.8131546136478</v>
      </c>
      <c r="N747" s="47">
        <v>1073.9557855946396</v>
      </c>
      <c r="O747" s="47">
        <v>2016.0363954555382</v>
      </c>
      <c r="P747" s="47">
        <v>3.0164456339669359</v>
      </c>
      <c r="Q747" s="41" t="s">
        <v>137</v>
      </c>
    </row>
    <row r="748" spans="1:17" x14ac:dyDescent="0.25">
      <c r="A748" s="40" t="s">
        <v>162</v>
      </c>
      <c r="B748" s="40" t="s">
        <v>18</v>
      </c>
      <c r="C748" s="40" t="s">
        <v>19</v>
      </c>
      <c r="D748" s="40" t="s">
        <v>20</v>
      </c>
      <c r="E748" s="40" t="s">
        <v>21</v>
      </c>
      <c r="F748" s="40" t="s">
        <v>75</v>
      </c>
      <c r="G748" s="40" t="s">
        <v>76</v>
      </c>
      <c r="H748" s="40" t="s">
        <v>172</v>
      </c>
      <c r="I748" s="40" t="s">
        <v>181</v>
      </c>
      <c r="J748" s="47">
        <v>71.817987819268083</v>
      </c>
      <c r="K748" s="47">
        <v>63.778191187713503</v>
      </c>
      <c r="L748" s="47">
        <v>4.4263249768743975</v>
      </c>
      <c r="M748" s="47">
        <v>11387.305140123954</v>
      </c>
      <c r="N748" s="47">
        <v>2397.9096661473186</v>
      </c>
      <c r="O748" s="47">
        <v>1287.854551978342</v>
      </c>
      <c r="P748" s="47">
        <v>15.529640580533755</v>
      </c>
      <c r="Q748" s="41" t="s">
        <v>26</v>
      </c>
    </row>
    <row r="749" spans="1:17" x14ac:dyDescent="0.25">
      <c r="A749" s="40" t="s">
        <v>162</v>
      </c>
      <c r="B749" s="40" t="s">
        <v>18</v>
      </c>
      <c r="C749" s="40" t="s">
        <v>19</v>
      </c>
      <c r="D749" s="40" t="s">
        <v>20</v>
      </c>
      <c r="E749" s="40" t="s">
        <v>21</v>
      </c>
      <c r="F749" s="40" t="s">
        <v>116</v>
      </c>
      <c r="G749" s="40" t="s">
        <v>117</v>
      </c>
      <c r="H749" s="40" t="s">
        <v>172</v>
      </c>
      <c r="I749" s="40" t="s">
        <v>173</v>
      </c>
      <c r="J749" s="47">
        <v>9.9330568720379132E-3</v>
      </c>
      <c r="K749" s="47">
        <v>8.7869931542917338E-3</v>
      </c>
      <c r="L749" s="47">
        <v>2.7932464454976315E-3</v>
      </c>
      <c r="M749" s="47">
        <v>10.183262111637704</v>
      </c>
      <c r="N749" s="47">
        <v>0.43033910391434083</v>
      </c>
      <c r="O749" s="47">
        <v>0.77675566087414405</v>
      </c>
      <c r="P749" s="47">
        <v>1.0019352290679306E-2</v>
      </c>
      <c r="Q749" s="41" t="s">
        <v>26</v>
      </c>
    </row>
    <row r="750" spans="1:17" x14ac:dyDescent="0.25">
      <c r="A750" s="40" t="s">
        <v>162</v>
      </c>
      <c r="B750" s="40" t="s">
        <v>18</v>
      </c>
      <c r="C750" s="40" t="s">
        <v>19</v>
      </c>
      <c r="D750" s="40" t="s">
        <v>20</v>
      </c>
      <c r="E750" s="40" t="s">
        <v>21</v>
      </c>
      <c r="F750" s="40" t="s">
        <v>116</v>
      </c>
      <c r="G750" s="40" t="s">
        <v>117</v>
      </c>
      <c r="H750" s="40" t="s">
        <v>172</v>
      </c>
      <c r="I750" s="40" t="s">
        <v>174</v>
      </c>
      <c r="J750" s="47">
        <v>2.2008475648443833</v>
      </c>
      <c r="K750" s="47">
        <v>1.946936114686117</v>
      </c>
      <c r="L750" s="47">
        <v>0.11606817199059823</v>
      </c>
      <c r="M750" s="47">
        <v>302.59303911190028</v>
      </c>
      <c r="N750" s="47">
        <v>80.634342556783963</v>
      </c>
      <c r="O750" s="47">
        <v>26.658540202336415</v>
      </c>
      <c r="P750" s="47">
        <v>0.44191591213823678</v>
      </c>
      <c r="Q750" s="41" t="s">
        <v>26</v>
      </c>
    </row>
    <row r="751" spans="1:17" x14ac:dyDescent="0.25">
      <c r="A751" s="40" t="s">
        <v>162</v>
      </c>
      <c r="B751" s="40" t="s">
        <v>18</v>
      </c>
      <c r="C751" s="40" t="s">
        <v>19</v>
      </c>
      <c r="D751" s="40" t="s">
        <v>20</v>
      </c>
      <c r="E751" s="40" t="s">
        <v>21</v>
      </c>
      <c r="F751" s="40" t="s">
        <v>116</v>
      </c>
      <c r="G751" s="40" t="s">
        <v>117</v>
      </c>
      <c r="H751" s="40" t="s">
        <v>172</v>
      </c>
      <c r="I751" s="40" t="s">
        <v>175</v>
      </c>
      <c r="J751" s="47">
        <v>5.7843519259852316E-2</v>
      </c>
      <c r="K751" s="47">
        <v>5.1172493550395881E-2</v>
      </c>
      <c r="L751" s="47">
        <v>9.9901254336802782E-3</v>
      </c>
      <c r="M751" s="47">
        <v>25.171587291254351</v>
      </c>
      <c r="N751" s="47">
        <v>12.376023912383518</v>
      </c>
      <c r="O751" s="47">
        <v>1.1589846395635028</v>
      </c>
      <c r="P751" s="47">
        <v>2.80056703029073E-2</v>
      </c>
      <c r="Q751" s="41" t="s">
        <v>26</v>
      </c>
    </row>
    <row r="752" spans="1:17" x14ac:dyDescent="0.25">
      <c r="A752" s="40" t="s">
        <v>162</v>
      </c>
      <c r="B752" s="40" t="s">
        <v>18</v>
      </c>
      <c r="C752" s="40" t="s">
        <v>19</v>
      </c>
      <c r="D752" s="40" t="s">
        <v>20</v>
      </c>
      <c r="E752" s="40" t="s">
        <v>21</v>
      </c>
      <c r="F752" s="40" t="s">
        <v>116</v>
      </c>
      <c r="G752" s="40" t="s">
        <v>117</v>
      </c>
      <c r="H752" s="40" t="s">
        <v>172</v>
      </c>
      <c r="I752" s="40" t="s">
        <v>176</v>
      </c>
      <c r="J752" s="47">
        <v>0.32018373179875109</v>
      </c>
      <c r="K752" s="47">
        <v>0.28330849486658521</v>
      </c>
      <c r="L752" s="47">
        <v>3.8772616538448622E-2</v>
      </c>
      <c r="M752" s="47">
        <v>76.217628130619715</v>
      </c>
      <c r="N752" s="47">
        <v>16.910613781082777</v>
      </c>
      <c r="O752" s="47">
        <v>8.3011625558109792</v>
      </c>
      <c r="P752" s="47">
        <v>0.11807695960929987</v>
      </c>
      <c r="Q752" s="41" t="s">
        <v>26</v>
      </c>
    </row>
    <row r="753" spans="1:17" x14ac:dyDescent="0.25">
      <c r="A753" s="40" t="s">
        <v>162</v>
      </c>
      <c r="B753" s="40" t="s">
        <v>18</v>
      </c>
      <c r="C753" s="40" t="s">
        <v>19</v>
      </c>
      <c r="D753" s="40" t="s">
        <v>20</v>
      </c>
      <c r="E753" s="40" t="s">
        <v>21</v>
      </c>
      <c r="F753" s="40" t="s">
        <v>116</v>
      </c>
      <c r="G753" s="40" t="s">
        <v>117</v>
      </c>
      <c r="H753" s="40" t="s">
        <v>172</v>
      </c>
      <c r="I753" s="40" t="s">
        <v>177</v>
      </c>
      <c r="J753" s="47">
        <v>5.3231014911845308E-2</v>
      </c>
      <c r="K753" s="47">
        <v>4.6978931708019381E-2</v>
      </c>
      <c r="L753" s="47">
        <v>4.4812748250425572E-3</v>
      </c>
      <c r="M753" s="47">
        <v>8.3934450706495483</v>
      </c>
      <c r="N753" s="47">
        <v>2.1078016978404781</v>
      </c>
      <c r="O753" s="47">
        <v>0.73751247646548901</v>
      </c>
      <c r="P753" s="47">
        <v>1.6511254019292605E-2</v>
      </c>
      <c r="Q753" s="41" t="s">
        <v>26</v>
      </c>
    </row>
    <row r="754" spans="1:17" x14ac:dyDescent="0.25">
      <c r="A754" s="40" t="s">
        <v>162</v>
      </c>
      <c r="B754" s="40" t="s">
        <v>18</v>
      </c>
      <c r="C754" s="40" t="s">
        <v>19</v>
      </c>
      <c r="D754" s="40" t="s">
        <v>20</v>
      </c>
      <c r="E754" s="40" t="s">
        <v>21</v>
      </c>
      <c r="F754" s="40" t="s">
        <v>116</v>
      </c>
      <c r="G754" s="40" t="s">
        <v>117</v>
      </c>
      <c r="H754" s="40" t="s">
        <v>172</v>
      </c>
      <c r="I754" s="40" t="s">
        <v>178</v>
      </c>
      <c r="J754" s="47">
        <v>2.3440416991426347</v>
      </c>
      <c r="K754" s="47">
        <v>2.1564844115354642</v>
      </c>
      <c r="L754" s="47">
        <v>3.6137957911145754E-2</v>
      </c>
      <c r="M754" s="47">
        <v>59.370440179267341</v>
      </c>
      <c r="N754" s="47">
        <v>32.891129579111457</v>
      </c>
      <c r="O754" s="47">
        <v>42.308700701480909</v>
      </c>
      <c r="P754" s="47">
        <v>6.4533904910366313E-2</v>
      </c>
      <c r="Q754" s="41" t="s">
        <v>137</v>
      </c>
    </row>
    <row r="755" spans="1:17" x14ac:dyDescent="0.25">
      <c r="A755" s="40" t="s">
        <v>162</v>
      </c>
      <c r="B755" s="40" t="s">
        <v>18</v>
      </c>
      <c r="C755" s="40" t="s">
        <v>19</v>
      </c>
      <c r="D755" s="40" t="s">
        <v>20</v>
      </c>
      <c r="E755" s="40" t="s">
        <v>21</v>
      </c>
      <c r="F755" s="40" t="s">
        <v>116</v>
      </c>
      <c r="G755" s="40" t="s">
        <v>117</v>
      </c>
      <c r="H755" s="40" t="s">
        <v>172</v>
      </c>
      <c r="I755" s="40" t="s">
        <v>179</v>
      </c>
      <c r="J755" s="47">
        <v>0.8506415728856962</v>
      </c>
      <c r="K755" s="47">
        <v>0.78158484706461995</v>
      </c>
      <c r="L755" s="47">
        <v>2.8833895797863336E-2</v>
      </c>
      <c r="M755" s="47">
        <v>58.768075432354657</v>
      </c>
      <c r="N755" s="47">
        <v>16.041187144494121</v>
      </c>
      <c r="O755" s="47">
        <v>31.493228522689424</v>
      </c>
      <c r="P755" s="47">
        <v>6.2838729227176662E-2</v>
      </c>
      <c r="Q755" s="41" t="s">
        <v>137</v>
      </c>
    </row>
    <row r="756" spans="1:17" x14ac:dyDescent="0.25">
      <c r="A756" s="40" t="s">
        <v>162</v>
      </c>
      <c r="B756" s="40" t="s">
        <v>18</v>
      </c>
      <c r="C756" s="40" t="s">
        <v>19</v>
      </c>
      <c r="D756" s="40" t="s">
        <v>20</v>
      </c>
      <c r="E756" s="40" t="s">
        <v>21</v>
      </c>
      <c r="F756" s="40" t="s">
        <v>116</v>
      </c>
      <c r="G756" s="40" t="s">
        <v>117</v>
      </c>
      <c r="H756" s="40" t="s">
        <v>172</v>
      </c>
      <c r="I756" s="40" t="s">
        <v>180</v>
      </c>
      <c r="J756" s="47">
        <v>5.1255698783773958E-2</v>
      </c>
      <c r="K756" s="47">
        <v>4.7153302745612115E-2</v>
      </c>
      <c r="L756" s="47">
        <v>1.0712256936858202E-3</v>
      </c>
      <c r="M756" s="47">
        <v>2.0553516859660625</v>
      </c>
      <c r="N756" s="47">
        <v>0.90324288107202655</v>
      </c>
      <c r="O756" s="47">
        <v>1.6955730828053308</v>
      </c>
      <c r="P756" s="47">
        <v>2.5369601631345133E-3</v>
      </c>
      <c r="Q756" s="41" t="s">
        <v>137</v>
      </c>
    </row>
    <row r="757" spans="1:17" x14ac:dyDescent="0.25">
      <c r="A757" s="40" t="s">
        <v>162</v>
      </c>
      <c r="B757" s="40" t="s">
        <v>18</v>
      </c>
      <c r="C757" s="40" t="s">
        <v>19</v>
      </c>
      <c r="D757" s="40" t="s">
        <v>20</v>
      </c>
      <c r="E757" s="40" t="s">
        <v>21</v>
      </c>
      <c r="F757" s="40" t="s">
        <v>116</v>
      </c>
      <c r="G757" s="40" t="s">
        <v>117</v>
      </c>
      <c r="H757" s="40" t="s">
        <v>172</v>
      </c>
      <c r="I757" s="40" t="s">
        <v>181</v>
      </c>
      <c r="J757" s="47">
        <v>1.6843653333937181</v>
      </c>
      <c r="K757" s="47">
        <v>1.4940286212564775</v>
      </c>
      <c r="L757" s="47">
        <v>0.10786884488258133</v>
      </c>
      <c r="M757" s="47">
        <v>282.05436516969905</v>
      </c>
      <c r="N757" s="47">
        <v>58.674838052238016</v>
      </c>
      <c r="O757" s="47">
        <v>32.319758330535556</v>
      </c>
      <c r="P757" s="47">
        <v>0.37273408862748858</v>
      </c>
      <c r="Q757" s="41" t="s">
        <v>26</v>
      </c>
    </row>
    <row r="758" spans="1:17" x14ac:dyDescent="0.25">
      <c r="A758" s="40" t="s">
        <v>162</v>
      </c>
      <c r="B758" s="40" t="s">
        <v>18</v>
      </c>
      <c r="C758" s="40" t="s">
        <v>19</v>
      </c>
      <c r="D758" s="40" t="s">
        <v>20</v>
      </c>
      <c r="E758" s="40" t="s">
        <v>21</v>
      </c>
      <c r="F758" s="40" t="s">
        <v>85</v>
      </c>
      <c r="G758" s="40" t="s">
        <v>86</v>
      </c>
      <c r="H758" s="40" t="s">
        <v>172</v>
      </c>
      <c r="I758" s="40" t="s">
        <v>173</v>
      </c>
      <c r="J758" s="47">
        <v>0.72727251184834119</v>
      </c>
      <c r="K758" s="47">
        <v>0.64336071616640345</v>
      </c>
      <c r="L758" s="47">
        <v>0.20451421800947872</v>
      </c>
      <c r="M758" s="47">
        <v>745.59188678251701</v>
      </c>
      <c r="N758" s="47">
        <v>31.508306564858696</v>
      </c>
      <c r="O758" s="47">
        <v>56.872023170089506</v>
      </c>
      <c r="P758" s="47">
        <v>0.73359083728278052</v>
      </c>
      <c r="Q758" s="41" t="s">
        <v>26</v>
      </c>
    </row>
    <row r="759" spans="1:17" x14ac:dyDescent="0.25">
      <c r="A759" s="40" t="s">
        <v>162</v>
      </c>
      <c r="B759" s="40" t="s">
        <v>18</v>
      </c>
      <c r="C759" s="40" t="s">
        <v>19</v>
      </c>
      <c r="D759" s="40" t="s">
        <v>20</v>
      </c>
      <c r="E759" s="40" t="s">
        <v>21</v>
      </c>
      <c r="F759" s="40" t="s">
        <v>85</v>
      </c>
      <c r="G759" s="40" t="s">
        <v>86</v>
      </c>
      <c r="H759" s="40" t="s">
        <v>172</v>
      </c>
      <c r="I759" s="40" t="s">
        <v>174</v>
      </c>
      <c r="J759" s="47">
        <v>23.275156563721293</v>
      </c>
      <c r="K759" s="47">
        <v>20.589995935986995</v>
      </c>
      <c r="L759" s="47">
        <v>1.2276403418062465</v>
      </c>
      <c r="M759" s="47">
        <v>3200.9800914359948</v>
      </c>
      <c r="N759" s="47">
        <v>853.03299957435888</v>
      </c>
      <c r="O759" s="47">
        <v>281.90673330723746</v>
      </c>
      <c r="P759" s="47">
        <v>4.6737401535163325</v>
      </c>
      <c r="Q759" s="41" t="s">
        <v>26</v>
      </c>
    </row>
    <row r="760" spans="1:17" x14ac:dyDescent="0.25">
      <c r="A760" s="40" t="s">
        <v>162</v>
      </c>
      <c r="B760" s="40" t="s">
        <v>18</v>
      </c>
      <c r="C760" s="40" t="s">
        <v>19</v>
      </c>
      <c r="D760" s="40" t="s">
        <v>20</v>
      </c>
      <c r="E760" s="40" t="s">
        <v>21</v>
      </c>
      <c r="F760" s="40" t="s">
        <v>85</v>
      </c>
      <c r="G760" s="40" t="s">
        <v>86</v>
      </c>
      <c r="H760" s="40" t="s">
        <v>172</v>
      </c>
      <c r="I760" s="40" t="s">
        <v>175</v>
      </c>
      <c r="J760" s="47">
        <v>1.004502090561338</v>
      </c>
      <c r="K760" s="47">
        <v>0.88865403433858214</v>
      </c>
      <c r="L760" s="47">
        <v>0.17348705631171607</v>
      </c>
      <c r="M760" s="47">
        <v>437.12610125300239</v>
      </c>
      <c r="N760" s="47">
        <v>214.92022013700162</v>
      </c>
      <c r="O760" s="47">
        <v>20.12675764315156</v>
      </c>
      <c r="P760" s="47">
        <v>0.48634237208951214</v>
      </c>
      <c r="Q760" s="41" t="s">
        <v>26</v>
      </c>
    </row>
    <row r="761" spans="1:17" x14ac:dyDescent="0.25">
      <c r="A761" s="40" t="s">
        <v>162</v>
      </c>
      <c r="B761" s="40" t="s">
        <v>18</v>
      </c>
      <c r="C761" s="40" t="s">
        <v>19</v>
      </c>
      <c r="D761" s="40" t="s">
        <v>20</v>
      </c>
      <c r="E761" s="40" t="s">
        <v>21</v>
      </c>
      <c r="F761" s="40" t="s">
        <v>85</v>
      </c>
      <c r="G761" s="40" t="s">
        <v>86</v>
      </c>
      <c r="H761" s="40" t="s">
        <v>172</v>
      </c>
      <c r="I761" s="40" t="s">
        <v>176</v>
      </c>
      <c r="J761" s="47">
        <v>3.3249471518154654</v>
      </c>
      <c r="K761" s="47">
        <v>2.9442816554195375</v>
      </c>
      <c r="L761" s="47">
        <v>0.39540384646450966</v>
      </c>
      <c r="M761" s="47">
        <v>776.68050054583875</v>
      </c>
      <c r="N761" s="47">
        <v>172.69505301655136</v>
      </c>
      <c r="O761" s="47">
        <v>84.58117633494642</v>
      </c>
      <c r="P761" s="47">
        <v>1.2053161183936045</v>
      </c>
      <c r="Q761" s="41" t="s">
        <v>26</v>
      </c>
    </row>
    <row r="762" spans="1:17" x14ac:dyDescent="0.25">
      <c r="A762" s="40" t="s">
        <v>162</v>
      </c>
      <c r="B762" s="40" t="s">
        <v>18</v>
      </c>
      <c r="C762" s="40" t="s">
        <v>19</v>
      </c>
      <c r="D762" s="40" t="s">
        <v>20</v>
      </c>
      <c r="E762" s="40" t="s">
        <v>21</v>
      </c>
      <c r="F762" s="40" t="s">
        <v>85</v>
      </c>
      <c r="G762" s="40" t="s">
        <v>86</v>
      </c>
      <c r="H762" s="40" t="s">
        <v>172</v>
      </c>
      <c r="I762" s="40" t="s">
        <v>177</v>
      </c>
      <c r="J762" s="47">
        <v>4.0946934547573316E-3</v>
      </c>
      <c r="K762" s="47">
        <v>3.6137639775399525E-3</v>
      </c>
      <c r="L762" s="47">
        <v>3.4471344808019672E-4</v>
      </c>
      <c r="M762" s="47">
        <v>0.64564962081919597</v>
      </c>
      <c r="N762" s="47">
        <v>0.16213859214157525</v>
      </c>
      <c r="O762" s="47">
        <v>5.673172895888378E-2</v>
      </c>
      <c r="P762" s="47">
        <v>1.270096463022508E-3</v>
      </c>
      <c r="Q762" s="41" t="s">
        <v>26</v>
      </c>
    </row>
    <row r="763" spans="1:17" x14ac:dyDescent="0.25">
      <c r="A763" s="40" t="s">
        <v>162</v>
      </c>
      <c r="B763" s="40" t="s">
        <v>18</v>
      </c>
      <c r="C763" s="40" t="s">
        <v>19</v>
      </c>
      <c r="D763" s="40" t="s">
        <v>20</v>
      </c>
      <c r="E763" s="40" t="s">
        <v>21</v>
      </c>
      <c r="F763" s="40" t="s">
        <v>85</v>
      </c>
      <c r="G763" s="40" t="s">
        <v>86</v>
      </c>
      <c r="H763" s="40" t="s">
        <v>172</v>
      </c>
      <c r="I763" s="40" t="s">
        <v>178</v>
      </c>
      <c r="J763" s="47">
        <v>5.9666515978176156</v>
      </c>
      <c r="K763" s="47">
        <v>5.4892330475448166</v>
      </c>
      <c r="L763" s="47">
        <v>9.1987529228371029E-2</v>
      </c>
      <c r="M763" s="47">
        <v>151.12475681995323</v>
      </c>
      <c r="N763" s="47">
        <v>83.722875292283717</v>
      </c>
      <c r="O763" s="47">
        <v>107.69487451286048</v>
      </c>
      <c r="P763" s="47">
        <v>0.16426812159002332</v>
      </c>
      <c r="Q763" s="41" t="s">
        <v>137</v>
      </c>
    </row>
    <row r="764" spans="1:17" x14ac:dyDescent="0.25">
      <c r="A764" s="40" t="s">
        <v>162</v>
      </c>
      <c r="B764" s="40" t="s">
        <v>18</v>
      </c>
      <c r="C764" s="40" t="s">
        <v>19</v>
      </c>
      <c r="D764" s="40" t="s">
        <v>20</v>
      </c>
      <c r="E764" s="40" t="s">
        <v>21</v>
      </c>
      <c r="F764" s="40" t="s">
        <v>85</v>
      </c>
      <c r="G764" s="40" t="s">
        <v>86</v>
      </c>
      <c r="H764" s="40" t="s">
        <v>172</v>
      </c>
      <c r="I764" s="40" t="s">
        <v>179</v>
      </c>
      <c r="J764" s="47">
        <v>5.4923877954336922</v>
      </c>
      <c r="K764" s="47">
        <v>5.0461469501829725</v>
      </c>
      <c r="L764" s="47">
        <v>0.1885964182423743</v>
      </c>
      <c r="M764" s="47">
        <v>393.23601215533682</v>
      </c>
      <c r="N764" s="47">
        <v>104.0526030196812</v>
      </c>
      <c r="O764" s="47">
        <v>206.73146543687898</v>
      </c>
      <c r="P764" s="47">
        <v>0.41575515752525788</v>
      </c>
      <c r="Q764" s="41" t="s">
        <v>137</v>
      </c>
    </row>
    <row r="765" spans="1:17" x14ac:dyDescent="0.25">
      <c r="A765" s="40" t="s">
        <v>162</v>
      </c>
      <c r="B765" s="40" t="s">
        <v>18</v>
      </c>
      <c r="C765" s="40" t="s">
        <v>19</v>
      </c>
      <c r="D765" s="40" t="s">
        <v>20</v>
      </c>
      <c r="E765" s="40" t="s">
        <v>21</v>
      </c>
      <c r="F765" s="40" t="s">
        <v>85</v>
      </c>
      <c r="G765" s="40" t="s">
        <v>86</v>
      </c>
      <c r="H765" s="40" t="s">
        <v>172</v>
      </c>
      <c r="I765" s="40" t="s">
        <v>180</v>
      </c>
      <c r="J765" s="47">
        <v>4.2798508484451254</v>
      </c>
      <c r="K765" s="47">
        <v>3.9373007792586119</v>
      </c>
      <c r="L765" s="47">
        <v>8.9447345422766E-2</v>
      </c>
      <c r="M765" s="47">
        <v>171.62186577816618</v>
      </c>
      <c r="N765" s="47">
        <v>75.420780569514221</v>
      </c>
      <c r="O765" s="47">
        <v>141.58035241424511</v>
      </c>
      <c r="P765" s="47">
        <v>0.21183617362173185</v>
      </c>
      <c r="Q765" s="41" t="s">
        <v>137</v>
      </c>
    </row>
    <row r="766" spans="1:17" x14ac:dyDescent="0.25">
      <c r="A766" s="40" t="s">
        <v>162</v>
      </c>
      <c r="B766" s="40" t="s">
        <v>18</v>
      </c>
      <c r="C766" s="40" t="s">
        <v>19</v>
      </c>
      <c r="D766" s="40" t="s">
        <v>20</v>
      </c>
      <c r="E766" s="40" t="s">
        <v>21</v>
      </c>
      <c r="F766" s="40" t="s">
        <v>85</v>
      </c>
      <c r="G766" s="40" t="s">
        <v>86</v>
      </c>
      <c r="H766" s="40" t="s">
        <v>172</v>
      </c>
      <c r="I766" s="40" t="s">
        <v>181</v>
      </c>
      <c r="J766" s="47">
        <v>10.547873292875977</v>
      </c>
      <c r="K766" s="47">
        <v>9.3569113380183424</v>
      </c>
      <c r="L766" s="47">
        <v>0.67574973331707699</v>
      </c>
      <c r="M766" s="47">
        <v>1762.9741195574347</v>
      </c>
      <c r="N766" s="47">
        <v>367.31977709103444</v>
      </c>
      <c r="O766" s="47">
        <v>201.10133230697087</v>
      </c>
      <c r="P766" s="47">
        <v>2.3676535551939772</v>
      </c>
      <c r="Q766" s="41" t="s">
        <v>26</v>
      </c>
    </row>
    <row r="767" spans="1:17" x14ac:dyDescent="0.25">
      <c r="A767" s="40" t="s">
        <v>162</v>
      </c>
      <c r="B767" s="40" t="s">
        <v>18</v>
      </c>
      <c r="C767" s="40" t="s">
        <v>19</v>
      </c>
      <c r="D767" s="40" t="s">
        <v>20</v>
      </c>
      <c r="E767" s="40" t="s">
        <v>21</v>
      </c>
      <c r="F767" s="40" t="s">
        <v>101</v>
      </c>
      <c r="G767" s="40" t="s">
        <v>21</v>
      </c>
      <c r="H767" s="40" t="s">
        <v>172</v>
      </c>
      <c r="I767" s="40" t="s">
        <v>173</v>
      </c>
      <c r="J767" s="47">
        <v>6.422800947867298</v>
      </c>
      <c r="K767" s="47">
        <v>5.6817461822011586</v>
      </c>
      <c r="L767" s="47">
        <v>1.8061374407582942</v>
      </c>
      <c r="M767" s="47">
        <v>6584.5858314902589</v>
      </c>
      <c r="N767" s="47">
        <v>278.26100667017727</v>
      </c>
      <c r="O767" s="47">
        <v>502.25696471827263</v>
      </c>
      <c r="P767" s="47">
        <v>6.4786003159557666</v>
      </c>
      <c r="Q767" s="41" t="s">
        <v>26</v>
      </c>
    </row>
    <row r="768" spans="1:17" x14ac:dyDescent="0.25">
      <c r="A768" s="40" t="s">
        <v>162</v>
      </c>
      <c r="B768" s="40" t="s">
        <v>18</v>
      </c>
      <c r="C768" s="40" t="s">
        <v>19</v>
      </c>
      <c r="D768" s="40" t="s">
        <v>20</v>
      </c>
      <c r="E768" s="40" t="s">
        <v>21</v>
      </c>
      <c r="F768" s="40" t="s">
        <v>101</v>
      </c>
      <c r="G768" s="40" t="s">
        <v>21</v>
      </c>
      <c r="H768" s="40" t="s">
        <v>172</v>
      </c>
      <c r="I768" s="40" t="s">
        <v>174</v>
      </c>
      <c r="J768" s="47">
        <v>283.33257601289552</v>
      </c>
      <c r="K768" s="47">
        <v>250.64683444920809</v>
      </c>
      <c r="L768" s="47">
        <v>14.946337878407105</v>
      </c>
      <c r="M768" s="47">
        <v>38977.848295068274</v>
      </c>
      <c r="N768" s="47">
        <v>10387.814220472726</v>
      </c>
      <c r="O768" s="47">
        <v>3431.4140008014069</v>
      </c>
      <c r="P768" s="47">
        <v>56.897411003956726</v>
      </c>
      <c r="Q768" s="41" t="s">
        <v>26</v>
      </c>
    </row>
    <row r="769" spans="1:17" x14ac:dyDescent="0.25">
      <c r="A769" s="40" t="s">
        <v>162</v>
      </c>
      <c r="B769" s="40" t="s">
        <v>18</v>
      </c>
      <c r="C769" s="40" t="s">
        <v>19</v>
      </c>
      <c r="D769" s="40" t="s">
        <v>20</v>
      </c>
      <c r="E769" s="40" t="s">
        <v>21</v>
      </c>
      <c r="F769" s="40" t="s">
        <v>101</v>
      </c>
      <c r="G769" s="40" t="s">
        <v>21</v>
      </c>
      <c r="H769" s="40" t="s">
        <v>172</v>
      </c>
      <c r="I769" s="40" t="s">
        <v>175</v>
      </c>
      <c r="J769" s="47">
        <v>18.013318388043764</v>
      </c>
      <c r="K769" s="47">
        <v>15.935863357352551</v>
      </c>
      <c r="L769" s="47">
        <v>3.1110712570056047</v>
      </c>
      <c r="M769" s="47">
        <v>7838.903448667781</v>
      </c>
      <c r="N769" s="47">
        <v>3854.4283369510817</v>
      </c>
      <c r="O769" s="47">
        <v>360.92477751089768</v>
      </c>
      <c r="P769" s="47">
        <v>8.7295269668881925</v>
      </c>
      <c r="Q769" s="41" t="s">
        <v>26</v>
      </c>
    </row>
    <row r="770" spans="1:17" x14ac:dyDescent="0.25">
      <c r="A770" s="40" t="s">
        <v>162</v>
      </c>
      <c r="B770" s="40" t="s">
        <v>18</v>
      </c>
      <c r="C770" s="40" t="s">
        <v>19</v>
      </c>
      <c r="D770" s="40" t="s">
        <v>20</v>
      </c>
      <c r="E770" s="40" t="s">
        <v>21</v>
      </c>
      <c r="F770" s="40" t="s">
        <v>101</v>
      </c>
      <c r="G770" s="40" t="s">
        <v>21</v>
      </c>
      <c r="H770" s="40" t="s">
        <v>172</v>
      </c>
      <c r="I770" s="40" t="s">
        <v>176</v>
      </c>
      <c r="J770" s="47">
        <v>54.363232334453862</v>
      </c>
      <c r="K770" s="47">
        <v>48.245606008613564</v>
      </c>
      <c r="L770" s="47">
        <v>6.1256298286440432</v>
      </c>
      <c r="M770" s="47">
        <v>12004.502106576778</v>
      </c>
      <c r="N770" s="47">
        <v>2687.0794149516978</v>
      </c>
      <c r="O770" s="47">
        <v>1306.791983426634</v>
      </c>
      <c r="P770" s="47">
        <v>18.730143517008511</v>
      </c>
      <c r="Q770" s="41" t="s">
        <v>26</v>
      </c>
    </row>
    <row r="771" spans="1:17" x14ac:dyDescent="0.25">
      <c r="A771" s="40" t="s">
        <v>162</v>
      </c>
      <c r="B771" s="40" t="s">
        <v>18</v>
      </c>
      <c r="C771" s="40" t="s">
        <v>19</v>
      </c>
      <c r="D771" s="40" t="s">
        <v>20</v>
      </c>
      <c r="E771" s="40" t="s">
        <v>21</v>
      </c>
      <c r="F771" s="40" t="s">
        <v>101</v>
      </c>
      <c r="G771" s="40" t="s">
        <v>21</v>
      </c>
      <c r="H771" s="40" t="s">
        <v>172</v>
      </c>
      <c r="I771" s="40" t="s">
        <v>177</v>
      </c>
      <c r="J771" s="47">
        <v>1.0277680571440904</v>
      </c>
      <c r="K771" s="47">
        <v>0.90705475836252802</v>
      </c>
      <c r="L771" s="47">
        <v>8.6523075468129373E-2</v>
      </c>
      <c r="M771" s="47">
        <v>162.05805482561823</v>
      </c>
      <c r="N771" s="47">
        <v>40.696786627535388</v>
      </c>
      <c r="O771" s="47">
        <v>14.239663968679825</v>
      </c>
      <c r="P771" s="47">
        <v>0.31879421221864956</v>
      </c>
      <c r="Q771" s="41" t="s">
        <v>26</v>
      </c>
    </row>
    <row r="772" spans="1:17" x14ac:dyDescent="0.25">
      <c r="A772" s="40" t="s">
        <v>162</v>
      </c>
      <c r="B772" s="40" t="s">
        <v>18</v>
      </c>
      <c r="C772" s="40" t="s">
        <v>19</v>
      </c>
      <c r="D772" s="40" t="s">
        <v>20</v>
      </c>
      <c r="E772" s="40" t="s">
        <v>21</v>
      </c>
      <c r="F772" s="40" t="s">
        <v>101</v>
      </c>
      <c r="G772" s="40" t="s">
        <v>21</v>
      </c>
      <c r="H772" s="40" t="s">
        <v>172</v>
      </c>
      <c r="I772" s="40" t="s">
        <v>178</v>
      </c>
      <c r="J772" s="47">
        <v>157.33492010911928</v>
      </c>
      <c r="K772" s="47">
        <v>144.74584762275919</v>
      </c>
      <c r="L772" s="47">
        <v>2.42562353858145</v>
      </c>
      <c r="M772" s="47">
        <v>3985.0159090023385</v>
      </c>
      <c r="N772" s="47">
        <v>2207.6924853858145</v>
      </c>
      <c r="O772" s="47">
        <v>2839.8112743569759</v>
      </c>
      <c r="P772" s="47">
        <v>4.3315939204988299</v>
      </c>
      <c r="Q772" s="41" t="s">
        <v>137</v>
      </c>
    </row>
    <row r="773" spans="1:17" x14ac:dyDescent="0.25">
      <c r="A773" s="40" t="s">
        <v>162</v>
      </c>
      <c r="B773" s="40" t="s">
        <v>18</v>
      </c>
      <c r="C773" s="40" t="s">
        <v>19</v>
      </c>
      <c r="D773" s="40" t="s">
        <v>20</v>
      </c>
      <c r="E773" s="40" t="s">
        <v>21</v>
      </c>
      <c r="F773" s="40" t="s">
        <v>101</v>
      </c>
      <c r="G773" s="40" t="s">
        <v>21</v>
      </c>
      <c r="H773" s="40" t="s">
        <v>172</v>
      </c>
      <c r="I773" s="40" t="s">
        <v>179</v>
      </c>
      <c r="J773" s="47">
        <v>137.89427137765793</v>
      </c>
      <c r="K773" s="47">
        <v>126.73220960870539</v>
      </c>
      <c r="L773" s="47">
        <v>4.454578231738207</v>
      </c>
      <c r="M773" s="47">
        <v>8476.0738606283085</v>
      </c>
      <c r="N773" s="47">
        <v>2602.2547121571047</v>
      </c>
      <c r="O773" s="47">
        <v>4798.2759583625184</v>
      </c>
      <c r="P773" s="47">
        <v>10.273000329424653</v>
      </c>
      <c r="Q773" s="41" t="s">
        <v>137</v>
      </c>
    </row>
    <row r="774" spans="1:17" x14ac:dyDescent="0.25">
      <c r="A774" s="40" t="s">
        <v>162</v>
      </c>
      <c r="B774" s="40" t="s">
        <v>18</v>
      </c>
      <c r="C774" s="40" t="s">
        <v>19</v>
      </c>
      <c r="D774" s="40" t="s">
        <v>20</v>
      </c>
      <c r="E774" s="40" t="s">
        <v>21</v>
      </c>
      <c r="F774" s="40" t="s">
        <v>101</v>
      </c>
      <c r="G774" s="40" t="s">
        <v>21</v>
      </c>
      <c r="H774" s="40" t="s">
        <v>172</v>
      </c>
      <c r="I774" s="40" t="s">
        <v>180</v>
      </c>
      <c r="J774" s="47">
        <v>194.1822148423276</v>
      </c>
      <c r="K774" s="47">
        <v>178.64028745175148</v>
      </c>
      <c r="L774" s="47">
        <v>4.0583385405287302</v>
      </c>
      <c r="M774" s="47">
        <v>7786.6998622824258</v>
      </c>
      <c r="N774" s="47">
        <v>3421.9356549413724</v>
      </c>
      <c r="O774" s="47">
        <v>6423.6786242079961</v>
      </c>
      <c r="P774" s="47">
        <v>9.6112735780351013</v>
      </c>
      <c r="Q774" s="41" t="s">
        <v>137</v>
      </c>
    </row>
    <row r="775" spans="1:17" x14ac:dyDescent="0.25">
      <c r="A775" s="40" t="s">
        <v>162</v>
      </c>
      <c r="B775" s="40" t="s">
        <v>18</v>
      </c>
      <c r="C775" s="40" t="s">
        <v>19</v>
      </c>
      <c r="D775" s="40" t="s">
        <v>20</v>
      </c>
      <c r="E775" s="40" t="s">
        <v>21</v>
      </c>
      <c r="F775" s="40" t="s">
        <v>101</v>
      </c>
      <c r="G775" s="40" t="s">
        <v>21</v>
      </c>
      <c r="H775" s="40" t="s">
        <v>172</v>
      </c>
      <c r="I775" s="40" t="s">
        <v>181</v>
      </c>
      <c r="J775" s="47">
        <v>181.24213575010543</v>
      </c>
      <c r="K775" s="47">
        <v>161.09717730154864</v>
      </c>
      <c r="L775" s="47">
        <v>10.796012345557479</v>
      </c>
      <c r="M775" s="47">
        <v>27565.986699111352</v>
      </c>
      <c r="N775" s="47">
        <v>5854.010096446782</v>
      </c>
      <c r="O775" s="47">
        <v>3105.1725827879309</v>
      </c>
      <c r="P775" s="47">
        <v>37.839923777360539</v>
      </c>
      <c r="Q775" s="41" t="s">
        <v>26</v>
      </c>
    </row>
    <row r="776" spans="1:17" x14ac:dyDescent="0.25">
      <c r="A776" s="40" t="s">
        <v>162</v>
      </c>
      <c r="B776" s="40" t="s">
        <v>18</v>
      </c>
      <c r="C776" s="40" t="s">
        <v>19</v>
      </c>
      <c r="D776" s="40" t="s">
        <v>20</v>
      </c>
      <c r="E776" s="40" t="s">
        <v>21</v>
      </c>
      <c r="F776" s="40" t="s">
        <v>104</v>
      </c>
      <c r="G776" s="40" t="s">
        <v>105</v>
      </c>
      <c r="H776" s="40" t="s">
        <v>172</v>
      </c>
      <c r="I776" s="40" t="s">
        <v>173</v>
      </c>
      <c r="J776" s="47">
        <v>7.9032582938388621E-2</v>
      </c>
      <c r="K776" s="47">
        <v>6.9913902053712493E-2</v>
      </c>
      <c r="L776" s="47">
        <v>2.2224526066350715E-2</v>
      </c>
      <c r="M776" s="47">
        <v>81.023346366508704</v>
      </c>
      <c r="N776" s="47">
        <v>3.424002435492365</v>
      </c>
      <c r="O776" s="47">
        <v>6.1802733017377554</v>
      </c>
      <c r="P776" s="47">
        <v>7.9719194312796227E-2</v>
      </c>
      <c r="Q776" s="41" t="s">
        <v>26</v>
      </c>
    </row>
    <row r="777" spans="1:17" x14ac:dyDescent="0.25">
      <c r="A777" s="40" t="s">
        <v>162</v>
      </c>
      <c r="B777" s="40" t="s">
        <v>18</v>
      </c>
      <c r="C777" s="40" t="s">
        <v>19</v>
      </c>
      <c r="D777" s="40" t="s">
        <v>20</v>
      </c>
      <c r="E777" s="40" t="s">
        <v>21</v>
      </c>
      <c r="F777" s="40" t="s">
        <v>104</v>
      </c>
      <c r="G777" s="40" t="s">
        <v>105</v>
      </c>
      <c r="H777" s="40" t="s">
        <v>172</v>
      </c>
      <c r="I777" s="40" t="s">
        <v>174</v>
      </c>
      <c r="J777" s="47">
        <v>2.1533387129319301</v>
      </c>
      <c r="K777" s="47">
        <v>1.9049083518218726</v>
      </c>
      <c r="L777" s="47">
        <v>0.11356265289743908</v>
      </c>
      <c r="M777" s="47">
        <v>296.06107928217773</v>
      </c>
      <c r="N777" s="47">
        <v>78.893719943577622</v>
      </c>
      <c r="O777" s="47">
        <v>26.083072523926564</v>
      </c>
      <c r="P777" s="47">
        <v>0.43237644290697419</v>
      </c>
      <c r="Q777" s="41" t="s">
        <v>26</v>
      </c>
    </row>
    <row r="778" spans="1:17" x14ac:dyDescent="0.25">
      <c r="A778" s="40" t="s">
        <v>162</v>
      </c>
      <c r="B778" s="40" t="s">
        <v>18</v>
      </c>
      <c r="C778" s="40" t="s">
        <v>19</v>
      </c>
      <c r="D778" s="40" t="s">
        <v>20</v>
      </c>
      <c r="E778" s="40" t="s">
        <v>21</v>
      </c>
      <c r="F778" s="40" t="s">
        <v>104</v>
      </c>
      <c r="G778" s="40" t="s">
        <v>105</v>
      </c>
      <c r="H778" s="40" t="s">
        <v>172</v>
      </c>
      <c r="I778" s="40" t="s">
        <v>175</v>
      </c>
      <c r="J778" s="47">
        <v>0.11286540343385819</v>
      </c>
      <c r="K778" s="47">
        <v>9.9848767903211469E-2</v>
      </c>
      <c r="L778" s="47">
        <v>1.9492927675473712E-2</v>
      </c>
      <c r="M778" s="47">
        <v>49.115292275618238</v>
      </c>
      <c r="N778" s="47">
        <v>24.148339341236134</v>
      </c>
      <c r="O778" s="47">
        <v>2.2614334430507368</v>
      </c>
      <c r="P778" s="47">
        <v>5.4645210347136201E-2</v>
      </c>
      <c r="Q778" s="41" t="s">
        <v>26</v>
      </c>
    </row>
    <row r="779" spans="1:17" x14ac:dyDescent="0.25">
      <c r="A779" s="40" t="s">
        <v>162</v>
      </c>
      <c r="B779" s="40" t="s">
        <v>18</v>
      </c>
      <c r="C779" s="40" t="s">
        <v>19</v>
      </c>
      <c r="D779" s="40" t="s">
        <v>20</v>
      </c>
      <c r="E779" s="40" t="s">
        <v>21</v>
      </c>
      <c r="F779" s="40" t="s">
        <v>104</v>
      </c>
      <c r="G779" s="40" t="s">
        <v>105</v>
      </c>
      <c r="H779" s="40" t="s">
        <v>172</v>
      </c>
      <c r="I779" s="40" t="s">
        <v>176</v>
      </c>
      <c r="J779" s="47">
        <v>0.31949811352937479</v>
      </c>
      <c r="K779" s="47">
        <v>0.28270183856066106</v>
      </c>
      <c r="L779" s="47">
        <v>3.8689591663633956E-2</v>
      </c>
      <c r="M779" s="47">
        <v>76.054421218134465</v>
      </c>
      <c r="N779" s="47">
        <v>16.874402616669318</v>
      </c>
      <c r="O779" s="47">
        <v>8.2833870471261601</v>
      </c>
      <c r="P779" s="47">
        <v>0.11782411815403369</v>
      </c>
      <c r="Q779" s="41" t="s">
        <v>26</v>
      </c>
    </row>
    <row r="780" spans="1:17" x14ac:dyDescent="0.25">
      <c r="A780" s="40" t="s">
        <v>162</v>
      </c>
      <c r="B780" s="40" t="s">
        <v>18</v>
      </c>
      <c r="C780" s="40" t="s">
        <v>19</v>
      </c>
      <c r="D780" s="40" t="s">
        <v>20</v>
      </c>
      <c r="E780" s="40" t="s">
        <v>21</v>
      </c>
      <c r="F780" s="40" t="s">
        <v>104</v>
      </c>
      <c r="G780" s="40" t="s">
        <v>105</v>
      </c>
      <c r="H780" s="40" t="s">
        <v>172</v>
      </c>
      <c r="I780" s="40" t="s">
        <v>177</v>
      </c>
      <c r="J780" s="47">
        <v>0</v>
      </c>
      <c r="K780" s="47">
        <v>0</v>
      </c>
      <c r="L780" s="47">
        <v>0</v>
      </c>
      <c r="M780" s="47">
        <v>0</v>
      </c>
      <c r="N780" s="47">
        <v>0</v>
      </c>
      <c r="O780" s="47">
        <v>0</v>
      </c>
      <c r="P780" s="47">
        <v>0</v>
      </c>
      <c r="Q780" s="41" t="s">
        <v>26</v>
      </c>
    </row>
    <row r="781" spans="1:17" x14ac:dyDescent="0.25">
      <c r="A781" s="40" t="s">
        <v>162</v>
      </c>
      <c r="B781" s="40" t="s">
        <v>18</v>
      </c>
      <c r="C781" s="40" t="s">
        <v>19</v>
      </c>
      <c r="D781" s="40" t="s">
        <v>20</v>
      </c>
      <c r="E781" s="40" t="s">
        <v>21</v>
      </c>
      <c r="F781" s="40" t="s">
        <v>104</v>
      </c>
      <c r="G781" s="40" t="s">
        <v>105</v>
      </c>
      <c r="H781" s="40" t="s">
        <v>172</v>
      </c>
      <c r="I781" s="40" t="s">
        <v>178</v>
      </c>
      <c r="J781" s="47">
        <v>3.8357045985970384</v>
      </c>
      <c r="K781" s="47">
        <v>3.5287926734216688</v>
      </c>
      <c r="L781" s="47">
        <v>5.9134840218238512E-2</v>
      </c>
      <c r="M781" s="47">
        <v>97.151629384255656</v>
      </c>
      <c r="N781" s="47">
        <v>53.82184840218239</v>
      </c>
      <c r="O781" s="47">
        <v>69.232419329696029</v>
      </c>
      <c r="P781" s="47">
        <v>0.10560093530787217</v>
      </c>
      <c r="Q781" s="41" t="s">
        <v>137</v>
      </c>
    </row>
    <row r="782" spans="1:17" x14ac:dyDescent="0.25">
      <c r="A782" s="40" t="s">
        <v>162</v>
      </c>
      <c r="B782" s="40" t="s">
        <v>18</v>
      </c>
      <c r="C782" s="40" t="s">
        <v>19</v>
      </c>
      <c r="D782" s="40" t="s">
        <v>20</v>
      </c>
      <c r="E782" s="40" t="s">
        <v>21</v>
      </c>
      <c r="F782" s="40" t="s">
        <v>104</v>
      </c>
      <c r="G782" s="40" t="s">
        <v>105</v>
      </c>
      <c r="H782" s="40" t="s">
        <v>172</v>
      </c>
      <c r="I782" s="40" t="s">
        <v>179</v>
      </c>
      <c r="J782" s="47">
        <v>4.0522870583419701</v>
      </c>
      <c r="K782" s="47">
        <v>3.7245290766021353</v>
      </c>
      <c r="L782" s="47">
        <v>0.12914380425874422</v>
      </c>
      <c r="M782" s="47">
        <v>237.7239322009448</v>
      </c>
      <c r="N782" s="47">
        <v>75.948592603712129</v>
      </c>
      <c r="O782" s="47">
        <v>138.54249781102232</v>
      </c>
      <c r="P782" s="47">
        <v>0.2885738026207747</v>
      </c>
      <c r="Q782" s="41" t="s">
        <v>137</v>
      </c>
    </row>
    <row r="783" spans="1:17" x14ac:dyDescent="0.25">
      <c r="A783" s="40" t="s">
        <v>162</v>
      </c>
      <c r="B783" s="40" t="s">
        <v>18</v>
      </c>
      <c r="C783" s="40" t="s">
        <v>19</v>
      </c>
      <c r="D783" s="40" t="s">
        <v>20</v>
      </c>
      <c r="E783" s="40" t="s">
        <v>21</v>
      </c>
      <c r="F783" s="40" t="s">
        <v>104</v>
      </c>
      <c r="G783" s="40" t="s">
        <v>105</v>
      </c>
      <c r="H783" s="40" t="s">
        <v>172</v>
      </c>
      <c r="I783" s="40" t="s">
        <v>180</v>
      </c>
      <c r="J783" s="47">
        <v>3.2547368727696462</v>
      </c>
      <c r="K783" s="47">
        <v>2.9942347243463696</v>
      </c>
      <c r="L783" s="47">
        <v>6.8022831549049603E-2</v>
      </c>
      <c r="M783" s="47">
        <v>130.51483205884495</v>
      </c>
      <c r="N783" s="47">
        <v>57.355922948073683</v>
      </c>
      <c r="O783" s="47">
        <v>107.66889075813853</v>
      </c>
      <c r="P783" s="47">
        <v>0.16109697035904161</v>
      </c>
      <c r="Q783" s="41" t="s">
        <v>137</v>
      </c>
    </row>
    <row r="784" spans="1:17" x14ac:dyDescent="0.25">
      <c r="A784" s="40" t="s">
        <v>162</v>
      </c>
      <c r="B784" s="40" t="s">
        <v>18</v>
      </c>
      <c r="C784" s="40" t="s">
        <v>19</v>
      </c>
      <c r="D784" s="40" t="s">
        <v>20</v>
      </c>
      <c r="E784" s="40" t="s">
        <v>21</v>
      </c>
      <c r="F784" s="40" t="s">
        <v>104</v>
      </c>
      <c r="G784" s="40" t="s">
        <v>105</v>
      </c>
      <c r="H784" s="40" t="s">
        <v>172</v>
      </c>
      <c r="I784" s="40" t="s">
        <v>181</v>
      </c>
      <c r="J784" s="47">
        <v>1.9594715218572727</v>
      </c>
      <c r="K784" s="47">
        <v>1.7387157632748904</v>
      </c>
      <c r="L784" s="47">
        <v>0.12402535499230752</v>
      </c>
      <c r="M784" s="47">
        <v>320.5635347377729</v>
      </c>
      <c r="N784" s="47">
        <v>67.024150366534272</v>
      </c>
      <c r="O784" s="47">
        <v>36.429847959311147</v>
      </c>
      <c r="P784" s="47">
        <v>0.43059023456253354</v>
      </c>
      <c r="Q784" s="41" t="s">
        <v>26</v>
      </c>
    </row>
    <row r="785" spans="1:17" x14ac:dyDescent="0.25">
      <c r="A785" s="40" t="s">
        <v>162</v>
      </c>
      <c r="B785" s="40" t="s">
        <v>18</v>
      </c>
      <c r="C785" s="40" t="s">
        <v>19</v>
      </c>
      <c r="D785" s="40" t="s">
        <v>20</v>
      </c>
      <c r="E785" s="40" t="s">
        <v>21</v>
      </c>
      <c r="F785" s="40" t="s">
        <v>112</v>
      </c>
      <c r="G785" s="40" t="s">
        <v>113</v>
      </c>
      <c r="H785" s="40" t="s">
        <v>172</v>
      </c>
      <c r="I785" s="40" t="s">
        <v>173</v>
      </c>
      <c r="J785" s="47">
        <v>6.1757701421800953E-2</v>
      </c>
      <c r="K785" s="47">
        <v>5.4632174828857301E-2</v>
      </c>
      <c r="L785" s="47">
        <v>1.7366706161137446E-2</v>
      </c>
      <c r="M785" s="47">
        <v>63.31332530279095</v>
      </c>
      <c r="N785" s="47">
        <v>2.6755866025978592</v>
      </c>
      <c r="O785" s="47">
        <v>4.8293938915218524</v>
      </c>
      <c r="P785" s="47">
        <v>6.2294233807266987E-2</v>
      </c>
      <c r="Q785" s="41" t="s">
        <v>26</v>
      </c>
    </row>
    <row r="786" spans="1:17" x14ac:dyDescent="0.25">
      <c r="A786" s="40" t="s">
        <v>162</v>
      </c>
      <c r="B786" s="40" t="s">
        <v>18</v>
      </c>
      <c r="C786" s="40" t="s">
        <v>19</v>
      </c>
      <c r="D786" s="40" t="s">
        <v>20</v>
      </c>
      <c r="E786" s="40" t="s">
        <v>21</v>
      </c>
      <c r="F786" s="40" t="s">
        <v>112</v>
      </c>
      <c r="G786" s="40" t="s">
        <v>113</v>
      </c>
      <c r="H786" s="40" t="s">
        <v>172</v>
      </c>
      <c r="I786" s="40" t="s">
        <v>174</v>
      </c>
      <c r="J786" s="47">
        <v>3.1759667503474796</v>
      </c>
      <c r="K786" s="47">
        <v>2.8095559474747316</v>
      </c>
      <c r="L786" s="47">
        <v>0.16749395137769008</v>
      </c>
      <c r="M786" s="47">
        <v>436.66151461695699</v>
      </c>
      <c r="N786" s="47">
        <v>116.36062169284422</v>
      </c>
      <c r="O786" s="47">
        <v>38.47001430169864</v>
      </c>
      <c r="P786" s="47">
        <v>0.63771351810990018</v>
      </c>
      <c r="Q786" s="41" t="s">
        <v>26</v>
      </c>
    </row>
    <row r="787" spans="1:17" x14ac:dyDescent="0.25">
      <c r="A787" s="40" t="s">
        <v>162</v>
      </c>
      <c r="B787" s="40" t="s">
        <v>18</v>
      </c>
      <c r="C787" s="40" t="s">
        <v>19</v>
      </c>
      <c r="D787" s="40" t="s">
        <v>20</v>
      </c>
      <c r="E787" s="40" t="s">
        <v>21</v>
      </c>
      <c r="F787" s="40" t="s">
        <v>112</v>
      </c>
      <c r="G787" s="40" t="s">
        <v>113</v>
      </c>
      <c r="H787" s="40" t="s">
        <v>172</v>
      </c>
      <c r="I787" s="40" t="s">
        <v>175</v>
      </c>
      <c r="J787" s="47">
        <v>0.21021181389556087</v>
      </c>
      <c r="K787" s="47">
        <v>0.18596833021973133</v>
      </c>
      <c r="L787" s="47">
        <v>3.6305577795569796E-2</v>
      </c>
      <c r="M787" s="47">
        <v>91.477231863338972</v>
      </c>
      <c r="N787" s="47">
        <v>44.976282023052299</v>
      </c>
      <c r="O787" s="47">
        <v>4.2119197876819978</v>
      </c>
      <c r="P787" s="47">
        <v>0.10177670427154116</v>
      </c>
      <c r="Q787" s="41" t="s">
        <v>26</v>
      </c>
    </row>
    <row r="788" spans="1:17" x14ac:dyDescent="0.25">
      <c r="A788" s="40" t="s">
        <v>162</v>
      </c>
      <c r="B788" s="40" t="s">
        <v>18</v>
      </c>
      <c r="C788" s="40" t="s">
        <v>19</v>
      </c>
      <c r="D788" s="40" t="s">
        <v>20</v>
      </c>
      <c r="E788" s="40" t="s">
        <v>21</v>
      </c>
      <c r="F788" s="40" t="s">
        <v>112</v>
      </c>
      <c r="G788" s="40" t="s">
        <v>113</v>
      </c>
      <c r="H788" s="40" t="s">
        <v>172</v>
      </c>
      <c r="I788" s="40" t="s">
        <v>176</v>
      </c>
      <c r="J788" s="47">
        <v>0.51078561068537376</v>
      </c>
      <c r="K788" s="47">
        <v>0.45195894791350322</v>
      </c>
      <c r="L788" s="47">
        <v>6.1853531736925531E-2</v>
      </c>
      <c r="M788" s="47">
        <v>121.58914980152397</v>
      </c>
      <c r="N788" s="47">
        <v>26.977317488022845</v>
      </c>
      <c r="O788" s="47">
        <v>13.242753970190963</v>
      </c>
      <c r="P788" s="47">
        <v>0.18836688417329422</v>
      </c>
      <c r="Q788" s="41" t="s">
        <v>26</v>
      </c>
    </row>
    <row r="789" spans="1:17" x14ac:dyDescent="0.25">
      <c r="A789" s="40" t="s">
        <v>162</v>
      </c>
      <c r="B789" s="40" t="s">
        <v>18</v>
      </c>
      <c r="C789" s="40" t="s">
        <v>19</v>
      </c>
      <c r="D789" s="40" t="s">
        <v>20</v>
      </c>
      <c r="E789" s="40" t="s">
        <v>21</v>
      </c>
      <c r="F789" s="40" t="s">
        <v>112</v>
      </c>
      <c r="G789" s="40" t="s">
        <v>113</v>
      </c>
      <c r="H789" s="40" t="s">
        <v>172</v>
      </c>
      <c r="I789" s="40" t="s">
        <v>177</v>
      </c>
      <c r="J789" s="47">
        <v>0</v>
      </c>
      <c r="K789" s="47">
        <v>0</v>
      </c>
      <c r="L789" s="47">
        <v>0</v>
      </c>
      <c r="M789" s="47">
        <v>0</v>
      </c>
      <c r="N789" s="47">
        <v>0</v>
      </c>
      <c r="O789" s="47">
        <v>0</v>
      </c>
      <c r="P789" s="47">
        <v>0</v>
      </c>
      <c r="Q789" s="41" t="s">
        <v>26</v>
      </c>
    </row>
    <row r="790" spans="1:17" x14ac:dyDescent="0.25">
      <c r="A790" s="40" t="s">
        <v>162</v>
      </c>
      <c r="B790" s="40" t="s">
        <v>18</v>
      </c>
      <c r="C790" s="40" t="s">
        <v>19</v>
      </c>
      <c r="D790" s="40" t="s">
        <v>20</v>
      </c>
      <c r="E790" s="40" t="s">
        <v>21</v>
      </c>
      <c r="F790" s="40" t="s">
        <v>112</v>
      </c>
      <c r="G790" s="40" t="s">
        <v>113</v>
      </c>
      <c r="H790" s="40" t="s">
        <v>172</v>
      </c>
      <c r="I790" s="40" t="s">
        <v>178</v>
      </c>
      <c r="J790" s="47">
        <v>3.9067361652377248</v>
      </c>
      <c r="K790" s="47">
        <v>3.5941406858924405</v>
      </c>
      <c r="L790" s="47">
        <v>6.0229929851909586E-2</v>
      </c>
      <c r="M790" s="47">
        <v>98.950733632112247</v>
      </c>
      <c r="N790" s="47">
        <v>54.818549298519102</v>
      </c>
      <c r="O790" s="47">
        <v>70.514501169134846</v>
      </c>
      <c r="P790" s="47">
        <v>0.10755650818394388</v>
      </c>
      <c r="Q790" s="41" t="s">
        <v>137</v>
      </c>
    </row>
    <row r="791" spans="1:17" x14ac:dyDescent="0.25">
      <c r="A791" s="40" t="s">
        <v>162</v>
      </c>
      <c r="B791" s="40" t="s">
        <v>18</v>
      </c>
      <c r="C791" s="40" t="s">
        <v>19</v>
      </c>
      <c r="D791" s="40" t="s">
        <v>20</v>
      </c>
      <c r="E791" s="40" t="s">
        <v>21</v>
      </c>
      <c r="F791" s="40" t="s">
        <v>112</v>
      </c>
      <c r="G791" s="40" t="s">
        <v>113</v>
      </c>
      <c r="H791" s="40" t="s">
        <v>172</v>
      </c>
      <c r="I791" s="40" t="s">
        <v>179</v>
      </c>
      <c r="J791" s="47">
        <v>2.6630311974330301</v>
      </c>
      <c r="K791" s="47">
        <v>2.4470818443596953</v>
      </c>
      <c r="L791" s="47">
        <v>8.8639940733696562E-2</v>
      </c>
      <c r="M791" s="47">
        <v>176.16816981233981</v>
      </c>
      <c r="N791" s="47">
        <v>50.268750729735061</v>
      </c>
      <c r="O791" s="47">
        <v>96.317347188433601</v>
      </c>
      <c r="P791" s="47">
        <v>0.19745867371164513</v>
      </c>
      <c r="Q791" s="41" t="s">
        <v>137</v>
      </c>
    </row>
    <row r="792" spans="1:17" x14ac:dyDescent="0.25">
      <c r="A792" s="40" t="s">
        <v>162</v>
      </c>
      <c r="B792" s="40" t="s">
        <v>18</v>
      </c>
      <c r="C792" s="40" t="s">
        <v>19</v>
      </c>
      <c r="D792" s="40" t="s">
        <v>20</v>
      </c>
      <c r="E792" s="40" t="s">
        <v>21</v>
      </c>
      <c r="F792" s="40" t="s">
        <v>112</v>
      </c>
      <c r="G792" s="40" t="s">
        <v>113</v>
      </c>
      <c r="H792" s="40" t="s">
        <v>172</v>
      </c>
      <c r="I792" s="40" t="s">
        <v>180</v>
      </c>
      <c r="J792" s="47">
        <v>2.332134294661715</v>
      </c>
      <c r="K792" s="47">
        <v>2.1454752749253512</v>
      </c>
      <c r="L792" s="47">
        <v>4.8740769062704831E-2</v>
      </c>
      <c r="M792" s="47">
        <v>93.518501711455826</v>
      </c>
      <c r="N792" s="47">
        <v>41.097551088777216</v>
      </c>
      <c r="O792" s="47">
        <v>77.148575267642556</v>
      </c>
      <c r="P792" s="47">
        <v>0.11543168742262035</v>
      </c>
      <c r="Q792" s="41" t="s">
        <v>137</v>
      </c>
    </row>
    <row r="793" spans="1:17" x14ac:dyDescent="0.25">
      <c r="A793" s="40" t="s">
        <v>162</v>
      </c>
      <c r="B793" s="40" t="s">
        <v>18</v>
      </c>
      <c r="C793" s="40" t="s">
        <v>19</v>
      </c>
      <c r="D793" s="40" t="s">
        <v>20</v>
      </c>
      <c r="E793" s="40" t="s">
        <v>21</v>
      </c>
      <c r="F793" s="40" t="s">
        <v>112</v>
      </c>
      <c r="G793" s="40" t="s">
        <v>113</v>
      </c>
      <c r="H793" s="40" t="s">
        <v>172</v>
      </c>
      <c r="I793" s="40" t="s">
        <v>181</v>
      </c>
      <c r="J793" s="47">
        <v>2.6531164558240921</v>
      </c>
      <c r="K793" s="47">
        <v>2.3540175548707438</v>
      </c>
      <c r="L793" s="47">
        <v>0.16774606223963279</v>
      </c>
      <c r="M793" s="47">
        <v>436.72417716453674</v>
      </c>
      <c r="N793" s="47">
        <v>91.267389641819562</v>
      </c>
      <c r="O793" s="47">
        <v>49.857621410818574</v>
      </c>
      <c r="P793" s="47">
        <v>0.58329256980131627</v>
      </c>
      <c r="Q793" s="41" t="s">
        <v>26</v>
      </c>
    </row>
    <row r="794" spans="1:17" x14ac:dyDescent="0.25">
      <c r="A794" s="40" t="s">
        <v>162</v>
      </c>
      <c r="B794" s="40" t="s">
        <v>18</v>
      </c>
      <c r="C794" s="40" t="s">
        <v>19</v>
      </c>
      <c r="D794" s="40" t="s">
        <v>20</v>
      </c>
      <c r="E794" s="40" t="s">
        <v>21</v>
      </c>
      <c r="F794" s="40" t="s">
        <v>114</v>
      </c>
      <c r="G794" s="40" t="s">
        <v>115</v>
      </c>
      <c r="H794" s="40" t="s">
        <v>172</v>
      </c>
      <c r="I794" s="40" t="s">
        <v>173</v>
      </c>
      <c r="J794" s="47">
        <v>2.0656439573459715</v>
      </c>
      <c r="K794" s="47">
        <v>1.8273125329120592</v>
      </c>
      <c r="L794" s="47">
        <v>0.58087381516587688</v>
      </c>
      <c r="M794" s="47">
        <v>2117.6757686940496</v>
      </c>
      <c r="N794" s="47">
        <v>89.491823218360551</v>
      </c>
      <c r="O794" s="47">
        <v>161.53140547656659</v>
      </c>
      <c r="P794" s="47">
        <v>2.0835896524486572</v>
      </c>
      <c r="Q794" s="41" t="s">
        <v>26</v>
      </c>
    </row>
    <row r="795" spans="1:17" x14ac:dyDescent="0.25">
      <c r="A795" s="40" t="s">
        <v>162</v>
      </c>
      <c r="B795" s="40" t="s">
        <v>18</v>
      </c>
      <c r="C795" s="40" t="s">
        <v>19</v>
      </c>
      <c r="D795" s="40" t="s">
        <v>20</v>
      </c>
      <c r="E795" s="40" t="s">
        <v>21</v>
      </c>
      <c r="F795" s="40" t="s">
        <v>114</v>
      </c>
      <c r="G795" s="40" t="s">
        <v>115</v>
      </c>
      <c r="H795" s="40" t="s">
        <v>172</v>
      </c>
      <c r="I795" s="40" t="s">
        <v>174</v>
      </c>
      <c r="J795" s="47">
        <v>119.7774161729802</v>
      </c>
      <c r="K795" s="47">
        <v>105.95959207432429</v>
      </c>
      <c r="L795" s="47">
        <v>6.3183303378441851</v>
      </c>
      <c r="M795" s="47">
        <v>16476.782159129958</v>
      </c>
      <c r="N795" s="47">
        <v>4391.1112046017979</v>
      </c>
      <c r="O795" s="47">
        <v>1450.6350212577224</v>
      </c>
      <c r="P795" s="47">
        <v>24.05285037464963</v>
      </c>
      <c r="Q795" s="41" t="s">
        <v>26</v>
      </c>
    </row>
    <row r="796" spans="1:17" x14ac:dyDescent="0.25">
      <c r="A796" s="40" t="s">
        <v>162</v>
      </c>
      <c r="B796" s="40" t="s">
        <v>18</v>
      </c>
      <c r="C796" s="40" t="s">
        <v>19</v>
      </c>
      <c r="D796" s="40" t="s">
        <v>20</v>
      </c>
      <c r="E796" s="40" t="s">
        <v>21</v>
      </c>
      <c r="F796" s="40" t="s">
        <v>114</v>
      </c>
      <c r="G796" s="40" t="s">
        <v>115</v>
      </c>
      <c r="H796" s="40" t="s">
        <v>172</v>
      </c>
      <c r="I796" s="40" t="s">
        <v>175</v>
      </c>
      <c r="J796" s="47">
        <v>6.8029621919758014</v>
      </c>
      <c r="K796" s="47">
        <v>6.018384485366072</v>
      </c>
      <c r="L796" s="47">
        <v>1.1749362156391783</v>
      </c>
      <c r="M796" s="47">
        <v>2960.42424191289</v>
      </c>
      <c r="N796" s="47">
        <v>1455.5411537930081</v>
      </c>
      <c r="O796" s="47">
        <v>136.30790077988314</v>
      </c>
      <c r="P796" s="47">
        <v>3.2937400536736345</v>
      </c>
      <c r="Q796" s="41" t="s">
        <v>26</v>
      </c>
    </row>
    <row r="797" spans="1:17" x14ac:dyDescent="0.25">
      <c r="A797" s="40" t="s">
        <v>162</v>
      </c>
      <c r="B797" s="40" t="s">
        <v>18</v>
      </c>
      <c r="C797" s="40" t="s">
        <v>19</v>
      </c>
      <c r="D797" s="40" t="s">
        <v>20</v>
      </c>
      <c r="E797" s="40" t="s">
        <v>21</v>
      </c>
      <c r="F797" s="40" t="s">
        <v>114</v>
      </c>
      <c r="G797" s="40" t="s">
        <v>115</v>
      </c>
      <c r="H797" s="40" t="s">
        <v>172</v>
      </c>
      <c r="I797" s="40" t="s">
        <v>176</v>
      </c>
      <c r="J797" s="47">
        <v>19.657736656218571</v>
      </c>
      <c r="K797" s="47">
        <v>17.433108970771219</v>
      </c>
      <c r="L797" s="47">
        <v>2.2549074702557741</v>
      </c>
      <c r="M797" s="47">
        <v>4422.4420732064791</v>
      </c>
      <c r="N797" s="47">
        <v>987.6796426002079</v>
      </c>
      <c r="O797" s="47">
        <v>481.4836100091415</v>
      </c>
      <c r="P797" s="47">
        <v>6.8872584783307103</v>
      </c>
      <c r="Q797" s="41" t="s">
        <v>26</v>
      </c>
    </row>
    <row r="798" spans="1:17" x14ac:dyDescent="0.25">
      <c r="A798" s="40" t="s">
        <v>162</v>
      </c>
      <c r="B798" s="40" t="s">
        <v>18</v>
      </c>
      <c r="C798" s="40" t="s">
        <v>19</v>
      </c>
      <c r="D798" s="40" t="s">
        <v>20</v>
      </c>
      <c r="E798" s="40" t="s">
        <v>21</v>
      </c>
      <c r="F798" s="40" t="s">
        <v>114</v>
      </c>
      <c r="G798" s="40" t="s">
        <v>115</v>
      </c>
      <c r="H798" s="40" t="s">
        <v>172</v>
      </c>
      <c r="I798" s="40" t="s">
        <v>177</v>
      </c>
      <c r="J798" s="47">
        <v>1.6378773819029326E-2</v>
      </c>
      <c r="K798" s="47">
        <v>1.445505591015981E-2</v>
      </c>
      <c r="L798" s="47">
        <v>1.3788537923207869E-3</v>
      </c>
      <c r="M798" s="47">
        <v>2.5825984832767839</v>
      </c>
      <c r="N798" s="47">
        <v>0.648554368566301</v>
      </c>
      <c r="O798" s="47">
        <v>0.22692691583553512</v>
      </c>
      <c r="P798" s="47">
        <v>5.080385852090032E-3</v>
      </c>
      <c r="Q798" s="41" t="s">
        <v>26</v>
      </c>
    </row>
    <row r="799" spans="1:17" x14ac:dyDescent="0.25">
      <c r="A799" s="40" t="s">
        <v>162</v>
      </c>
      <c r="B799" s="40" t="s">
        <v>18</v>
      </c>
      <c r="C799" s="40" t="s">
        <v>19</v>
      </c>
      <c r="D799" s="40" t="s">
        <v>20</v>
      </c>
      <c r="E799" s="40" t="s">
        <v>21</v>
      </c>
      <c r="F799" s="40" t="s">
        <v>114</v>
      </c>
      <c r="G799" s="40" t="s">
        <v>115</v>
      </c>
      <c r="H799" s="40" t="s">
        <v>172</v>
      </c>
      <c r="I799" s="40" t="s">
        <v>178</v>
      </c>
      <c r="J799" s="47">
        <v>48.230433749025728</v>
      </c>
      <c r="K799" s="47">
        <v>44.371300467653938</v>
      </c>
      <c r="L799" s="47">
        <v>0.74356586126266566</v>
      </c>
      <c r="M799" s="47">
        <v>1221.5917842946221</v>
      </c>
      <c r="N799" s="47">
        <v>676.75990861262665</v>
      </c>
      <c r="O799" s="47">
        <v>870.5335689789556</v>
      </c>
      <c r="P799" s="47">
        <v>1.3278339828526888</v>
      </c>
      <c r="Q799" s="41" t="s">
        <v>137</v>
      </c>
    </row>
    <row r="800" spans="1:17" x14ac:dyDescent="0.25">
      <c r="A800" s="40" t="s">
        <v>162</v>
      </c>
      <c r="B800" s="40" t="s">
        <v>18</v>
      </c>
      <c r="C800" s="40" t="s">
        <v>19</v>
      </c>
      <c r="D800" s="40" t="s">
        <v>20</v>
      </c>
      <c r="E800" s="40" t="s">
        <v>21</v>
      </c>
      <c r="F800" s="40" t="s">
        <v>114</v>
      </c>
      <c r="G800" s="40" t="s">
        <v>115</v>
      </c>
      <c r="H800" s="40" t="s">
        <v>172</v>
      </c>
      <c r="I800" s="40" t="s">
        <v>179</v>
      </c>
      <c r="J800" s="47">
        <v>52.23749286614629</v>
      </c>
      <c r="K800" s="47">
        <v>48.012311441644087</v>
      </c>
      <c r="L800" s="47">
        <v>1.6654312084913949</v>
      </c>
      <c r="M800" s="47">
        <v>3091.2152221816982</v>
      </c>
      <c r="N800" s="47">
        <v>983.49875478445324</v>
      </c>
      <c r="O800" s="47">
        <v>1786.849471280018</v>
      </c>
      <c r="P800" s="47">
        <v>3.8332691363469404</v>
      </c>
      <c r="Q800" s="41" t="s">
        <v>137</v>
      </c>
    </row>
    <row r="801" spans="1:17" x14ac:dyDescent="0.25">
      <c r="A801" s="40" t="s">
        <v>162</v>
      </c>
      <c r="B801" s="40" t="s">
        <v>18</v>
      </c>
      <c r="C801" s="40" t="s">
        <v>19</v>
      </c>
      <c r="D801" s="40" t="s">
        <v>20</v>
      </c>
      <c r="E801" s="40" t="s">
        <v>21</v>
      </c>
      <c r="F801" s="40" t="s">
        <v>114</v>
      </c>
      <c r="G801" s="40" t="s">
        <v>115</v>
      </c>
      <c r="H801" s="40" t="s">
        <v>172</v>
      </c>
      <c r="I801" s="40" t="s">
        <v>180</v>
      </c>
      <c r="J801" s="47">
        <v>61.122420799650442</v>
      </c>
      <c r="K801" s="47">
        <v>56.230313524142453</v>
      </c>
      <c r="L801" s="47">
        <v>1.2774366397203409</v>
      </c>
      <c r="M801" s="47">
        <v>2451.0068855145291</v>
      </c>
      <c r="N801" s="47">
        <v>1077.1171356783918</v>
      </c>
      <c r="O801" s="47">
        <v>2021.9709012453568</v>
      </c>
      <c r="P801" s="47">
        <v>3.025324994537907</v>
      </c>
      <c r="Q801" s="41" t="s">
        <v>137</v>
      </c>
    </row>
    <row r="802" spans="1:17" x14ac:dyDescent="0.25">
      <c r="A802" s="40" t="s">
        <v>162</v>
      </c>
      <c r="B802" s="40" t="s">
        <v>18</v>
      </c>
      <c r="C802" s="40" t="s">
        <v>19</v>
      </c>
      <c r="D802" s="40" t="s">
        <v>20</v>
      </c>
      <c r="E802" s="40" t="s">
        <v>21</v>
      </c>
      <c r="F802" s="40" t="s">
        <v>114</v>
      </c>
      <c r="G802" s="40" t="s">
        <v>115</v>
      </c>
      <c r="H802" s="40" t="s">
        <v>172</v>
      </c>
      <c r="I802" s="40" t="s">
        <v>181</v>
      </c>
      <c r="J802" s="47">
        <v>63.277507209910695</v>
      </c>
      <c r="K802" s="47">
        <v>56.228630619457817</v>
      </c>
      <c r="L802" s="47">
        <v>3.8079570540281908</v>
      </c>
      <c r="M802" s="47">
        <v>9774.0779157685902</v>
      </c>
      <c r="N802" s="47">
        <v>2069.1985257677047</v>
      </c>
      <c r="O802" s="47">
        <v>1104.3946618321413</v>
      </c>
      <c r="P802" s="47">
        <v>13.356424236614178</v>
      </c>
      <c r="Q802" s="41" t="s">
        <v>26</v>
      </c>
    </row>
    <row r="803" spans="1:17" x14ac:dyDescent="0.25">
      <c r="A803" s="40" t="s">
        <v>162</v>
      </c>
      <c r="B803" s="40" t="s">
        <v>18</v>
      </c>
      <c r="C803" s="40" t="s">
        <v>19</v>
      </c>
      <c r="D803" s="40" t="s">
        <v>20</v>
      </c>
      <c r="E803" s="40" t="s">
        <v>21</v>
      </c>
      <c r="F803" s="40" t="s">
        <v>61</v>
      </c>
      <c r="G803" s="40" t="s">
        <v>62</v>
      </c>
      <c r="H803" s="40" t="s">
        <v>172</v>
      </c>
      <c r="I803" s="40" t="s">
        <v>173</v>
      </c>
      <c r="J803" s="47">
        <v>1.2597707345971565</v>
      </c>
      <c r="K803" s="47">
        <v>1.1144199578725646</v>
      </c>
      <c r="L803" s="47">
        <v>0.35425651658767776</v>
      </c>
      <c r="M803" s="47">
        <v>1291.5032860716167</v>
      </c>
      <c r="N803" s="47">
        <v>54.578224613831857</v>
      </c>
      <c r="O803" s="47">
        <v>98.512880989994699</v>
      </c>
      <c r="P803" s="47">
        <v>1.2707152448657189</v>
      </c>
      <c r="Q803" s="41" t="s">
        <v>26</v>
      </c>
    </row>
    <row r="804" spans="1:17" x14ac:dyDescent="0.25">
      <c r="A804" s="40" t="s">
        <v>162</v>
      </c>
      <c r="B804" s="40" t="s">
        <v>18</v>
      </c>
      <c r="C804" s="40" t="s">
        <v>19</v>
      </c>
      <c r="D804" s="40" t="s">
        <v>20</v>
      </c>
      <c r="E804" s="40" t="s">
        <v>21</v>
      </c>
      <c r="F804" s="40" t="s">
        <v>61</v>
      </c>
      <c r="G804" s="40" t="s">
        <v>62</v>
      </c>
      <c r="H804" s="40" t="s">
        <v>172</v>
      </c>
      <c r="I804" s="40" t="s">
        <v>174</v>
      </c>
      <c r="J804" s="47">
        <v>49.850610212801726</v>
      </c>
      <c r="K804" s="47">
        <v>44.099851489602152</v>
      </c>
      <c r="L804" s="47">
        <v>2.6298792298915719</v>
      </c>
      <c r="M804" s="47">
        <v>6858.8468920425757</v>
      </c>
      <c r="N804" s="47">
        <v>1827.9656588465632</v>
      </c>
      <c r="O804" s="47">
        <v>603.71322197795644</v>
      </c>
      <c r="P804" s="47">
        <v>10.010997578335925</v>
      </c>
      <c r="Q804" s="41" t="s">
        <v>26</v>
      </c>
    </row>
    <row r="805" spans="1:17" x14ac:dyDescent="0.25">
      <c r="A805" s="40" t="s">
        <v>162</v>
      </c>
      <c r="B805" s="40" t="s">
        <v>18</v>
      </c>
      <c r="C805" s="40" t="s">
        <v>19</v>
      </c>
      <c r="D805" s="40" t="s">
        <v>20</v>
      </c>
      <c r="E805" s="40" t="s">
        <v>21</v>
      </c>
      <c r="F805" s="40" t="s">
        <v>61</v>
      </c>
      <c r="G805" s="40" t="s">
        <v>62</v>
      </c>
      <c r="H805" s="40" t="s">
        <v>172</v>
      </c>
      <c r="I805" s="40" t="s">
        <v>175</v>
      </c>
      <c r="J805" s="47">
        <v>2.086599145983453</v>
      </c>
      <c r="K805" s="47">
        <v>1.845954096610622</v>
      </c>
      <c r="L805" s="47">
        <v>0.36037550040032029</v>
      </c>
      <c r="M805" s="47">
        <v>908.01896594549248</v>
      </c>
      <c r="N805" s="47">
        <v>446.44242357110295</v>
      </c>
      <c r="O805" s="47">
        <v>41.808250778400499</v>
      </c>
      <c r="P805" s="47">
        <v>1.0102533262926805</v>
      </c>
      <c r="Q805" s="41" t="s">
        <v>26</v>
      </c>
    </row>
    <row r="806" spans="1:17" x14ac:dyDescent="0.25">
      <c r="A806" s="40" t="s">
        <v>162</v>
      </c>
      <c r="B806" s="40" t="s">
        <v>18</v>
      </c>
      <c r="C806" s="40" t="s">
        <v>19</v>
      </c>
      <c r="D806" s="40" t="s">
        <v>20</v>
      </c>
      <c r="E806" s="40" t="s">
        <v>21</v>
      </c>
      <c r="F806" s="40" t="s">
        <v>61</v>
      </c>
      <c r="G806" s="40" t="s">
        <v>62</v>
      </c>
      <c r="H806" s="40" t="s">
        <v>172</v>
      </c>
      <c r="I806" s="40" t="s">
        <v>176</v>
      </c>
      <c r="J806" s="47">
        <v>13.837696104377855</v>
      </c>
      <c r="K806" s="47">
        <v>12.292829716385858</v>
      </c>
      <c r="L806" s="47">
        <v>1.5198944841664808</v>
      </c>
      <c r="M806" s="47">
        <v>2975.0724036216957</v>
      </c>
      <c r="N806" s="47">
        <v>668.07703759752587</v>
      </c>
      <c r="O806" s="47">
        <v>323.80794955860614</v>
      </c>
      <c r="P806" s="47">
        <v>4.6537444672757795</v>
      </c>
      <c r="Q806" s="41" t="s">
        <v>26</v>
      </c>
    </row>
    <row r="807" spans="1:17" x14ac:dyDescent="0.25">
      <c r="A807" s="40" t="s">
        <v>162</v>
      </c>
      <c r="B807" s="40" t="s">
        <v>18</v>
      </c>
      <c r="C807" s="40" t="s">
        <v>19</v>
      </c>
      <c r="D807" s="40" t="s">
        <v>20</v>
      </c>
      <c r="E807" s="40" t="s">
        <v>21</v>
      </c>
      <c r="F807" s="40" t="s">
        <v>61</v>
      </c>
      <c r="G807" s="40" t="s">
        <v>62</v>
      </c>
      <c r="H807" s="40" t="s">
        <v>172</v>
      </c>
      <c r="I807" s="40" t="s">
        <v>177</v>
      </c>
      <c r="J807" s="47">
        <v>0</v>
      </c>
      <c r="K807" s="47">
        <v>0</v>
      </c>
      <c r="L807" s="47">
        <v>0</v>
      </c>
      <c r="M807" s="47">
        <v>0</v>
      </c>
      <c r="N807" s="47">
        <v>0</v>
      </c>
      <c r="O807" s="47">
        <v>0</v>
      </c>
      <c r="P807" s="47">
        <v>0</v>
      </c>
      <c r="Q807" s="41" t="s">
        <v>26</v>
      </c>
    </row>
    <row r="808" spans="1:17" x14ac:dyDescent="0.25">
      <c r="A808" s="40" t="s">
        <v>162</v>
      </c>
      <c r="B808" s="40" t="s">
        <v>18</v>
      </c>
      <c r="C808" s="40" t="s">
        <v>19</v>
      </c>
      <c r="D808" s="40" t="s">
        <v>20</v>
      </c>
      <c r="E808" s="40" t="s">
        <v>21</v>
      </c>
      <c r="F808" s="40" t="s">
        <v>61</v>
      </c>
      <c r="G808" s="40" t="s">
        <v>62</v>
      </c>
      <c r="H808" s="40" t="s">
        <v>172</v>
      </c>
      <c r="I808" s="40" t="s">
        <v>178</v>
      </c>
      <c r="J808" s="47">
        <v>9.8733877630553408</v>
      </c>
      <c r="K808" s="47">
        <v>9.0833737334372575</v>
      </c>
      <c r="L808" s="47">
        <v>0.15221745908028059</v>
      </c>
      <c r="M808" s="47">
        <v>250.07549045206548</v>
      </c>
      <c r="N808" s="47">
        <v>138.54142459080282</v>
      </c>
      <c r="O808" s="47">
        <v>178.20937568199534</v>
      </c>
      <c r="P808" s="47">
        <v>0.27182462977396721</v>
      </c>
      <c r="Q808" s="41" t="s">
        <v>137</v>
      </c>
    </row>
    <row r="809" spans="1:17" x14ac:dyDescent="0.25">
      <c r="A809" s="40" t="s">
        <v>162</v>
      </c>
      <c r="B809" s="40" t="s">
        <v>18</v>
      </c>
      <c r="C809" s="40" t="s">
        <v>19</v>
      </c>
      <c r="D809" s="40" t="s">
        <v>20</v>
      </c>
      <c r="E809" s="40" t="s">
        <v>21</v>
      </c>
      <c r="F809" s="40" t="s">
        <v>61</v>
      </c>
      <c r="G809" s="40" t="s">
        <v>62</v>
      </c>
      <c r="H809" s="40" t="s">
        <v>172</v>
      </c>
      <c r="I809" s="40" t="s">
        <v>179</v>
      </c>
      <c r="J809" s="47">
        <v>15.005413460300881</v>
      </c>
      <c r="K809" s="47">
        <v>13.788017374145033</v>
      </c>
      <c r="L809" s="47">
        <v>0.50340880928494192</v>
      </c>
      <c r="M809" s="47">
        <v>1013.948734396528</v>
      </c>
      <c r="N809" s="47">
        <v>283.72953914861114</v>
      </c>
      <c r="O809" s="47">
        <v>548.24030289911479</v>
      </c>
      <c r="P809" s="47">
        <v>1.1229180378263879</v>
      </c>
      <c r="Q809" s="41" t="s">
        <v>137</v>
      </c>
    </row>
    <row r="810" spans="1:17" x14ac:dyDescent="0.25">
      <c r="A810" s="40" t="s">
        <v>162</v>
      </c>
      <c r="B810" s="40" t="s">
        <v>18</v>
      </c>
      <c r="C810" s="40" t="s">
        <v>19</v>
      </c>
      <c r="D810" s="40" t="s">
        <v>20</v>
      </c>
      <c r="E810" s="40" t="s">
        <v>21</v>
      </c>
      <c r="F810" s="40" t="s">
        <v>61</v>
      </c>
      <c r="G810" s="40" t="s">
        <v>62</v>
      </c>
      <c r="H810" s="40" t="s">
        <v>172</v>
      </c>
      <c r="I810" s="40" t="s">
        <v>180</v>
      </c>
      <c r="J810" s="47">
        <v>32.701135824047782</v>
      </c>
      <c r="K810" s="47">
        <v>30.083807151700533</v>
      </c>
      <c r="L810" s="47">
        <v>0.68344199257155347</v>
      </c>
      <c r="M810" s="47">
        <v>1311.3143756463478</v>
      </c>
      <c r="N810" s="47">
        <v>576.26895812395276</v>
      </c>
      <c r="O810" s="47">
        <v>1081.775626829801</v>
      </c>
      <c r="P810" s="47">
        <v>1.6185805840798195</v>
      </c>
      <c r="Q810" s="41" t="s">
        <v>137</v>
      </c>
    </row>
    <row r="811" spans="1:17" x14ac:dyDescent="0.25">
      <c r="A811" s="40" t="s">
        <v>162</v>
      </c>
      <c r="B811" s="40" t="s">
        <v>18</v>
      </c>
      <c r="C811" s="40" t="s">
        <v>19</v>
      </c>
      <c r="D811" s="40" t="s">
        <v>20</v>
      </c>
      <c r="E811" s="40" t="s">
        <v>21</v>
      </c>
      <c r="F811" s="40" t="s">
        <v>61</v>
      </c>
      <c r="G811" s="40" t="s">
        <v>62</v>
      </c>
      <c r="H811" s="40" t="s">
        <v>172</v>
      </c>
      <c r="I811" s="40" t="s">
        <v>181</v>
      </c>
      <c r="J811" s="47">
        <v>23.957896178322656</v>
      </c>
      <c r="K811" s="47">
        <v>21.295421552455124</v>
      </c>
      <c r="L811" s="47">
        <v>1.4250361535452116</v>
      </c>
      <c r="M811" s="47">
        <v>3623.4531605726365</v>
      </c>
      <c r="N811" s="47">
        <v>770.14596856345975</v>
      </c>
      <c r="O811" s="47">
        <v>407.3780001716674</v>
      </c>
      <c r="P811" s="47">
        <v>4.974254146858831</v>
      </c>
      <c r="Q811" s="41" t="s">
        <v>26</v>
      </c>
    </row>
    <row r="812" spans="1:17" x14ac:dyDescent="0.25">
      <c r="A812" s="40" t="s">
        <v>162</v>
      </c>
      <c r="B812" s="40" t="s">
        <v>18</v>
      </c>
      <c r="C812" s="40" t="s">
        <v>19</v>
      </c>
      <c r="D812" s="40" t="s">
        <v>20</v>
      </c>
      <c r="E812" s="40" t="s">
        <v>21</v>
      </c>
      <c r="F812" s="40" t="s">
        <v>118</v>
      </c>
      <c r="G812" s="40" t="s">
        <v>119</v>
      </c>
      <c r="H812" s="40" t="s">
        <v>172</v>
      </c>
      <c r="I812" s="40" t="s">
        <v>173</v>
      </c>
      <c r="J812" s="47">
        <v>0.80371386255924171</v>
      </c>
      <c r="K812" s="47">
        <v>0.71098235913638774</v>
      </c>
      <c r="L812" s="47">
        <v>0.22601007109004742</v>
      </c>
      <c r="M812" s="47">
        <v>823.95872998946811</v>
      </c>
      <c r="N812" s="47">
        <v>34.820046625416893</v>
      </c>
      <c r="O812" s="47">
        <v>62.849664560294862</v>
      </c>
      <c r="P812" s="47">
        <v>0.81069628751974721</v>
      </c>
      <c r="Q812" s="41" t="s">
        <v>26</v>
      </c>
    </row>
    <row r="813" spans="1:17" x14ac:dyDescent="0.25">
      <c r="A813" s="40" t="s">
        <v>162</v>
      </c>
      <c r="B813" s="40" t="s">
        <v>18</v>
      </c>
      <c r="C813" s="40" t="s">
        <v>19</v>
      </c>
      <c r="D813" s="40" t="s">
        <v>20</v>
      </c>
      <c r="E813" s="40" t="s">
        <v>21</v>
      </c>
      <c r="F813" s="40" t="s">
        <v>118</v>
      </c>
      <c r="G813" s="40" t="s">
        <v>119</v>
      </c>
      <c r="H813" s="40" t="s">
        <v>172</v>
      </c>
      <c r="I813" s="40" t="s">
        <v>174</v>
      </c>
      <c r="J813" s="47">
        <v>42.873032889104103</v>
      </c>
      <c r="K813" s="47">
        <v>37.927038224440182</v>
      </c>
      <c r="L813" s="47">
        <v>2.2614854076224353</v>
      </c>
      <c r="M813" s="47">
        <v>5897.1561920516115</v>
      </c>
      <c r="N813" s="47">
        <v>1571.5842847978804</v>
      </c>
      <c r="O813" s="47">
        <v>519.25205290704162</v>
      </c>
      <c r="P813" s="47">
        <v>8.6093160501482693</v>
      </c>
      <c r="Q813" s="41" t="s">
        <v>26</v>
      </c>
    </row>
    <row r="814" spans="1:17" x14ac:dyDescent="0.25">
      <c r="A814" s="40" t="s">
        <v>162</v>
      </c>
      <c r="B814" s="40" t="s">
        <v>18</v>
      </c>
      <c r="C814" s="40" t="s">
        <v>19</v>
      </c>
      <c r="D814" s="40" t="s">
        <v>20</v>
      </c>
      <c r="E814" s="40" t="s">
        <v>21</v>
      </c>
      <c r="F814" s="40" t="s">
        <v>118</v>
      </c>
      <c r="G814" s="40" t="s">
        <v>119</v>
      </c>
      <c r="H814" s="40" t="s">
        <v>172</v>
      </c>
      <c r="I814" s="40" t="s">
        <v>175</v>
      </c>
      <c r="J814" s="47">
        <v>3.1715178364914149</v>
      </c>
      <c r="K814" s="47">
        <v>2.8057503780802429</v>
      </c>
      <c r="L814" s="47">
        <v>0.54775126768081128</v>
      </c>
      <c r="M814" s="47">
        <v>1380.1397129448726</v>
      </c>
      <c r="N814" s="47">
        <v>678.56833548873522</v>
      </c>
      <c r="O814" s="47">
        <v>63.54627974972572</v>
      </c>
      <c r="P814" s="47">
        <v>1.5355304107545273</v>
      </c>
      <c r="Q814" s="41" t="s">
        <v>26</v>
      </c>
    </row>
    <row r="815" spans="1:17" x14ac:dyDescent="0.25">
      <c r="A815" s="40" t="s">
        <v>162</v>
      </c>
      <c r="B815" s="40" t="s">
        <v>18</v>
      </c>
      <c r="C815" s="40" t="s">
        <v>19</v>
      </c>
      <c r="D815" s="40" t="s">
        <v>20</v>
      </c>
      <c r="E815" s="40" t="s">
        <v>21</v>
      </c>
      <c r="F815" s="40" t="s">
        <v>118</v>
      </c>
      <c r="G815" s="40" t="s">
        <v>119</v>
      </c>
      <c r="H815" s="40" t="s">
        <v>172</v>
      </c>
      <c r="I815" s="40" t="s">
        <v>176</v>
      </c>
      <c r="J815" s="47">
        <v>7.0699520380532057</v>
      </c>
      <c r="K815" s="47">
        <v>6.2666274704948277</v>
      </c>
      <c r="L815" s="47">
        <v>0.82129826489614011</v>
      </c>
      <c r="M815" s="47">
        <v>1611.6403197075058</v>
      </c>
      <c r="N815" s="47">
        <v>359.36574850895835</v>
      </c>
      <c r="O815" s="47">
        <v>175.48114773982275</v>
      </c>
      <c r="P815" s="47">
        <v>2.5067708930004819</v>
      </c>
      <c r="Q815" s="41" t="s">
        <v>26</v>
      </c>
    </row>
    <row r="816" spans="1:17" x14ac:dyDescent="0.25">
      <c r="A816" s="40" t="s">
        <v>162</v>
      </c>
      <c r="B816" s="40" t="s">
        <v>18</v>
      </c>
      <c r="C816" s="40" t="s">
        <v>19</v>
      </c>
      <c r="D816" s="40" t="s">
        <v>20</v>
      </c>
      <c r="E816" s="40" t="s">
        <v>21</v>
      </c>
      <c r="F816" s="40" t="s">
        <v>118</v>
      </c>
      <c r="G816" s="40" t="s">
        <v>119</v>
      </c>
      <c r="H816" s="40" t="s">
        <v>172</v>
      </c>
      <c r="I816" s="40" t="s">
        <v>177</v>
      </c>
      <c r="J816" s="47">
        <v>0.24082297848464579</v>
      </c>
      <c r="K816" s="47">
        <v>0.21784973844603345</v>
      </c>
      <c r="L816" s="47">
        <v>9.0672404009835457E-3</v>
      </c>
      <c r="M816" s="47">
        <v>15.890558824890702</v>
      </c>
      <c r="N816" s="47">
        <v>4.7362240553679111</v>
      </c>
      <c r="O816" s="47">
        <v>1.3989937888003614</v>
      </c>
      <c r="P816" s="47">
        <v>3.5482315112540193E-2</v>
      </c>
      <c r="Q816" s="41" t="s">
        <v>26</v>
      </c>
    </row>
    <row r="817" spans="1:17" x14ac:dyDescent="0.25">
      <c r="A817" s="40" t="s">
        <v>162</v>
      </c>
      <c r="B817" s="40" t="s">
        <v>18</v>
      </c>
      <c r="C817" s="40" t="s">
        <v>19</v>
      </c>
      <c r="D817" s="40" t="s">
        <v>20</v>
      </c>
      <c r="E817" s="40" t="s">
        <v>21</v>
      </c>
      <c r="F817" s="40" t="s">
        <v>118</v>
      </c>
      <c r="G817" s="40" t="s">
        <v>119</v>
      </c>
      <c r="H817" s="40" t="s">
        <v>172</v>
      </c>
      <c r="I817" s="40" t="s">
        <v>178</v>
      </c>
      <c r="J817" s="47">
        <v>12.856713561964147</v>
      </c>
      <c r="K817" s="47">
        <v>11.827990257209668</v>
      </c>
      <c r="L817" s="47">
        <v>0.19821122369446612</v>
      </c>
      <c r="M817" s="47">
        <v>325.63786886204213</v>
      </c>
      <c r="N817" s="47">
        <v>180.40286223694466</v>
      </c>
      <c r="O817" s="47">
        <v>232.05681293842554</v>
      </c>
      <c r="P817" s="47">
        <v>0.35395869056897888</v>
      </c>
      <c r="Q817" s="41" t="s">
        <v>137</v>
      </c>
    </row>
    <row r="818" spans="1:17" x14ac:dyDescent="0.25">
      <c r="A818" s="40" t="s">
        <v>162</v>
      </c>
      <c r="B818" s="40" t="s">
        <v>18</v>
      </c>
      <c r="C818" s="40" t="s">
        <v>19</v>
      </c>
      <c r="D818" s="40" t="s">
        <v>20</v>
      </c>
      <c r="E818" s="40" t="s">
        <v>21</v>
      </c>
      <c r="F818" s="40" t="s">
        <v>118</v>
      </c>
      <c r="G818" s="40" t="s">
        <v>119</v>
      </c>
      <c r="H818" s="40" t="s">
        <v>172</v>
      </c>
      <c r="I818" s="40" t="s">
        <v>179</v>
      </c>
      <c r="J818" s="47">
        <v>22.891480029849284</v>
      </c>
      <c r="K818" s="47">
        <v>21.03489085140663</v>
      </c>
      <c r="L818" s="47">
        <v>0.76386775762815207</v>
      </c>
      <c r="M818" s="47">
        <v>1530.3607326023337</v>
      </c>
      <c r="N818" s="47">
        <v>433.48498070597327</v>
      </c>
      <c r="O818" s="47">
        <v>830.62582497573476</v>
      </c>
      <c r="P818" s="47">
        <v>1.7300146862782866</v>
      </c>
      <c r="Q818" s="41" t="s">
        <v>137</v>
      </c>
    </row>
    <row r="819" spans="1:17" x14ac:dyDescent="0.25">
      <c r="A819" s="40" t="s">
        <v>162</v>
      </c>
      <c r="B819" s="40" t="s">
        <v>18</v>
      </c>
      <c r="C819" s="40" t="s">
        <v>19</v>
      </c>
      <c r="D819" s="40" t="s">
        <v>20</v>
      </c>
      <c r="E819" s="40" t="s">
        <v>21</v>
      </c>
      <c r="F819" s="40" t="s">
        <v>118</v>
      </c>
      <c r="G819" s="40" t="s">
        <v>119</v>
      </c>
      <c r="H819" s="40" t="s">
        <v>172</v>
      </c>
      <c r="I819" s="40" t="s">
        <v>180</v>
      </c>
      <c r="J819" s="47">
        <v>61.327443594785528</v>
      </c>
      <c r="K819" s="47">
        <v>56.418926735124913</v>
      </c>
      <c r="L819" s="47">
        <v>1.2817215424950841</v>
      </c>
      <c r="M819" s="47">
        <v>2459.2282922583931</v>
      </c>
      <c r="N819" s="47">
        <v>1080.7301072026798</v>
      </c>
      <c r="O819" s="47">
        <v>2028.7531935765785</v>
      </c>
      <c r="P819" s="47">
        <v>3.0354728351904452</v>
      </c>
      <c r="Q819" s="41" t="s">
        <v>137</v>
      </c>
    </row>
    <row r="820" spans="1:17" x14ac:dyDescent="0.25">
      <c r="A820" s="40" t="s">
        <v>162</v>
      </c>
      <c r="B820" s="40" t="s">
        <v>18</v>
      </c>
      <c r="C820" s="40" t="s">
        <v>19</v>
      </c>
      <c r="D820" s="40" t="s">
        <v>20</v>
      </c>
      <c r="E820" s="40" t="s">
        <v>21</v>
      </c>
      <c r="F820" s="40" t="s">
        <v>118</v>
      </c>
      <c r="G820" s="40" t="s">
        <v>119</v>
      </c>
      <c r="H820" s="40" t="s">
        <v>172</v>
      </c>
      <c r="I820" s="40" t="s">
        <v>181</v>
      </c>
      <c r="J820" s="47">
        <v>25.540898836705811</v>
      </c>
      <c r="K820" s="47">
        <v>22.696006627049307</v>
      </c>
      <c r="L820" s="47">
        <v>1.5388303917555981</v>
      </c>
      <c r="M820" s="47">
        <v>3947.4999569706579</v>
      </c>
      <c r="N820" s="47">
        <v>835.38560002345503</v>
      </c>
      <c r="O820" s="47">
        <v>445.80963173668931</v>
      </c>
      <c r="P820" s="47">
        <v>5.3977717604347628</v>
      </c>
      <c r="Q820" s="41" t="s">
        <v>26</v>
      </c>
    </row>
    <row r="821" spans="1:17" x14ac:dyDescent="0.25">
      <c r="A821" s="40" t="s">
        <v>162</v>
      </c>
      <c r="B821" s="40" t="s">
        <v>18</v>
      </c>
      <c r="C821" s="40" t="s">
        <v>19</v>
      </c>
      <c r="D821" s="40" t="s">
        <v>20</v>
      </c>
      <c r="E821" s="40" t="s">
        <v>21</v>
      </c>
      <c r="F821" s="40" t="s">
        <v>120</v>
      </c>
      <c r="G821" s="40" t="s">
        <v>121</v>
      </c>
      <c r="H821" s="40" t="s">
        <v>172</v>
      </c>
      <c r="I821" s="40" t="s">
        <v>173</v>
      </c>
      <c r="J821" s="47">
        <v>0.20211611374407581</v>
      </c>
      <c r="K821" s="47">
        <v>0.17879620853080569</v>
      </c>
      <c r="L821" s="47">
        <v>5.6836492890995273E-2</v>
      </c>
      <c r="M821" s="47">
        <v>207.20724644549765</v>
      </c>
      <c r="N821" s="47">
        <v>8.7564652448657192</v>
      </c>
      <c r="O821" s="47">
        <v>15.80528909952606</v>
      </c>
      <c r="P821" s="47">
        <v>0.20387203791469197</v>
      </c>
      <c r="Q821" s="41" t="s">
        <v>26</v>
      </c>
    </row>
    <row r="822" spans="1:17" x14ac:dyDescent="0.25">
      <c r="A822" s="40" t="s">
        <v>162</v>
      </c>
      <c r="B822" s="40" t="s">
        <v>18</v>
      </c>
      <c r="C822" s="40" t="s">
        <v>19</v>
      </c>
      <c r="D822" s="40" t="s">
        <v>20</v>
      </c>
      <c r="E822" s="40" t="s">
        <v>21</v>
      </c>
      <c r="F822" s="40" t="s">
        <v>120</v>
      </c>
      <c r="G822" s="40" t="s">
        <v>121</v>
      </c>
      <c r="H822" s="40" t="s">
        <v>172</v>
      </c>
      <c r="I822" s="40" t="s">
        <v>174</v>
      </c>
      <c r="J822" s="47">
        <v>10.443063212325072</v>
      </c>
      <c r="K822" s="47">
        <v>9.2382995872752627</v>
      </c>
      <c r="L822" s="47">
        <v>0.55083368383372577</v>
      </c>
      <c r="M822" s="47">
        <v>1436.3128914278395</v>
      </c>
      <c r="N822" s="47">
        <v>382.769593791658</v>
      </c>
      <c r="O822" s="47">
        <v>126.48302106799169</v>
      </c>
      <c r="P822" s="47">
        <v>2.0970341833446597</v>
      </c>
      <c r="Q822" s="41" t="s">
        <v>26</v>
      </c>
    </row>
    <row r="823" spans="1:17" x14ac:dyDescent="0.25">
      <c r="A823" s="40" t="s">
        <v>162</v>
      </c>
      <c r="B823" s="40" t="s">
        <v>18</v>
      </c>
      <c r="C823" s="40" t="s">
        <v>19</v>
      </c>
      <c r="D823" s="40" t="s">
        <v>20</v>
      </c>
      <c r="E823" s="40" t="s">
        <v>21</v>
      </c>
      <c r="F823" s="40" t="s">
        <v>120</v>
      </c>
      <c r="G823" s="40" t="s">
        <v>121</v>
      </c>
      <c r="H823" s="40" t="s">
        <v>172</v>
      </c>
      <c r="I823" s="40" t="s">
        <v>175</v>
      </c>
      <c r="J823" s="47">
        <v>0.19751445600925185</v>
      </c>
      <c r="K823" s="47">
        <v>0.17473534383062003</v>
      </c>
      <c r="L823" s="47">
        <v>3.4112623432078992E-2</v>
      </c>
      <c r="M823" s="47">
        <v>85.951761482331932</v>
      </c>
      <c r="N823" s="47">
        <v>42.259593847163224</v>
      </c>
      <c r="O823" s="47">
        <v>3.9575085253387896</v>
      </c>
      <c r="P823" s="47">
        <v>9.5629118107488351E-2</v>
      </c>
      <c r="Q823" s="41" t="s">
        <v>26</v>
      </c>
    </row>
    <row r="824" spans="1:17" x14ac:dyDescent="0.25">
      <c r="A824" s="40" t="s">
        <v>162</v>
      </c>
      <c r="B824" s="40" t="s">
        <v>18</v>
      </c>
      <c r="C824" s="40" t="s">
        <v>19</v>
      </c>
      <c r="D824" s="40" t="s">
        <v>20</v>
      </c>
      <c r="E824" s="40" t="s">
        <v>21</v>
      </c>
      <c r="F824" s="40" t="s">
        <v>120</v>
      </c>
      <c r="G824" s="40" t="s">
        <v>121</v>
      </c>
      <c r="H824" s="40" t="s">
        <v>172</v>
      </c>
      <c r="I824" s="40" t="s">
        <v>176</v>
      </c>
      <c r="J824" s="47">
        <v>1.8584322306057826</v>
      </c>
      <c r="K824" s="47">
        <v>1.6478993987788189</v>
      </c>
      <c r="L824" s="47">
        <v>0.21387257526364511</v>
      </c>
      <c r="M824" s="47">
        <v>419.51286662087216</v>
      </c>
      <c r="N824" s="47">
        <v>93.651560259906375</v>
      </c>
      <c r="O824" s="47">
        <v>45.675097967886117</v>
      </c>
      <c r="P824" s="47">
        <v>0.65312178071399885</v>
      </c>
      <c r="Q824" s="41" t="s">
        <v>26</v>
      </c>
    </row>
    <row r="825" spans="1:17" x14ac:dyDescent="0.25">
      <c r="A825" s="40" t="s">
        <v>162</v>
      </c>
      <c r="B825" s="40" t="s">
        <v>18</v>
      </c>
      <c r="C825" s="40" t="s">
        <v>19</v>
      </c>
      <c r="D825" s="40" t="s">
        <v>20</v>
      </c>
      <c r="E825" s="40" t="s">
        <v>21</v>
      </c>
      <c r="F825" s="40" t="s">
        <v>120</v>
      </c>
      <c r="G825" s="40" t="s">
        <v>121</v>
      </c>
      <c r="H825" s="40" t="s">
        <v>172</v>
      </c>
      <c r="I825" s="40" t="s">
        <v>177</v>
      </c>
      <c r="J825" s="47">
        <v>0</v>
      </c>
      <c r="K825" s="47">
        <v>0</v>
      </c>
      <c r="L825" s="47">
        <v>0</v>
      </c>
      <c r="M825" s="47">
        <v>0</v>
      </c>
      <c r="N825" s="47">
        <v>0</v>
      </c>
      <c r="O825" s="47">
        <v>0</v>
      </c>
      <c r="P825" s="47">
        <v>0</v>
      </c>
      <c r="Q825" s="41" t="s">
        <v>26</v>
      </c>
    </row>
    <row r="826" spans="1:17" x14ac:dyDescent="0.25">
      <c r="A826" s="40" t="s">
        <v>162</v>
      </c>
      <c r="B826" s="40" t="s">
        <v>18</v>
      </c>
      <c r="C826" s="40" t="s">
        <v>19</v>
      </c>
      <c r="D826" s="40" t="s">
        <v>20</v>
      </c>
      <c r="E826" s="40" t="s">
        <v>21</v>
      </c>
      <c r="F826" s="40" t="s">
        <v>120</v>
      </c>
      <c r="G826" s="40" t="s">
        <v>121</v>
      </c>
      <c r="H826" s="40" t="s">
        <v>172</v>
      </c>
      <c r="I826" s="40" t="s">
        <v>178</v>
      </c>
      <c r="J826" s="47">
        <v>3.1964204988308653</v>
      </c>
      <c r="K826" s="47">
        <v>2.9406605611847243</v>
      </c>
      <c r="L826" s="47">
        <v>4.9279033515198759E-2</v>
      </c>
      <c r="M826" s="47">
        <v>80.959691153546387</v>
      </c>
      <c r="N826" s="47">
        <v>44.851540335151988</v>
      </c>
      <c r="O826" s="47">
        <v>57.693682774746698</v>
      </c>
      <c r="P826" s="47">
        <v>8.8000779423226802E-2</v>
      </c>
      <c r="Q826" s="41" t="s">
        <v>137</v>
      </c>
    </row>
    <row r="827" spans="1:17" x14ac:dyDescent="0.25">
      <c r="A827" s="40" t="s">
        <v>162</v>
      </c>
      <c r="B827" s="40" t="s">
        <v>18</v>
      </c>
      <c r="C827" s="40" t="s">
        <v>19</v>
      </c>
      <c r="D827" s="40" t="s">
        <v>20</v>
      </c>
      <c r="E827" s="40" t="s">
        <v>21</v>
      </c>
      <c r="F827" s="40" t="s">
        <v>120</v>
      </c>
      <c r="G827" s="40" t="s">
        <v>121</v>
      </c>
      <c r="H827" s="40" t="s">
        <v>172</v>
      </c>
      <c r="I827" s="40" t="s">
        <v>179</v>
      </c>
      <c r="J827" s="47">
        <v>5.8713283099160556</v>
      </c>
      <c r="K827" s="47">
        <v>5.3951022987205492</v>
      </c>
      <c r="L827" s="47">
        <v>0.19617900219755277</v>
      </c>
      <c r="M827" s="47">
        <v>393.09135622124046</v>
      </c>
      <c r="N827" s="47">
        <v>111.08549806591337</v>
      </c>
      <c r="O827" s="47">
        <v>213.40421412882012</v>
      </c>
      <c r="P827" s="47">
        <v>0.44060353368520788</v>
      </c>
      <c r="Q827" s="41" t="s">
        <v>137</v>
      </c>
    </row>
    <row r="828" spans="1:17" x14ac:dyDescent="0.25">
      <c r="A828" s="40" t="s">
        <v>162</v>
      </c>
      <c r="B828" s="40" t="s">
        <v>18</v>
      </c>
      <c r="C828" s="40" t="s">
        <v>19</v>
      </c>
      <c r="D828" s="40" t="s">
        <v>20</v>
      </c>
      <c r="E828" s="40" t="s">
        <v>21</v>
      </c>
      <c r="F828" s="40" t="s">
        <v>120</v>
      </c>
      <c r="G828" s="40" t="s">
        <v>121</v>
      </c>
      <c r="H828" s="40" t="s">
        <v>172</v>
      </c>
      <c r="I828" s="40" t="s">
        <v>180</v>
      </c>
      <c r="J828" s="47">
        <v>26.217289927900374</v>
      </c>
      <c r="K828" s="47">
        <v>24.1189143543806</v>
      </c>
      <c r="L828" s="47">
        <v>0.54793194232029707</v>
      </c>
      <c r="M828" s="47">
        <v>1051.3123873716409</v>
      </c>
      <c r="N828" s="47">
        <v>462.00873366834156</v>
      </c>
      <c r="O828" s="47">
        <v>867.28563185492692</v>
      </c>
      <c r="P828" s="47">
        <v>1.2976551234433036</v>
      </c>
      <c r="Q828" s="41" t="s">
        <v>137</v>
      </c>
    </row>
    <row r="829" spans="1:17" x14ac:dyDescent="0.25">
      <c r="A829" s="40" t="s">
        <v>162</v>
      </c>
      <c r="B829" s="40" t="s">
        <v>18</v>
      </c>
      <c r="C829" s="40" t="s">
        <v>19</v>
      </c>
      <c r="D829" s="40" t="s">
        <v>20</v>
      </c>
      <c r="E829" s="40" t="s">
        <v>21</v>
      </c>
      <c r="F829" s="40" t="s">
        <v>120</v>
      </c>
      <c r="G829" s="40" t="s">
        <v>121</v>
      </c>
      <c r="H829" s="40" t="s">
        <v>172</v>
      </c>
      <c r="I829" s="40" t="s">
        <v>181</v>
      </c>
      <c r="J829" s="47">
        <v>6.7355948006515689</v>
      </c>
      <c r="K829" s="47">
        <v>5.9814304941474719</v>
      </c>
      <c r="L829" s="47">
        <v>0.4147663575187871</v>
      </c>
      <c r="M829" s="47">
        <v>1088.9672963858432</v>
      </c>
      <c r="N829" s="47">
        <v>228.19284707841405</v>
      </c>
      <c r="O829" s="47">
        <v>124.9739997416943</v>
      </c>
      <c r="P829" s="47">
        <v>1.4470586957048388</v>
      </c>
      <c r="Q829" s="41" t="s">
        <v>26</v>
      </c>
    </row>
    <row r="830" spans="1:17" x14ac:dyDescent="0.25">
      <c r="A830" s="40" t="s">
        <v>182</v>
      </c>
      <c r="B830" s="40" t="s">
        <v>18</v>
      </c>
      <c r="C830" s="40" t="s">
        <v>19</v>
      </c>
      <c r="D830" s="40" t="s">
        <v>20</v>
      </c>
      <c r="E830" s="40" t="s">
        <v>21</v>
      </c>
      <c r="F830" s="40" t="s">
        <v>183</v>
      </c>
      <c r="G830" s="40" t="s">
        <v>23</v>
      </c>
      <c r="H830" s="40" t="s">
        <v>26</v>
      </c>
      <c r="I830" s="40" t="s">
        <v>184</v>
      </c>
      <c r="J830" s="40">
        <v>3.9502080000000009E-2</v>
      </c>
      <c r="K830" s="40">
        <v>9.8949983431952677E-3</v>
      </c>
      <c r="L830" s="40">
        <v>0.22439051360946749</v>
      </c>
      <c r="M830" s="40">
        <v>0.19751040000000003</v>
      </c>
      <c r="N830" s="40">
        <v>0.79004160000000012</v>
      </c>
      <c r="O830" s="40">
        <v>7.9082073372781069E-3</v>
      </c>
      <c r="P830" s="40">
        <v>3.15938726627219E-2</v>
      </c>
      <c r="Q830" s="41" t="s">
        <v>26</v>
      </c>
    </row>
    <row r="831" spans="1:17" x14ac:dyDescent="0.25">
      <c r="A831" s="40" t="s">
        <v>182</v>
      </c>
      <c r="B831" s="40" t="s">
        <v>18</v>
      </c>
      <c r="C831" s="40" t="s">
        <v>19</v>
      </c>
      <c r="D831" s="40" t="s">
        <v>20</v>
      </c>
      <c r="E831" s="40" t="s">
        <v>21</v>
      </c>
      <c r="F831" s="40" t="s">
        <v>183</v>
      </c>
      <c r="G831" s="40" t="s">
        <v>23</v>
      </c>
      <c r="H831" s="40" t="s">
        <v>26</v>
      </c>
      <c r="I831" s="40" t="s">
        <v>185</v>
      </c>
      <c r="J831" s="40">
        <v>0.33290259999999999</v>
      </c>
      <c r="K831" s="40">
        <v>0.25108930000000002</v>
      </c>
      <c r="L831" s="40">
        <v>0</v>
      </c>
      <c r="M831" s="40">
        <v>0.5494</v>
      </c>
      <c r="N831" s="40">
        <v>0.96450000000000002</v>
      </c>
      <c r="O831" s="40">
        <v>2.3800000000000002E-2</v>
      </c>
      <c r="P831" s="40">
        <v>0</v>
      </c>
      <c r="Q831" s="41" t="s">
        <v>26</v>
      </c>
    </row>
    <row r="832" spans="1:17" x14ac:dyDescent="0.25">
      <c r="A832" s="40" t="s">
        <v>182</v>
      </c>
      <c r="B832" s="40" t="s">
        <v>18</v>
      </c>
      <c r="C832" s="40" t="s">
        <v>19</v>
      </c>
      <c r="D832" s="40" t="s">
        <v>20</v>
      </c>
      <c r="E832" s="40" t="s">
        <v>21</v>
      </c>
      <c r="F832" s="40" t="s">
        <v>189</v>
      </c>
      <c r="G832" s="40" t="s">
        <v>36</v>
      </c>
      <c r="H832" s="40" t="s">
        <v>26</v>
      </c>
      <c r="I832" s="40" t="s">
        <v>187</v>
      </c>
      <c r="J832" s="40">
        <v>49.924619325619361</v>
      </c>
      <c r="K832" s="40">
        <v>38.324904931539933</v>
      </c>
      <c r="L832" s="40">
        <v>0.2707660950098853</v>
      </c>
      <c r="M832" s="40">
        <v>25.457045602712785</v>
      </c>
      <c r="N832" s="40">
        <v>31.603009471814918</v>
      </c>
      <c r="O832" s="40">
        <v>549.65037225212063</v>
      </c>
      <c r="P832" s="40">
        <v>0.84206685165358719</v>
      </c>
      <c r="Q832" s="41" t="s">
        <v>26</v>
      </c>
    </row>
    <row r="833" spans="1:17" x14ac:dyDescent="0.25">
      <c r="A833" s="40" t="s">
        <v>182</v>
      </c>
      <c r="B833" s="40" t="s">
        <v>18</v>
      </c>
      <c r="C833" s="40" t="s">
        <v>19</v>
      </c>
      <c r="D833" s="40" t="s">
        <v>20</v>
      </c>
      <c r="E833" s="40" t="s">
        <v>21</v>
      </c>
      <c r="F833" s="40" t="s">
        <v>189</v>
      </c>
      <c r="G833" s="40" t="s">
        <v>36</v>
      </c>
      <c r="H833" s="40" t="s">
        <v>26</v>
      </c>
      <c r="I833" s="40" t="s">
        <v>190</v>
      </c>
      <c r="J833" s="40">
        <v>5.5713913801732255</v>
      </c>
      <c r="K833" s="40">
        <v>2.6597993374083817</v>
      </c>
      <c r="L833" s="40">
        <v>0.23608507926445016</v>
      </c>
      <c r="M833" s="40">
        <v>14.675735976187671</v>
      </c>
      <c r="N833" s="40">
        <v>23.336242154033318</v>
      </c>
      <c r="O833" s="40">
        <v>0.91084196156546204</v>
      </c>
      <c r="P833" s="40">
        <v>0.3336572293660246</v>
      </c>
      <c r="Q833" s="41" t="s">
        <v>26</v>
      </c>
    </row>
    <row r="834" spans="1:17" x14ac:dyDescent="0.25">
      <c r="A834" s="40" t="s">
        <v>182</v>
      </c>
      <c r="B834" s="40" t="s">
        <v>18</v>
      </c>
      <c r="C834" s="40" t="s">
        <v>19</v>
      </c>
      <c r="D834" s="40" t="s">
        <v>20</v>
      </c>
      <c r="E834" s="40" t="s">
        <v>21</v>
      </c>
      <c r="F834" s="40" t="s">
        <v>189</v>
      </c>
      <c r="G834" s="40" t="s">
        <v>36</v>
      </c>
      <c r="H834" s="40" t="s">
        <v>26</v>
      </c>
      <c r="I834" s="40" t="s">
        <v>191</v>
      </c>
      <c r="J834" s="40">
        <v>8.8581121721869208E-5</v>
      </c>
      <c r="K834" s="40">
        <v>8.2285263733703525E-5</v>
      </c>
      <c r="L834" s="40">
        <v>5.4072476940744182E-5</v>
      </c>
      <c r="M834" s="40">
        <v>9.2806272968165755E-4</v>
      </c>
      <c r="N834" s="40">
        <v>1.2227887897166894E-3</v>
      </c>
      <c r="O834" s="40">
        <v>5.9670785171036901E-5</v>
      </c>
      <c r="P834" s="40">
        <v>4.0563921001368226E-5</v>
      </c>
      <c r="Q834" s="41" t="s">
        <v>137</v>
      </c>
    </row>
    <row r="835" spans="1:17" x14ac:dyDescent="0.25">
      <c r="A835" s="40" t="s">
        <v>182</v>
      </c>
      <c r="B835" s="40" t="s">
        <v>18</v>
      </c>
      <c r="C835" s="40" t="s">
        <v>19</v>
      </c>
      <c r="D835" s="40" t="s">
        <v>20</v>
      </c>
      <c r="E835" s="40" t="s">
        <v>21</v>
      </c>
      <c r="F835" s="40" t="s">
        <v>189</v>
      </c>
      <c r="G835" s="40" t="s">
        <v>36</v>
      </c>
      <c r="H835" s="40" t="s">
        <v>26</v>
      </c>
      <c r="I835" s="40" t="s">
        <v>184</v>
      </c>
      <c r="J835" s="40">
        <v>1.9711029950000005</v>
      </c>
      <c r="K835" s="40">
        <v>1.1949884700000002</v>
      </c>
      <c r="L835" s="40">
        <v>1.9422720000000001E-6</v>
      </c>
      <c r="M835" s="40">
        <v>3.9755880000000007E-2</v>
      </c>
      <c r="N835" s="40">
        <v>6.9800399999999999E-2</v>
      </c>
      <c r="O835" s="40">
        <v>1.7198854828945063E-3</v>
      </c>
      <c r="P835" s="40">
        <v>0</v>
      </c>
      <c r="Q835" s="41" t="s">
        <v>26</v>
      </c>
    </row>
    <row r="836" spans="1:17" x14ac:dyDescent="0.25">
      <c r="A836" s="40" t="s">
        <v>182</v>
      </c>
      <c r="B836" s="40" t="s">
        <v>18</v>
      </c>
      <c r="C836" s="40" t="s">
        <v>19</v>
      </c>
      <c r="D836" s="40" t="s">
        <v>20</v>
      </c>
      <c r="E836" s="40" t="s">
        <v>21</v>
      </c>
      <c r="F836" s="40" t="s">
        <v>189</v>
      </c>
      <c r="G836" s="40" t="s">
        <v>36</v>
      </c>
      <c r="H836" s="40" t="s">
        <v>26</v>
      </c>
      <c r="I836" s="40" t="s">
        <v>192</v>
      </c>
      <c r="J836" s="40">
        <v>8.7226267382129741E-2</v>
      </c>
      <c r="K836" s="40">
        <v>7.3599067382129735E-2</v>
      </c>
      <c r="L836" s="40">
        <v>1.0930176000000001E-7</v>
      </c>
      <c r="M836" s="40">
        <v>3.0372704E-3</v>
      </c>
      <c r="N836" s="40">
        <v>4.7280320000000001E-3</v>
      </c>
      <c r="O836" s="40">
        <v>1.1336035786395842</v>
      </c>
      <c r="P836" s="40">
        <v>0</v>
      </c>
      <c r="Q836" s="41" t="s">
        <v>26</v>
      </c>
    </row>
    <row r="837" spans="1:17" x14ac:dyDescent="0.25">
      <c r="A837" s="40" t="s">
        <v>182</v>
      </c>
      <c r="B837" s="40" t="s">
        <v>18</v>
      </c>
      <c r="C837" s="40" t="s">
        <v>19</v>
      </c>
      <c r="D837" s="40" t="s">
        <v>20</v>
      </c>
      <c r="E837" s="40" t="s">
        <v>21</v>
      </c>
      <c r="F837" s="40" t="s">
        <v>189</v>
      </c>
      <c r="G837" s="40" t="s">
        <v>36</v>
      </c>
      <c r="H837" s="40" t="s">
        <v>26</v>
      </c>
      <c r="I837" s="40" t="s">
        <v>193</v>
      </c>
      <c r="J837" s="40">
        <v>2.8822358153747264E-3</v>
      </c>
      <c r="K837" s="40">
        <v>2.8822358153747264E-3</v>
      </c>
      <c r="L837" s="40">
        <v>1.7886149749150764E-5</v>
      </c>
      <c r="M837" s="40">
        <v>3.0703328395910834E-2</v>
      </c>
      <c r="N837" s="40">
        <v>5.2606521374856531E-2</v>
      </c>
      <c r="O837" s="40">
        <v>1.3792820298163123E-3</v>
      </c>
      <c r="P837" s="40">
        <v>8.7847258367495734E-5</v>
      </c>
      <c r="Q837" s="41" t="s">
        <v>26</v>
      </c>
    </row>
    <row r="838" spans="1:17" x14ac:dyDescent="0.25">
      <c r="A838" s="40" t="s">
        <v>182</v>
      </c>
      <c r="B838" s="40" t="s">
        <v>18</v>
      </c>
      <c r="C838" s="40" t="s">
        <v>19</v>
      </c>
      <c r="D838" s="40" t="s">
        <v>20</v>
      </c>
      <c r="E838" s="40" t="s">
        <v>21</v>
      </c>
      <c r="F838" s="40" t="s">
        <v>189</v>
      </c>
      <c r="G838" s="40" t="s">
        <v>36</v>
      </c>
      <c r="H838" s="40" t="s">
        <v>26</v>
      </c>
      <c r="I838" s="40" t="s">
        <v>194</v>
      </c>
      <c r="J838" s="40">
        <v>6.8700000000000011E-2</v>
      </c>
      <c r="K838" s="40">
        <v>6.8700000000000011E-2</v>
      </c>
      <c r="L838" s="40">
        <v>5.4000000000000003E-3</v>
      </c>
      <c r="M838" s="40">
        <v>0.75880000000000003</v>
      </c>
      <c r="N838" s="40">
        <v>1.0977999999999999</v>
      </c>
      <c r="O838" s="40">
        <v>4.9600000000000005E-2</v>
      </c>
      <c r="P838" s="40">
        <v>2.8899999999999995E-2</v>
      </c>
      <c r="Q838" s="41" t="s">
        <v>26</v>
      </c>
    </row>
    <row r="839" spans="1:17" x14ac:dyDescent="0.25">
      <c r="A839" s="40" t="s">
        <v>182</v>
      </c>
      <c r="B839" s="40" t="s">
        <v>18</v>
      </c>
      <c r="C839" s="40" t="s">
        <v>19</v>
      </c>
      <c r="D839" s="40" t="s">
        <v>20</v>
      </c>
      <c r="E839" s="40" t="s">
        <v>21</v>
      </c>
      <c r="F839" s="40" t="s">
        <v>189</v>
      </c>
      <c r="G839" s="40" t="s">
        <v>36</v>
      </c>
      <c r="H839" s="40" t="s">
        <v>26</v>
      </c>
      <c r="I839" s="40" t="s">
        <v>195</v>
      </c>
      <c r="J839" s="40">
        <v>6.8879999999999994E-4</v>
      </c>
      <c r="K839" s="40">
        <v>4.8839999999999995E-4</v>
      </c>
      <c r="L839" s="40">
        <v>0</v>
      </c>
      <c r="M839" s="40">
        <v>0</v>
      </c>
      <c r="N839" s="40">
        <v>0</v>
      </c>
      <c r="O839" s="40">
        <v>4.002E-2</v>
      </c>
      <c r="P839" s="40">
        <v>0</v>
      </c>
      <c r="Q839" s="41" t="s">
        <v>26</v>
      </c>
    </row>
    <row r="840" spans="1:17" x14ac:dyDescent="0.25">
      <c r="A840" s="40" t="s">
        <v>182</v>
      </c>
      <c r="B840" s="40" t="s">
        <v>18</v>
      </c>
      <c r="C840" s="40" t="s">
        <v>19</v>
      </c>
      <c r="D840" s="40" t="s">
        <v>20</v>
      </c>
      <c r="E840" s="40" t="s">
        <v>21</v>
      </c>
      <c r="F840" s="40" t="s">
        <v>189</v>
      </c>
      <c r="G840" s="40" t="s">
        <v>36</v>
      </c>
      <c r="H840" s="40" t="s">
        <v>26</v>
      </c>
      <c r="I840" s="40" t="s">
        <v>196</v>
      </c>
      <c r="J840" s="40">
        <v>44.242797301754763</v>
      </c>
      <c r="K840" s="40">
        <v>35.34061105535897</v>
      </c>
      <c r="L840" s="40">
        <v>0.38113992333873115</v>
      </c>
      <c r="M840" s="40">
        <v>23.238371457744709</v>
      </c>
      <c r="N840" s="40">
        <v>29.072508040807573</v>
      </c>
      <c r="O840" s="40">
        <v>201.69346599088092</v>
      </c>
      <c r="P840" s="40">
        <v>0.81873342734298793</v>
      </c>
      <c r="Q840" s="41" t="s">
        <v>26</v>
      </c>
    </row>
    <row r="841" spans="1:17" x14ac:dyDescent="0.25">
      <c r="A841" s="40" t="s">
        <v>182</v>
      </c>
      <c r="B841" s="40" t="s">
        <v>18</v>
      </c>
      <c r="C841" s="40" t="s">
        <v>19</v>
      </c>
      <c r="D841" s="40" t="s">
        <v>20</v>
      </c>
      <c r="E841" s="40" t="s">
        <v>21</v>
      </c>
      <c r="F841" s="40" t="s">
        <v>189</v>
      </c>
      <c r="G841" s="40" t="s">
        <v>36</v>
      </c>
      <c r="H841" s="40" t="s">
        <v>26</v>
      </c>
      <c r="I841" s="40" t="s">
        <v>197</v>
      </c>
      <c r="J841" s="40">
        <v>3.3681240049771972</v>
      </c>
      <c r="K841" s="40">
        <v>1.8759827627151757</v>
      </c>
      <c r="L841" s="40">
        <v>0.10233514095656084</v>
      </c>
      <c r="M841" s="40">
        <v>5.6712049440390757</v>
      </c>
      <c r="N841" s="40">
        <v>0.96752270956142716</v>
      </c>
      <c r="O841" s="40">
        <v>0.24121161326393706</v>
      </c>
      <c r="P841" s="40">
        <v>3.1813798700039891E-2</v>
      </c>
      <c r="Q841" s="41" t="s">
        <v>26</v>
      </c>
    </row>
    <row r="842" spans="1:17" x14ac:dyDescent="0.25">
      <c r="A842" s="40" t="s">
        <v>182</v>
      </c>
      <c r="B842" s="40" t="s">
        <v>18</v>
      </c>
      <c r="C842" s="40" t="s">
        <v>19</v>
      </c>
      <c r="D842" s="40" t="s">
        <v>20</v>
      </c>
      <c r="E842" s="40" t="s">
        <v>21</v>
      </c>
      <c r="F842" s="40" t="s">
        <v>189</v>
      </c>
      <c r="G842" s="40" t="s">
        <v>36</v>
      </c>
      <c r="H842" s="40" t="s">
        <v>26</v>
      </c>
      <c r="I842" s="40" t="s">
        <v>198</v>
      </c>
      <c r="J842" s="40">
        <v>69.442916427562423</v>
      </c>
      <c r="K842" s="40">
        <v>43.797983892347858</v>
      </c>
      <c r="L842" s="40">
        <v>2.3099225824643428</v>
      </c>
      <c r="M842" s="40">
        <v>48.034873921211634</v>
      </c>
      <c r="N842" s="40">
        <v>77.145536368281469</v>
      </c>
      <c r="O842" s="40">
        <v>4.4315898491383203</v>
      </c>
      <c r="P842" s="40">
        <v>1.6542534207997672</v>
      </c>
      <c r="Q842" s="41" t="s">
        <v>26</v>
      </c>
    </row>
    <row r="843" spans="1:17" x14ac:dyDescent="0.25">
      <c r="A843" s="40" t="s">
        <v>182</v>
      </c>
      <c r="B843" s="40" t="s">
        <v>18</v>
      </c>
      <c r="C843" s="40" t="s">
        <v>19</v>
      </c>
      <c r="D843" s="40" t="s">
        <v>20</v>
      </c>
      <c r="E843" s="40" t="s">
        <v>21</v>
      </c>
      <c r="F843" s="40" t="s">
        <v>189</v>
      </c>
      <c r="G843" s="40" t="s">
        <v>36</v>
      </c>
      <c r="H843" s="40" t="s">
        <v>26</v>
      </c>
      <c r="I843" s="40" t="s">
        <v>199</v>
      </c>
      <c r="J843" s="40">
        <v>12.787476631396236</v>
      </c>
      <c r="K843" s="40">
        <v>9.121188723585588</v>
      </c>
      <c r="L843" s="40">
        <v>1.9996966008373918E-2</v>
      </c>
      <c r="M843" s="40">
        <v>2.0746948203631699</v>
      </c>
      <c r="N843" s="40">
        <v>2.5250439771855189</v>
      </c>
      <c r="O843" s="40">
        <v>0.75323416061294224</v>
      </c>
      <c r="P843" s="40">
        <v>0.87706839556410576</v>
      </c>
      <c r="Q843" s="41" t="s">
        <v>26</v>
      </c>
    </row>
    <row r="844" spans="1:17" x14ac:dyDescent="0.25">
      <c r="A844" s="40" t="s">
        <v>182</v>
      </c>
      <c r="B844" s="40" t="s">
        <v>18</v>
      </c>
      <c r="C844" s="40" t="s">
        <v>19</v>
      </c>
      <c r="D844" s="40" t="s">
        <v>20</v>
      </c>
      <c r="E844" s="40" t="s">
        <v>21</v>
      </c>
      <c r="F844" s="40" t="s">
        <v>189</v>
      </c>
      <c r="G844" s="40" t="s">
        <v>36</v>
      </c>
      <c r="H844" s="40" t="s">
        <v>26</v>
      </c>
      <c r="I844" s="40" t="s">
        <v>200</v>
      </c>
      <c r="J844" s="40">
        <v>27.218435416110712</v>
      </c>
      <c r="K844" s="40">
        <v>20.716493656110714</v>
      </c>
      <c r="L844" s="40">
        <v>6.5865452244410457E-3</v>
      </c>
      <c r="M844" s="40">
        <v>1.3849983097083063</v>
      </c>
      <c r="N844" s="40">
        <v>1.9100838158784414</v>
      </c>
      <c r="O844" s="40">
        <v>34.607625850783194</v>
      </c>
      <c r="P844" s="40">
        <v>3.5259142904489935E-2</v>
      </c>
      <c r="Q844" s="41" t="s">
        <v>26</v>
      </c>
    </row>
    <row r="845" spans="1:17" x14ac:dyDescent="0.25">
      <c r="A845" s="40" t="s">
        <v>182</v>
      </c>
      <c r="B845" s="40" t="s">
        <v>18</v>
      </c>
      <c r="C845" s="40" t="s">
        <v>19</v>
      </c>
      <c r="D845" s="40" t="s">
        <v>20</v>
      </c>
      <c r="E845" s="40" t="s">
        <v>21</v>
      </c>
      <c r="F845" s="40" t="s">
        <v>189</v>
      </c>
      <c r="G845" s="40" t="s">
        <v>36</v>
      </c>
      <c r="H845" s="40" t="s">
        <v>26</v>
      </c>
      <c r="I845" s="40" t="s">
        <v>185</v>
      </c>
      <c r="J845" s="40">
        <v>34.362149837084701</v>
      </c>
      <c r="K845" s="40">
        <v>15.994070233913101</v>
      </c>
      <c r="L845" s="40">
        <v>2.5889630465807799E-2</v>
      </c>
      <c r="M845" s="40">
        <v>3.3504802629516806</v>
      </c>
      <c r="N845" s="40">
        <v>4.1969128910077655</v>
      </c>
      <c r="O845" s="40">
        <v>126.73631104056861</v>
      </c>
      <c r="P845" s="40">
        <v>0.11631135211275383</v>
      </c>
      <c r="Q845" s="41" t="s">
        <v>26</v>
      </c>
    </row>
    <row r="846" spans="1:17" x14ac:dyDescent="0.25">
      <c r="A846" s="40" t="s">
        <v>182</v>
      </c>
      <c r="B846" s="40" t="s">
        <v>18</v>
      </c>
      <c r="C846" s="40" t="s">
        <v>19</v>
      </c>
      <c r="D846" s="40" t="s">
        <v>20</v>
      </c>
      <c r="E846" s="40" t="s">
        <v>21</v>
      </c>
      <c r="F846" s="40" t="s">
        <v>201</v>
      </c>
      <c r="G846" s="40" t="s">
        <v>42</v>
      </c>
      <c r="H846" s="40" t="s">
        <v>26</v>
      </c>
      <c r="I846" s="40" t="s">
        <v>190</v>
      </c>
      <c r="J846" s="40">
        <v>1.8373440000000001E-2</v>
      </c>
      <c r="K846" s="40">
        <v>4.6024198816568039E-3</v>
      </c>
      <c r="L846" s="40">
        <v>0.10436983668639054</v>
      </c>
      <c r="M846" s="40">
        <v>9.1867199999999996E-2</v>
      </c>
      <c r="N846" s="40">
        <v>0.36746879999999998</v>
      </c>
      <c r="O846" s="40">
        <v>3.6783119526627218E-3</v>
      </c>
      <c r="P846" s="40">
        <v>1.469512804733728E-2</v>
      </c>
      <c r="Q846" s="41" t="s">
        <v>26</v>
      </c>
    </row>
    <row r="847" spans="1:17" x14ac:dyDescent="0.25">
      <c r="A847" s="40" t="s">
        <v>182</v>
      </c>
      <c r="B847" s="40" t="s">
        <v>18</v>
      </c>
      <c r="C847" s="40" t="s">
        <v>19</v>
      </c>
      <c r="D847" s="40" t="s">
        <v>20</v>
      </c>
      <c r="E847" s="40" t="s">
        <v>21</v>
      </c>
      <c r="F847" s="40" t="s">
        <v>201</v>
      </c>
      <c r="G847" s="40" t="s">
        <v>42</v>
      </c>
      <c r="H847" s="40" t="s">
        <v>26</v>
      </c>
      <c r="I847" s="40" t="s">
        <v>195</v>
      </c>
      <c r="J847" s="40">
        <v>0.1964060856</v>
      </c>
      <c r="K847" s="40">
        <v>0.1486538871420639</v>
      </c>
      <c r="L847" s="40">
        <v>0.4204965777521894</v>
      </c>
      <c r="M847" s="40">
        <v>0.39717028199999999</v>
      </c>
      <c r="N847" s="40">
        <v>3.1843280562</v>
      </c>
      <c r="O847" s="40">
        <v>1.6381176228745561E-2</v>
      </c>
      <c r="P847" s="40">
        <v>4.6068639053254437E-2</v>
      </c>
      <c r="Q847" s="41" t="s">
        <v>26</v>
      </c>
    </row>
    <row r="848" spans="1:17" x14ac:dyDescent="0.25">
      <c r="A848" s="40" t="s">
        <v>182</v>
      </c>
      <c r="B848" s="40" t="s">
        <v>18</v>
      </c>
      <c r="C848" s="40" t="s">
        <v>19</v>
      </c>
      <c r="D848" s="40" t="s">
        <v>20</v>
      </c>
      <c r="E848" s="40" t="s">
        <v>21</v>
      </c>
      <c r="F848" s="40" t="s">
        <v>202</v>
      </c>
      <c r="G848" s="40" t="s">
        <v>44</v>
      </c>
      <c r="H848" s="40" t="s">
        <v>26</v>
      </c>
      <c r="I848" s="40" t="s">
        <v>187</v>
      </c>
      <c r="J848" s="40">
        <v>0</v>
      </c>
      <c r="K848" s="40">
        <v>0</v>
      </c>
      <c r="L848" s="40">
        <v>0</v>
      </c>
      <c r="M848" s="40">
        <v>0</v>
      </c>
      <c r="N848" s="40">
        <v>0</v>
      </c>
      <c r="O848" s="40">
        <v>33.52384</v>
      </c>
      <c r="P848" s="40">
        <v>0</v>
      </c>
      <c r="Q848" s="41" t="s">
        <v>26</v>
      </c>
    </row>
    <row r="849" spans="1:17" x14ac:dyDescent="0.25">
      <c r="A849" s="40" t="s">
        <v>182</v>
      </c>
      <c r="B849" s="40" t="s">
        <v>18</v>
      </c>
      <c r="C849" s="40" t="s">
        <v>19</v>
      </c>
      <c r="D849" s="40" t="s">
        <v>20</v>
      </c>
      <c r="E849" s="40" t="s">
        <v>21</v>
      </c>
      <c r="F849" s="40" t="s">
        <v>202</v>
      </c>
      <c r="G849" s="40" t="s">
        <v>44</v>
      </c>
      <c r="H849" s="40" t="s">
        <v>26</v>
      </c>
      <c r="I849" s="40" t="s">
        <v>190</v>
      </c>
      <c r="J849" s="40">
        <v>1.0961392779475914</v>
      </c>
      <c r="K849" s="40">
        <v>1.0961392779475914</v>
      </c>
      <c r="L849" s="40">
        <v>8.5838927630057793E-2</v>
      </c>
      <c r="M849" s="40">
        <v>12.112017758742775</v>
      </c>
      <c r="N849" s="40">
        <v>14.451939698135446</v>
      </c>
      <c r="O849" s="40">
        <v>0.79175137258632144</v>
      </c>
      <c r="P849" s="40">
        <v>0.46058427763527321</v>
      </c>
      <c r="Q849" s="41" t="s">
        <v>26</v>
      </c>
    </row>
    <row r="850" spans="1:17" x14ac:dyDescent="0.25">
      <c r="A850" s="40" t="s">
        <v>182</v>
      </c>
      <c r="B850" s="40" t="s">
        <v>18</v>
      </c>
      <c r="C850" s="40" t="s">
        <v>19</v>
      </c>
      <c r="D850" s="40" t="s">
        <v>20</v>
      </c>
      <c r="E850" s="40" t="s">
        <v>21</v>
      </c>
      <c r="F850" s="40" t="s">
        <v>202</v>
      </c>
      <c r="G850" s="40" t="s">
        <v>44</v>
      </c>
      <c r="H850" s="40" t="s">
        <v>26</v>
      </c>
      <c r="I850" s="40" t="s">
        <v>203</v>
      </c>
      <c r="J850" s="40">
        <v>15.480543752896869</v>
      </c>
      <c r="K850" s="40">
        <v>10.91631827909687</v>
      </c>
      <c r="L850" s="40">
        <v>21.381032599343815</v>
      </c>
      <c r="M850" s="40">
        <v>0.48309384754233953</v>
      </c>
      <c r="N850" s="40">
        <v>2.5046650834843893</v>
      </c>
      <c r="O850" s="40">
        <v>2.318173243970488E-2</v>
      </c>
      <c r="P850" s="40">
        <v>2.8670496E-2</v>
      </c>
      <c r="Q850" s="41" t="s">
        <v>26</v>
      </c>
    </row>
    <row r="851" spans="1:17" x14ac:dyDescent="0.25">
      <c r="A851" s="40" t="s">
        <v>182</v>
      </c>
      <c r="B851" s="40" t="s">
        <v>18</v>
      </c>
      <c r="C851" s="40" t="s">
        <v>19</v>
      </c>
      <c r="D851" s="40" t="s">
        <v>20</v>
      </c>
      <c r="E851" s="40" t="s">
        <v>21</v>
      </c>
      <c r="F851" s="40" t="s">
        <v>202</v>
      </c>
      <c r="G851" s="40" t="s">
        <v>44</v>
      </c>
      <c r="H851" s="40" t="s">
        <v>26</v>
      </c>
      <c r="I851" s="40" t="s">
        <v>194</v>
      </c>
      <c r="J851" s="40">
        <v>0.52519495062228128</v>
      </c>
      <c r="K851" s="40">
        <v>0.49850835062228127</v>
      </c>
      <c r="L851" s="40">
        <v>3.4213318199541078E-2</v>
      </c>
      <c r="M851" s="40">
        <v>4.7907933290255018</v>
      </c>
      <c r="N851" s="40">
        <v>5.8946398279010408</v>
      </c>
      <c r="O851" s="40">
        <v>0.99291185024142736</v>
      </c>
      <c r="P851" s="40">
        <v>0.18309898374667927</v>
      </c>
      <c r="Q851" s="41" t="s">
        <v>26</v>
      </c>
    </row>
    <row r="852" spans="1:17" x14ac:dyDescent="0.25">
      <c r="A852" s="40" t="s">
        <v>182</v>
      </c>
      <c r="B852" s="40" t="s">
        <v>18</v>
      </c>
      <c r="C852" s="40" t="s">
        <v>19</v>
      </c>
      <c r="D852" s="40" t="s">
        <v>20</v>
      </c>
      <c r="E852" s="40" t="s">
        <v>21</v>
      </c>
      <c r="F852" s="40" t="s">
        <v>204</v>
      </c>
      <c r="G852" s="40" t="s">
        <v>48</v>
      </c>
      <c r="H852" s="40" t="s">
        <v>26</v>
      </c>
      <c r="I852" s="40" t="s">
        <v>187</v>
      </c>
      <c r="J852" s="40">
        <v>1.7114858653751552</v>
      </c>
      <c r="K852" s="40">
        <v>1.1822422405230846</v>
      </c>
      <c r="L852" s="40">
        <v>2.249019609883363</v>
      </c>
      <c r="M852" s="40">
        <v>7.5969747815084752</v>
      </c>
      <c r="N852" s="40">
        <v>14.840277861771581</v>
      </c>
      <c r="O852" s="40">
        <v>9.5339500066668794</v>
      </c>
      <c r="P852" s="40">
        <v>0.50537178986655773</v>
      </c>
      <c r="Q852" s="41" t="s">
        <v>26</v>
      </c>
    </row>
    <row r="853" spans="1:17" x14ac:dyDescent="0.25">
      <c r="A853" s="40" t="s">
        <v>182</v>
      </c>
      <c r="B853" s="40" t="s">
        <v>18</v>
      </c>
      <c r="C853" s="40" t="s">
        <v>19</v>
      </c>
      <c r="D853" s="40" t="s">
        <v>20</v>
      </c>
      <c r="E853" s="40" t="s">
        <v>21</v>
      </c>
      <c r="F853" s="40" t="s">
        <v>204</v>
      </c>
      <c r="G853" s="40" t="s">
        <v>48</v>
      </c>
      <c r="H853" s="40" t="s">
        <v>26</v>
      </c>
      <c r="I853" s="40" t="s">
        <v>190</v>
      </c>
      <c r="J853" s="40">
        <v>4.4679911780639996</v>
      </c>
      <c r="K853" s="40">
        <v>2.8963799839101543</v>
      </c>
      <c r="L853" s="40">
        <v>79.9267593401147</v>
      </c>
      <c r="M853" s="40">
        <v>0.84853089599999998</v>
      </c>
      <c r="N853" s="40">
        <v>8.0571436799999994</v>
      </c>
      <c r="O853" s="40">
        <v>4.4660088157062371E-2</v>
      </c>
      <c r="P853" s="40">
        <v>0.13473489846153847</v>
      </c>
      <c r="Q853" s="41" t="s">
        <v>26</v>
      </c>
    </row>
    <row r="854" spans="1:17" x14ac:dyDescent="0.25">
      <c r="A854" s="40" t="s">
        <v>182</v>
      </c>
      <c r="B854" s="40" t="s">
        <v>18</v>
      </c>
      <c r="C854" s="40" t="s">
        <v>19</v>
      </c>
      <c r="D854" s="40" t="s">
        <v>20</v>
      </c>
      <c r="E854" s="40" t="s">
        <v>21</v>
      </c>
      <c r="F854" s="40" t="s">
        <v>204</v>
      </c>
      <c r="G854" s="40" t="s">
        <v>48</v>
      </c>
      <c r="H854" s="40" t="s">
        <v>26</v>
      </c>
      <c r="I854" s="40" t="s">
        <v>184</v>
      </c>
      <c r="J854" s="40">
        <v>2.2092407369605165</v>
      </c>
      <c r="K854" s="40">
        <v>2.1767916349723508</v>
      </c>
      <c r="L854" s="40">
        <v>0.16972490430641424</v>
      </c>
      <c r="M854" s="40">
        <v>23.511283177436148</v>
      </c>
      <c r="N854" s="40">
        <v>28.061209504553201</v>
      </c>
      <c r="O854" s="40">
        <v>1.5316246420105402</v>
      </c>
      <c r="P854" s="40">
        <v>0.89432073356842279</v>
      </c>
      <c r="Q854" s="41" t="s">
        <v>26</v>
      </c>
    </row>
    <row r="855" spans="1:17" x14ac:dyDescent="0.25">
      <c r="A855" s="40" t="s">
        <v>182</v>
      </c>
      <c r="B855" s="40" t="s">
        <v>18</v>
      </c>
      <c r="C855" s="40" t="s">
        <v>19</v>
      </c>
      <c r="D855" s="40" t="s">
        <v>20</v>
      </c>
      <c r="E855" s="40" t="s">
        <v>21</v>
      </c>
      <c r="F855" s="40" t="s">
        <v>204</v>
      </c>
      <c r="G855" s="40" t="s">
        <v>48</v>
      </c>
      <c r="H855" s="40" t="s">
        <v>26</v>
      </c>
      <c r="I855" s="40" t="s">
        <v>193</v>
      </c>
      <c r="J855" s="40">
        <v>1.317790087077549</v>
      </c>
      <c r="K855" s="40">
        <v>0.93862148471068518</v>
      </c>
      <c r="L855" s="40">
        <v>1.4934229121497777E-3</v>
      </c>
      <c r="M855" s="40">
        <v>0.1603499790346275</v>
      </c>
      <c r="N855" s="40">
        <v>0.27368123592912996</v>
      </c>
      <c r="O855" s="40">
        <v>7.3460669164128198E-3</v>
      </c>
      <c r="P855" s="40">
        <v>9.0199651351425777E-4</v>
      </c>
      <c r="Q855" s="41" t="s">
        <v>26</v>
      </c>
    </row>
    <row r="856" spans="1:17" x14ac:dyDescent="0.25">
      <c r="A856" s="40" t="s">
        <v>182</v>
      </c>
      <c r="B856" s="40" t="s">
        <v>18</v>
      </c>
      <c r="C856" s="40" t="s">
        <v>19</v>
      </c>
      <c r="D856" s="40" t="s">
        <v>20</v>
      </c>
      <c r="E856" s="40" t="s">
        <v>21</v>
      </c>
      <c r="F856" s="40" t="s">
        <v>204</v>
      </c>
      <c r="G856" s="40" t="s">
        <v>48</v>
      </c>
      <c r="H856" s="40" t="s">
        <v>26</v>
      </c>
      <c r="I856" s="40" t="s">
        <v>194</v>
      </c>
      <c r="J856" s="40">
        <v>5.04164E-2</v>
      </c>
      <c r="K856" s="40">
        <v>4.5640200000000006E-2</v>
      </c>
      <c r="L856" s="40">
        <v>2.7000000000000001E-3</v>
      </c>
      <c r="M856" s="40">
        <v>0.37630000000000002</v>
      </c>
      <c r="N856" s="40">
        <v>0.44800000000000001</v>
      </c>
      <c r="O856" s="40">
        <v>2.46E-2</v>
      </c>
      <c r="P856" s="40">
        <v>1.44E-2</v>
      </c>
      <c r="Q856" s="41" t="s">
        <v>26</v>
      </c>
    </row>
    <row r="857" spans="1:17" x14ac:dyDescent="0.25">
      <c r="A857" s="40" t="s">
        <v>182</v>
      </c>
      <c r="B857" s="40" t="s">
        <v>18</v>
      </c>
      <c r="C857" s="40" t="s">
        <v>19</v>
      </c>
      <c r="D857" s="40" t="s">
        <v>20</v>
      </c>
      <c r="E857" s="40" t="s">
        <v>21</v>
      </c>
      <c r="F857" s="40" t="s">
        <v>204</v>
      </c>
      <c r="G857" s="40" t="s">
        <v>48</v>
      </c>
      <c r="H857" s="40" t="s">
        <v>26</v>
      </c>
      <c r="I857" s="40" t="s">
        <v>196</v>
      </c>
      <c r="J857" s="40">
        <v>9.1650716182419831</v>
      </c>
      <c r="K857" s="40">
        <v>7.3064390647626922</v>
      </c>
      <c r="L857" s="40">
        <v>0.78230128684122913</v>
      </c>
      <c r="M857" s="40">
        <v>21.028854052432987</v>
      </c>
      <c r="N857" s="40">
        <v>27.049570677245764</v>
      </c>
      <c r="O857" s="40">
        <v>492.37379221090356</v>
      </c>
      <c r="P857" s="40">
        <v>0.84280463831862562</v>
      </c>
      <c r="Q857" s="41" t="s">
        <v>26</v>
      </c>
    </row>
    <row r="858" spans="1:17" x14ac:dyDescent="0.25">
      <c r="A858" s="40" t="s">
        <v>182</v>
      </c>
      <c r="B858" s="40" t="s">
        <v>18</v>
      </c>
      <c r="C858" s="40" t="s">
        <v>19</v>
      </c>
      <c r="D858" s="40" t="s">
        <v>20</v>
      </c>
      <c r="E858" s="40" t="s">
        <v>21</v>
      </c>
      <c r="F858" s="40" t="s">
        <v>204</v>
      </c>
      <c r="G858" s="40" t="s">
        <v>48</v>
      </c>
      <c r="H858" s="40" t="s">
        <v>26</v>
      </c>
      <c r="I858" s="40" t="s">
        <v>198</v>
      </c>
      <c r="J858" s="40">
        <v>9.4586719911114709</v>
      </c>
      <c r="K858" s="40">
        <v>4.2223365999872113</v>
      </c>
      <c r="L858" s="40">
        <v>8.2927714350243653E-2</v>
      </c>
      <c r="M858" s="40">
        <v>11.633449609303973</v>
      </c>
      <c r="N858" s="40">
        <v>13.86131550059963</v>
      </c>
      <c r="O858" s="40">
        <v>0.76077301218253834</v>
      </c>
      <c r="P858" s="40">
        <v>0.44347863584554781</v>
      </c>
      <c r="Q858" s="41" t="s">
        <v>26</v>
      </c>
    </row>
    <row r="859" spans="1:17" x14ac:dyDescent="0.25">
      <c r="A859" s="40" t="s">
        <v>182</v>
      </c>
      <c r="B859" s="40" t="s">
        <v>18</v>
      </c>
      <c r="C859" s="40" t="s">
        <v>19</v>
      </c>
      <c r="D859" s="40" t="s">
        <v>20</v>
      </c>
      <c r="E859" s="40" t="s">
        <v>21</v>
      </c>
      <c r="F859" s="40" t="s">
        <v>204</v>
      </c>
      <c r="G859" s="40" t="s">
        <v>48</v>
      </c>
      <c r="H859" s="40" t="s">
        <v>26</v>
      </c>
      <c r="I859" s="40" t="s">
        <v>199</v>
      </c>
      <c r="J859" s="40">
        <v>9.1690219815751844E-2</v>
      </c>
      <c r="K859" s="40">
        <v>9.1686920786166054E-2</v>
      </c>
      <c r="L859" s="40">
        <v>7.2935589967685014E-3</v>
      </c>
      <c r="M859" s="40">
        <v>1.0132204344718445</v>
      </c>
      <c r="N859" s="40">
        <v>1.2062219841469941</v>
      </c>
      <c r="O859" s="40">
        <v>6.6310513277443792E-2</v>
      </c>
      <c r="P859" s="40">
        <v>3.870539221778798E-2</v>
      </c>
      <c r="Q859" s="41" t="s">
        <v>26</v>
      </c>
    </row>
    <row r="860" spans="1:17" x14ac:dyDescent="0.25">
      <c r="A860" s="40" t="s">
        <v>182</v>
      </c>
      <c r="B860" s="40" t="s">
        <v>18</v>
      </c>
      <c r="C860" s="40" t="s">
        <v>19</v>
      </c>
      <c r="D860" s="40" t="s">
        <v>20</v>
      </c>
      <c r="E860" s="40" t="s">
        <v>21</v>
      </c>
      <c r="F860" s="40" t="s">
        <v>204</v>
      </c>
      <c r="G860" s="40" t="s">
        <v>48</v>
      </c>
      <c r="H860" s="40" t="s">
        <v>26</v>
      </c>
      <c r="I860" s="40" t="s">
        <v>200</v>
      </c>
      <c r="J860" s="40">
        <v>1.2448979096478158E-2</v>
      </c>
      <c r="K860" s="40">
        <v>1.2448979096478158E-2</v>
      </c>
      <c r="L860" s="40">
        <v>4.4413054215048734E-6</v>
      </c>
      <c r="M860" s="40">
        <v>0.13223098631446459</v>
      </c>
      <c r="N860" s="40">
        <v>0.23216035829832424</v>
      </c>
      <c r="O860" s="40">
        <v>116.24628040138292</v>
      </c>
      <c r="P860" s="40">
        <v>0</v>
      </c>
      <c r="Q860" s="41" t="s">
        <v>26</v>
      </c>
    </row>
    <row r="861" spans="1:17" x14ac:dyDescent="0.25">
      <c r="A861" s="40" t="s">
        <v>182</v>
      </c>
      <c r="B861" s="40" t="s">
        <v>18</v>
      </c>
      <c r="C861" s="40" t="s">
        <v>19</v>
      </c>
      <c r="D861" s="40" t="s">
        <v>20</v>
      </c>
      <c r="E861" s="40" t="s">
        <v>21</v>
      </c>
      <c r="F861" s="40" t="s">
        <v>204</v>
      </c>
      <c r="G861" s="40" t="s">
        <v>48</v>
      </c>
      <c r="H861" s="40" t="s">
        <v>26</v>
      </c>
      <c r="I861" s="40" t="s">
        <v>185</v>
      </c>
      <c r="J861" s="40">
        <v>0.23847601256746842</v>
      </c>
      <c r="K861" s="40">
        <v>0.22799736713371696</v>
      </c>
      <c r="L861" s="40">
        <v>9.8890265090214632E-2</v>
      </c>
      <c r="M861" s="40">
        <v>2.4917382123562293</v>
      </c>
      <c r="N861" s="40">
        <v>3.3734173015673981</v>
      </c>
      <c r="O861" s="40">
        <v>273.28764491189366</v>
      </c>
      <c r="P861" s="40">
        <v>9.2754568279604599E-2</v>
      </c>
      <c r="Q861" s="41" t="s">
        <v>26</v>
      </c>
    </row>
    <row r="862" spans="1:17" x14ac:dyDescent="0.25">
      <c r="A862" s="40" t="s">
        <v>182</v>
      </c>
      <c r="B862" s="40" t="s">
        <v>18</v>
      </c>
      <c r="C862" s="40" t="s">
        <v>19</v>
      </c>
      <c r="D862" s="40" t="s">
        <v>20</v>
      </c>
      <c r="E862" s="40" t="s">
        <v>21</v>
      </c>
      <c r="F862" s="40" t="s">
        <v>207</v>
      </c>
      <c r="G862" s="40" t="s">
        <v>60</v>
      </c>
      <c r="H862" s="40" t="s">
        <v>26</v>
      </c>
      <c r="I862" s="40" t="s">
        <v>187</v>
      </c>
      <c r="J862" s="40">
        <v>2.6462229987374508</v>
      </c>
      <c r="K862" s="40">
        <v>2.0459625987374519</v>
      </c>
      <c r="L862" s="40">
        <v>9.1200670821405365E-3</v>
      </c>
      <c r="M862" s="40">
        <v>1.3395719406464801</v>
      </c>
      <c r="N862" s="40">
        <v>1.6335212700909358</v>
      </c>
      <c r="O862" s="40">
        <v>32.783596209109085</v>
      </c>
      <c r="P862" s="40">
        <v>4.8542472954125837E-2</v>
      </c>
      <c r="Q862" s="41" t="s">
        <v>26</v>
      </c>
    </row>
    <row r="863" spans="1:17" x14ac:dyDescent="0.25">
      <c r="A863" s="40" t="s">
        <v>182</v>
      </c>
      <c r="B863" s="40" t="s">
        <v>18</v>
      </c>
      <c r="C863" s="40" t="s">
        <v>19</v>
      </c>
      <c r="D863" s="40" t="s">
        <v>20</v>
      </c>
      <c r="E863" s="40" t="s">
        <v>21</v>
      </c>
      <c r="F863" s="40" t="s">
        <v>207</v>
      </c>
      <c r="G863" s="40" t="s">
        <v>60</v>
      </c>
      <c r="H863" s="40" t="s">
        <v>26</v>
      </c>
      <c r="I863" s="40" t="s">
        <v>184</v>
      </c>
      <c r="J863" s="40">
        <v>902.52249862897679</v>
      </c>
      <c r="K863" s="40">
        <v>546.48239861404352</v>
      </c>
      <c r="L863" s="40">
        <v>7.5923525635029584E-4</v>
      </c>
      <c r="M863" s="40">
        <v>2.5789336884000005E-2</v>
      </c>
      <c r="N863" s="40">
        <v>4.6776379536000001E-2</v>
      </c>
      <c r="O863" s="40">
        <v>1.1135270853496382E-3</v>
      </c>
      <c r="P863" s="40">
        <v>1.0672646172071007E-4</v>
      </c>
      <c r="Q863" s="41" t="s">
        <v>26</v>
      </c>
    </row>
    <row r="864" spans="1:17" x14ac:dyDescent="0.25">
      <c r="A864" s="40" t="s">
        <v>182</v>
      </c>
      <c r="B864" s="40" t="s">
        <v>18</v>
      </c>
      <c r="C864" s="40" t="s">
        <v>19</v>
      </c>
      <c r="D864" s="40" t="s">
        <v>20</v>
      </c>
      <c r="E864" s="40" t="s">
        <v>21</v>
      </c>
      <c r="F864" s="40" t="s">
        <v>207</v>
      </c>
      <c r="G864" s="40" t="s">
        <v>60</v>
      </c>
      <c r="H864" s="40" t="s">
        <v>26</v>
      </c>
      <c r="I864" s="40" t="s">
        <v>195</v>
      </c>
      <c r="J864" s="40">
        <v>1.052984E-2</v>
      </c>
      <c r="K864" s="40">
        <v>3.9118139644970414E-3</v>
      </c>
      <c r="L864" s="40">
        <v>5.0257671005917159E-2</v>
      </c>
      <c r="M864" s="40">
        <v>6.3249200000000005E-2</v>
      </c>
      <c r="N864" s="40">
        <v>0.1992968</v>
      </c>
      <c r="O864" s="40">
        <v>32.002967709585796</v>
      </c>
      <c r="P864" s="40">
        <v>7.7621304142011837E-3</v>
      </c>
      <c r="Q864" s="41" t="s">
        <v>26</v>
      </c>
    </row>
    <row r="865" spans="1:17" x14ac:dyDescent="0.25">
      <c r="A865" s="40" t="s">
        <v>182</v>
      </c>
      <c r="B865" s="40" t="s">
        <v>18</v>
      </c>
      <c r="C865" s="40" t="s">
        <v>19</v>
      </c>
      <c r="D865" s="40" t="s">
        <v>20</v>
      </c>
      <c r="E865" s="40" t="s">
        <v>21</v>
      </c>
      <c r="F865" s="40" t="s">
        <v>207</v>
      </c>
      <c r="G865" s="40" t="s">
        <v>60</v>
      </c>
      <c r="H865" s="40" t="s">
        <v>26</v>
      </c>
      <c r="I865" s="40" t="s">
        <v>196</v>
      </c>
      <c r="J865" s="40">
        <v>1.1416316137355369</v>
      </c>
      <c r="K865" s="40">
        <v>0.59356500545151325</v>
      </c>
      <c r="L865" s="40">
        <v>3.3408189794105785</v>
      </c>
      <c r="M865" s="40">
        <v>2.9680475856491091</v>
      </c>
      <c r="N865" s="40">
        <v>11.801431152678132</v>
      </c>
      <c r="O865" s="40">
        <v>59.078043732033734</v>
      </c>
      <c r="P865" s="40">
        <v>0.47097271981810945</v>
      </c>
      <c r="Q865" s="41" t="s">
        <v>26</v>
      </c>
    </row>
    <row r="866" spans="1:17" x14ac:dyDescent="0.25">
      <c r="A866" s="40" t="s">
        <v>182</v>
      </c>
      <c r="B866" s="40" t="s">
        <v>18</v>
      </c>
      <c r="C866" s="40" t="s">
        <v>19</v>
      </c>
      <c r="D866" s="40" t="s">
        <v>20</v>
      </c>
      <c r="E866" s="40" t="s">
        <v>21</v>
      </c>
      <c r="F866" s="40" t="s">
        <v>207</v>
      </c>
      <c r="G866" s="40" t="s">
        <v>60</v>
      </c>
      <c r="H866" s="40" t="s">
        <v>26</v>
      </c>
      <c r="I866" s="40" t="s">
        <v>197</v>
      </c>
      <c r="J866" s="40">
        <v>0.62338210855999998</v>
      </c>
      <c r="K866" s="40">
        <v>0.36971848167242605</v>
      </c>
      <c r="L866" s="40">
        <v>1.1785622936984994E-2</v>
      </c>
      <c r="M866" s="40">
        <v>0.64010692424000015</v>
      </c>
      <c r="N866" s="40">
        <v>0.8132798872</v>
      </c>
      <c r="O866" s="40">
        <v>4.9412900867295481E-2</v>
      </c>
      <c r="P866" s="40">
        <v>2.3081731955029584E-2</v>
      </c>
      <c r="Q866" s="41" t="s">
        <v>26</v>
      </c>
    </row>
    <row r="867" spans="1:17" x14ac:dyDescent="0.25">
      <c r="A867" s="40" t="s">
        <v>182</v>
      </c>
      <c r="B867" s="40" t="s">
        <v>18</v>
      </c>
      <c r="C867" s="40" t="s">
        <v>19</v>
      </c>
      <c r="D867" s="40" t="s">
        <v>20</v>
      </c>
      <c r="E867" s="40" t="s">
        <v>21</v>
      </c>
      <c r="F867" s="40" t="s">
        <v>207</v>
      </c>
      <c r="G867" s="40" t="s">
        <v>60</v>
      </c>
      <c r="H867" s="40" t="s">
        <v>26</v>
      </c>
      <c r="I867" s="40" t="s">
        <v>198</v>
      </c>
      <c r="J867" s="40">
        <v>85.671964338802383</v>
      </c>
      <c r="K867" s="40">
        <v>52.013781656774341</v>
      </c>
      <c r="L867" s="40">
        <v>2.6248949731626343</v>
      </c>
      <c r="M867" s="40">
        <v>5.6990754672673143</v>
      </c>
      <c r="N867" s="40">
        <v>21.439339889735546</v>
      </c>
      <c r="O867" s="40">
        <v>9.809189680472981</v>
      </c>
      <c r="P867" s="40">
        <v>0.25538896313406861</v>
      </c>
      <c r="Q867" s="41" t="s">
        <v>26</v>
      </c>
    </row>
    <row r="868" spans="1:17" x14ac:dyDescent="0.25">
      <c r="A868" s="40" t="s">
        <v>182</v>
      </c>
      <c r="B868" s="40" t="s">
        <v>18</v>
      </c>
      <c r="C868" s="40" t="s">
        <v>19</v>
      </c>
      <c r="D868" s="40" t="s">
        <v>20</v>
      </c>
      <c r="E868" s="40" t="s">
        <v>21</v>
      </c>
      <c r="F868" s="40" t="s">
        <v>207</v>
      </c>
      <c r="G868" s="40" t="s">
        <v>60</v>
      </c>
      <c r="H868" s="40" t="s">
        <v>26</v>
      </c>
      <c r="I868" s="40" t="s">
        <v>200</v>
      </c>
      <c r="J868" s="40">
        <v>3.2466865679999998E-3</v>
      </c>
      <c r="K868" s="40">
        <v>3.0353256212544378E-3</v>
      </c>
      <c r="L868" s="40">
        <v>1.6034319230730605E-3</v>
      </c>
      <c r="M868" s="40">
        <v>3.2899778951999997E-2</v>
      </c>
      <c r="N868" s="40">
        <v>6.0927398159999993E-2</v>
      </c>
      <c r="O868" s="40">
        <v>803.20402873998466</v>
      </c>
      <c r="P868" s="40">
        <v>2.2554437869822487E-4</v>
      </c>
      <c r="Q868" s="41" t="s">
        <v>26</v>
      </c>
    </row>
    <row r="869" spans="1:17" x14ac:dyDescent="0.25">
      <c r="A869" s="40" t="s">
        <v>182</v>
      </c>
      <c r="B869" s="40" t="s">
        <v>18</v>
      </c>
      <c r="C869" s="40" t="s">
        <v>19</v>
      </c>
      <c r="D869" s="40" t="s">
        <v>20</v>
      </c>
      <c r="E869" s="40" t="s">
        <v>21</v>
      </c>
      <c r="F869" s="40" t="s">
        <v>207</v>
      </c>
      <c r="G869" s="40" t="s">
        <v>60</v>
      </c>
      <c r="H869" s="40" t="s">
        <v>26</v>
      </c>
      <c r="I869" s="40" t="s">
        <v>185</v>
      </c>
      <c r="J869" s="40">
        <v>4.2073300975999999</v>
      </c>
      <c r="K869" s="40">
        <v>3.8355538869491124</v>
      </c>
      <c r="L869" s="40">
        <v>5.580338923307929E-3</v>
      </c>
      <c r="M869" s="40">
        <v>1.7952926400000003E-2</v>
      </c>
      <c r="N869" s="40">
        <v>4.2542711999999996E-2</v>
      </c>
      <c r="O869" s="40">
        <v>11.697149441625104</v>
      </c>
      <c r="P869" s="40">
        <v>7.8561426035502954E-4</v>
      </c>
      <c r="Q869" s="41" t="s">
        <v>26</v>
      </c>
    </row>
    <row r="870" spans="1:17" x14ac:dyDescent="0.25">
      <c r="A870" s="40" t="s">
        <v>182</v>
      </c>
      <c r="B870" s="40" t="s">
        <v>18</v>
      </c>
      <c r="C870" s="40" t="s">
        <v>19</v>
      </c>
      <c r="D870" s="40" t="s">
        <v>20</v>
      </c>
      <c r="E870" s="40" t="s">
        <v>21</v>
      </c>
      <c r="F870" s="40" t="s">
        <v>208</v>
      </c>
      <c r="G870" s="40" t="s">
        <v>62</v>
      </c>
      <c r="H870" s="40" t="s">
        <v>26</v>
      </c>
      <c r="I870" s="40" t="s">
        <v>190</v>
      </c>
      <c r="J870" s="40">
        <v>0.34715764523778248</v>
      </c>
      <c r="K870" s="40">
        <v>0.28613364523778251</v>
      </c>
      <c r="L870" s="40">
        <v>1.2210366263854591E-2</v>
      </c>
      <c r="M870" s="40">
        <v>1.7684246102529804</v>
      </c>
      <c r="N870" s="40">
        <v>2.1429449059177768</v>
      </c>
      <c r="O870" s="40">
        <v>0.80776369576231755</v>
      </c>
      <c r="P870" s="40">
        <v>6.4997463257278135E-2</v>
      </c>
      <c r="Q870" s="41" t="s">
        <v>26</v>
      </c>
    </row>
    <row r="871" spans="1:17" x14ac:dyDescent="0.25">
      <c r="A871" s="40" t="s">
        <v>182</v>
      </c>
      <c r="B871" s="40" t="s">
        <v>18</v>
      </c>
      <c r="C871" s="40" t="s">
        <v>19</v>
      </c>
      <c r="D871" s="40" t="s">
        <v>20</v>
      </c>
      <c r="E871" s="40" t="s">
        <v>21</v>
      </c>
      <c r="F871" s="40" t="s">
        <v>208</v>
      </c>
      <c r="G871" s="40" t="s">
        <v>62</v>
      </c>
      <c r="H871" s="40" t="s">
        <v>26</v>
      </c>
      <c r="I871" s="40" t="s">
        <v>195</v>
      </c>
      <c r="J871" s="40">
        <v>5.2936983062613803E-3</v>
      </c>
      <c r="K871" s="40">
        <v>4.9072225666164102E-3</v>
      </c>
      <c r="L871" s="40">
        <v>3.3078683350825509E-3</v>
      </c>
      <c r="M871" s="40">
        <v>5.5379399266202785E-2</v>
      </c>
      <c r="N871" s="40">
        <v>7.3168522517069914E-2</v>
      </c>
      <c r="O871" s="40">
        <v>3.5588490633296581E-3</v>
      </c>
      <c r="P871" s="40">
        <v>2.429295825691547E-3</v>
      </c>
      <c r="Q871" s="41" t="s">
        <v>26</v>
      </c>
    </row>
    <row r="872" spans="1:17" x14ac:dyDescent="0.25">
      <c r="A872" s="40" t="s">
        <v>182</v>
      </c>
      <c r="B872" s="40" t="s">
        <v>18</v>
      </c>
      <c r="C872" s="40" t="s">
        <v>19</v>
      </c>
      <c r="D872" s="40" t="s">
        <v>20</v>
      </c>
      <c r="E872" s="40" t="s">
        <v>21</v>
      </c>
      <c r="F872" s="40" t="s">
        <v>208</v>
      </c>
      <c r="G872" s="40" t="s">
        <v>62</v>
      </c>
      <c r="H872" s="40" t="s">
        <v>26</v>
      </c>
      <c r="I872" s="40" t="s">
        <v>196</v>
      </c>
      <c r="J872" s="40">
        <v>9.3902448000000014E-4</v>
      </c>
      <c r="K872" s="40">
        <v>9.3902448000000014E-4</v>
      </c>
      <c r="L872" s="40">
        <v>4.8727756800000003E-7</v>
      </c>
      <c r="M872" s="40">
        <v>9.9739627200000017E-3</v>
      </c>
      <c r="N872" s="40">
        <v>1.7511537600000002E-2</v>
      </c>
      <c r="O872" s="40">
        <v>3.3226314851963799</v>
      </c>
      <c r="P872" s="40">
        <v>0</v>
      </c>
      <c r="Q872" s="41" t="s">
        <v>26</v>
      </c>
    </row>
    <row r="873" spans="1:17" x14ac:dyDescent="0.25">
      <c r="A873" s="40" t="s">
        <v>182</v>
      </c>
      <c r="B873" s="40" t="s">
        <v>18</v>
      </c>
      <c r="C873" s="40" t="s">
        <v>19</v>
      </c>
      <c r="D873" s="40" t="s">
        <v>20</v>
      </c>
      <c r="E873" s="40" t="s">
        <v>21</v>
      </c>
      <c r="F873" s="40" t="s">
        <v>208</v>
      </c>
      <c r="G873" s="40" t="s">
        <v>62</v>
      </c>
      <c r="H873" s="40" t="s">
        <v>26</v>
      </c>
      <c r="I873" s="40" t="s">
        <v>198</v>
      </c>
      <c r="J873" s="40">
        <v>97.548904192340288</v>
      </c>
      <c r="K873" s="40">
        <v>71.48460351837582</v>
      </c>
      <c r="L873" s="40">
        <v>44.275110197273726</v>
      </c>
      <c r="M873" s="40">
        <v>88.48512155032698</v>
      </c>
      <c r="N873" s="40">
        <v>105.77827268805332</v>
      </c>
      <c r="O873" s="40">
        <v>5.7830616307299705</v>
      </c>
      <c r="P873" s="40">
        <v>3.3847937535564192</v>
      </c>
      <c r="Q873" s="41" t="s">
        <v>26</v>
      </c>
    </row>
    <row r="874" spans="1:17" x14ac:dyDescent="0.25">
      <c r="A874" s="40" t="s">
        <v>182</v>
      </c>
      <c r="B874" s="40" t="s">
        <v>18</v>
      </c>
      <c r="C874" s="40" t="s">
        <v>19</v>
      </c>
      <c r="D874" s="40" t="s">
        <v>20</v>
      </c>
      <c r="E874" s="40" t="s">
        <v>21</v>
      </c>
      <c r="F874" s="40" t="s">
        <v>209</v>
      </c>
      <c r="G874" s="40" t="s">
        <v>66</v>
      </c>
      <c r="H874" s="40" t="s">
        <v>26</v>
      </c>
      <c r="I874" s="40" t="s">
        <v>187</v>
      </c>
      <c r="J874" s="40">
        <v>0.10813555036505489</v>
      </c>
      <c r="K874" s="40">
        <v>7.7691450365054884E-2</v>
      </c>
      <c r="L874" s="40">
        <v>3.7897671249144437E-5</v>
      </c>
      <c r="M874" s="40">
        <v>3.7322906242797764E-2</v>
      </c>
      <c r="N874" s="40">
        <v>6.2666614037991134E-2</v>
      </c>
      <c r="O874" s="40">
        <v>1.7269542377546299E-3</v>
      </c>
      <c r="P874" s="40">
        <v>1.9339667905167958E-4</v>
      </c>
      <c r="Q874" s="41" t="s">
        <v>26</v>
      </c>
    </row>
    <row r="875" spans="1:17" x14ac:dyDescent="0.25">
      <c r="A875" s="40" t="s">
        <v>182</v>
      </c>
      <c r="B875" s="40" t="s">
        <v>18</v>
      </c>
      <c r="C875" s="40" t="s">
        <v>19</v>
      </c>
      <c r="D875" s="40" t="s">
        <v>20</v>
      </c>
      <c r="E875" s="40" t="s">
        <v>21</v>
      </c>
      <c r="F875" s="40" t="s">
        <v>209</v>
      </c>
      <c r="G875" s="40" t="s">
        <v>66</v>
      </c>
      <c r="H875" s="40" t="s">
        <v>26</v>
      </c>
      <c r="I875" s="40" t="s">
        <v>190</v>
      </c>
      <c r="J875" s="40">
        <v>0.80135756241720046</v>
      </c>
      <c r="K875" s="40">
        <v>0.59602236241720052</v>
      </c>
      <c r="L875" s="40">
        <v>9.3406643807761355E-2</v>
      </c>
      <c r="M875" s="40">
        <v>5.7440601328871583</v>
      </c>
      <c r="N875" s="40">
        <v>6.9677673764159813</v>
      </c>
      <c r="O875" s="40">
        <v>0.37475014561466513</v>
      </c>
      <c r="P875" s="40">
        <v>0.2250401304500978</v>
      </c>
      <c r="Q875" s="41" t="s">
        <v>26</v>
      </c>
    </row>
    <row r="876" spans="1:17" x14ac:dyDescent="0.25">
      <c r="A876" s="40" t="s">
        <v>182</v>
      </c>
      <c r="B876" s="40" t="s">
        <v>18</v>
      </c>
      <c r="C876" s="40" t="s">
        <v>19</v>
      </c>
      <c r="D876" s="40" t="s">
        <v>20</v>
      </c>
      <c r="E876" s="40" t="s">
        <v>21</v>
      </c>
      <c r="F876" s="40" t="s">
        <v>209</v>
      </c>
      <c r="G876" s="40" t="s">
        <v>66</v>
      </c>
      <c r="H876" s="40" t="s">
        <v>26</v>
      </c>
      <c r="I876" s="40" t="s">
        <v>210</v>
      </c>
      <c r="J876" s="40">
        <v>1.7200048000000001</v>
      </c>
      <c r="K876" s="40">
        <v>1.1313643502958579</v>
      </c>
      <c r="L876" s="40">
        <v>0.4704714818840236</v>
      </c>
      <c r="M876" s="40">
        <v>4.5049939999999999</v>
      </c>
      <c r="N876" s="40">
        <v>5.3712900000000001</v>
      </c>
      <c r="O876" s="40">
        <v>7.3375967904725616E-3</v>
      </c>
      <c r="P876" s="40">
        <v>2.1978579881656808E-2</v>
      </c>
      <c r="Q876" s="41" t="s">
        <v>26</v>
      </c>
    </row>
    <row r="877" spans="1:17" x14ac:dyDescent="0.25">
      <c r="A877" s="40" t="s">
        <v>182</v>
      </c>
      <c r="B877" s="40" t="s">
        <v>18</v>
      </c>
      <c r="C877" s="40" t="s">
        <v>19</v>
      </c>
      <c r="D877" s="40" t="s">
        <v>20</v>
      </c>
      <c r="E877" s="40" t="s">
        <v>21</v>
      </c>
      <c r="F877" s="40" t="s">
        <v>209</v>
      </c>
      <c r="G877" s="40" t="s">
        <v>66</v>
      </c>
      <c r="H877" s="40" t="s">
        <v>26</v>
      </c>
      <c r="I877" s="40" t="s">
        <v>184</v>
      </c>
      <c r="J877" s="40">
        <v>350.82656380200001</v>
      </c>
      <c r="K877" s="40">
        <v>228.36568247052429</v>
      </c>
      <c r="L877" s="40">
        <v>2.0964494331304899</v>
      </c>
      <c r="M877" s="40">
        <v>1.9454443980000002</v>
      </c>
      <c r="N877" s="40">
        <v>13.536902639999999</v>
      </c>
      <c r="O877" s="40">
        <v>7.9630767814469067E-2</v>
      </c>
      <c r="P877" s="40">
        <v>0.24775015855029589</v>
      </c>
      <c r="Q877" s="41" t="s">
        <v>26</v>
      </c>
    </row>
    <row r="878" spans="1:17" x14ac:dyDescent="0.25">
      <c r="A878" s="40" t="s">
        <v>182</v>
      </c>
      <c r="B878" s="40" t="s">
        <v>18</v>
      </c>
      <c r="C878" s="40" t="s">
        <v>19</v>
      </c>
      <c r="D878" s="40" t="s">
        <v>20</v>
      </c>
      <c r="E878" s="40" t="s">
        <v>21</v>
      </c>
      <c r="F878" s="40" t="s">
        <v>209</v>
      </c>
      <c r="G878" s="40" t="s">
        <v>66</v>
      </c>
      <c r="H878" s="40" t="s">
        <v>26</v>
      </c>
      <c r="I878" s="40" t="s">
        <v>193</v>
      </c>
      <c r="J878" s="40">
        <v>1.5542686205840095E-2</v>
      </c>
      <c r="K878" s="40">
        <v>8.6988520283253004E-3</v>
      </c>
      <c r="L878" s="40">
        <v>5.1871346425449452E-2</v>
      </c>
      <c r="M878" s="40">
        <v>0.11375821504876099</v>
      </c>
      <c r="N878" s="40">
        <v>0.30219135598111996</v>
      </c>
      <c r="O878" s="40">
        <v>4.7741900013886741E-3</v>
      </c>
      <c r="P878" s="40">
        <v>7.3030914710059177E-3</v>
      </c>
      <c r="Q878" s="41" t="s">
        <v>26</v>
      </c>
    </row>
    <row r="879" spans="1:17" x14ac:dyDescent="0.25">
      <c r="A879" s="40" t="s">
        <v>182</v>
      </c>
      <c r="B879" s="40" t="s">
        <v>18</v>
      </c>
      <c r="C879" s="40" t="s">
        <v>19</v>
      </c>
      <c r="D879" s="40" t="s">
        <v>20</v>
      </c>
      <c r="E879" s="40" t="s">
        <v>21</v>
      </c>
      <c r="F879" s="40" t="s">
        <v>209</v>
      </c>
      <c r="G879" s="40" t="s">
        <v>66</v>
      </c>
      <c r="H879" s="40" t="s">
        <v>26</v>
      </c>
      <c r="I879" s="40" t="s">
        <v>195</v>
      </c>
      <c r="J879" s="40">
        <v>0.16096000000000002</v>
      </c>
      <c r="K879" s="40">
        <v>0.10400800000000002</v>
      </c>
      <c r="L879" s="40">
        <v>2.7000000000000001E-3</v>
      </c>
      <c r="M879" s="40">
        <v>0.37280000000000002</v>
      </c>
      <c r="N879" s="40">
        <v>0.44390000000000002</v>
      </c>
      <c r="O879" s="40">
        <v>29.687317696000001</v>
      </c>
      <c r="P879" s="40">
        <v>1.43E-2</v>
      </c>
      <c r="Q879" s="41" t="s">
        <v>26</v>
      </c>
    </row>
    <row r="880" spans="1:17" x14ac:dyDescent="0.25">
      <c r="A880" s="40" t="s">
        <v>182</v>
      </c>
      <c r="B880" s="40" t="s">
        <v>18</v>
      </c>
      <c r="C880" s="40" t="s">
        <v>19</v>
      </c>
      <c r="D880" s="40" t="s">
        <v>20</v>
      </c>
      <c r="E880" s="40" t="s">
        <v>21</v>
      </c>
      <c r="F880" s="40" t="s">
        <v>209</v>
      </c>
      <c r="G880" s="40" t="s">
        <v>66</v>
      </c>
      <c r="H880" s="40" t="s">
        <v>26</v>
      </c>
      <c r="I880" s="40" t="s">
        <v>196</v>
      </c>
      <c r="J880" s="40">
        <v>2.3826600904982609</v>
      </c>
      <c r="K880" s="40">
        <v>1.9185216998118704</v>
      </c>
      <c r="L880" s="40">
        <v>0.13739175006481075</v>
      </c>
      <c r="M880" s="40">
        <v>8.9775307349793252</v>
      </c>
      <c r="N880" s="40">
        <v>11.516713424135629</v>
      </c>
      <c r="O880" s="40">
        <v>94.955229741912149</v>
      </c>
      <c r="P880" s="40">
        <v>0.30940071275780867</v>
      </c>
      <c r="Q880" s="41" t="s">
        <v>26</v>
      </c>
    </row>
    <row r="881" spans="1:17" x14ac:dyDescent="0.25">
      <c r="A881" s="40" t="s">
        <v>182</v>
      </c>
      <c r="B881" s="40" t="s">
        <v>18</v>
      </c>
      <c r="C881" s="40" t="s">
        <v>19</v>
      </c>
      <c r="D881" s="40" t="s">
        <v>20</v>
      </c>
      <c r="E881" s="40" t="s">
        <v>21</v>
      </c>
      <c r="F881" s="40" t="s">
        <v>209</v>
      </c>
      <c r="G881" s="40" t="s">
        <v>66</v>
      </c>
      <c r="H881" s="40" t="s">
        <v>26</v>
      </c>
      <c r="I881" s="40" t="s">
        <v>197</v>
      </c>
      <c r="J881" s="40">
        <v>20.274534389656946</v>
      </c>
      <c r="K881" s="40">
        <v>11.206094544585111</v>
      </c>
      <c r="L881" s="40">
        <v>1.8562405503199292E-2</v>
      </c>
      <c r="M881" s="40">
        <v>0.15883865216650239</v>
      </c>
      <c r="N881" s="40">
        <v>0.25621187741432799</v>
      </c>
      <c r="O881" s="40">
        <v>407.60935239051094</v>
      </c>
      <c r="P881" s="40">
        <v>6.4207666844660893E-3</v>
      </c>
      <c r="Q881" s="41" t="s">
        <v>26</v>
      </c>
    </row>
    <row r="882" spans="1:17" x14ac:dyDescent="0.25">
      <c r="A882" s="40" t="s">
        <v>182</v>
      </c>
      <c r="B882" s="40" t="s">
        <v>18</v>
      </c>
      <c r="C882" s="40" t="s">
        <v>19</v>
      </c>
      <c r="D882" s="40" t="s">
        <v>20</v>
      </c>
      <c r="E882" s="40" t="s">
        <v>21</v>
      </c>
      <c r="F882" s="40" t="s">
        <v>209</v>
      </c>
      <c r="G882" s="40" t="s">
        <v>66</v>
      </c>
      <c r="H882" s="40" t="s">
        <v>26</v>
      </c>
      <c r="I882" s="40" t="s">
        <v>198</v>
      </c>
      <c r="J882" s="40">
        <v>50.250216339520001</v>
      </c>
      <c r="K882" s="40">
        <v>29.83643268543932</v>
      </c>
      <c r="L882" s="40">
        <v>0.22257095781570302</v>
      </c>
      <c r="M882" s="40">
        <v>14.264813505599999</v>
      </c>
      <c r="N882" s="40">
        <v>1.6108464012013974</v>
      </c>
      <c r="O882" s="40">
        <v>63.557943558548665</v>
      </c>
      <c r="P882" s="40">
        <v>5.7551087103425325E-2</v>
      </c>
      <c r="Q882" s="41" t="s">
        <v>26</v>
      </c>
    </row>
    <row r="883" spans="1:17" x14ac:dyDescent="0.25">
      <c r="A883" s="40" t="s">
        <v>182</v>
      </c>
      <c r="B883" s="40" t="s">
        <v>18</v>
      </c>
      <c r="C883" s="40" t="s">
        <v>19</v>
      </c>
      <c r="D883" s="40" t="s">
        <v>20</v>
      </c>
      <c r="E883" s="40" t="s">
        <v>21</v>
      </c>
      <c r="F883" s="40" t="s">
        <v>209</v>
      </c>
      <c r="G883" s="40" t="s">
        <v>66</v>
      </c>
      <c r="H883" s="40" t="s">
        <v>26</v>
      </c>
      <c r="I883" s="40" t="s">
        <v>185</v>
      </c>
      <c r="J883" s="40">
        <v>1.6333016906334477</v>
      </c>
      <c r="K883" s="40">
        <v>0.95250317406540019</v>
      </c>
      <c r="L883" s="40">
        <v>2.945063672348282E-3</v>
      </c>
      <c r="M883" s="40">
        <v>1.7316172517621391</v>
      </c>
      <c r="N883" s="40">
        <v>2.9757504108812571</v>
      </c>
      <c r="O883" s="40">
        <v>10.847871973149024</v>
      </c>
      <c r="P883" s="40">
        <v>4.9058489977493146E-3</v>
      </c>
      <c r="Q883" s="41" t="s">
        <v>26</v>
      </c>
    </row>
    <row r="884" spans="1:17" x14ac:dyDescent="0.25">
      <c r="A884" s="40" t="s">
        <v>182</v>
      </c>
      <c r="B884" s="40" t="s">
        <v>18</v>
      </c>
      <c r="C884" s="40" t="s">
        <v>19</v>
      </c>
      <c r="D884" s="40" t="s">
        <v>20</v>
      </c>
      <c r="E884" s="40" t="s">
        <v>21</v>
      </c>
      <c r="F884" s="40" t="s">
        <v>211</v>
      </c>
      <c r="G884" s="40" t="s">
        <v>74</v>
      </c>
      <c r="H884" s="40" t="s">
        <v>26</v>
      </c>
      <c r="I884" s="40" t="s">
        <v>198</v>
      </c>
      <c r="J884" s="40">
        <v>38.237675425759996</v>
      </c>
      <c r="K884" s="40">
        <v>22.927482519777932</v>
      </c>
      <c r="L884" s="40">
        <v>0.18266084733727811</v>
      </c>
      <c r="M884" s="40">
        <v>0.16077959999999999</v>
      </c>
      <c r="N884" s="40">
        <v>0.64311839999999998</v>
      </c>
      <c r="O884" s="40">
        <v>6.4375263905325436E-3</v>
      </c>
      <c r="P884" s="40">
        <v>2.5718393609467458E-2</v>
      </c>
      <c r="Q884" s="41" t="s">
        <v>26</v>
      </c>
    </row>
    <row r="885" spans="1:17" x14ac:dyDescent="0.25">
      <c r="A885" s="40" t="s">
        <v>182</v>
      </c>
      <c r="B885" s="40" t="s">
        <v>18</v>
      </c>
      <c r="C885" s="40" t="s">
        <v>19</v>
      </c>
      <c r="D885" s="40" t="s">
        <v>20</v>
      </c>
      <c r="E885" s="40" t="s">
        <v>21</v>
      </c>
      <c r="F885" s="40" t="s">
        <v>212</v>
      </c>
      <c r="G885" s="40" t="s">
        <v>76</v>
      </c>
      <c r="H885" s="40" t="s">
        <v>26</v>
      </c>
      <c r="I885" s="40" t="s">
        <v>187</v>
      </c>
      <c r="J885" s="40">
        <v>11.764308092868308</v>
      </c>
      <c r="K885" s="40">
        <v>9.0434823101749338</v>
      </c>
      <c r="L885" s="40">
        <v>8.8532480042820591E-2</v>
      </c>
      <c r="M885" s="40">
        <v>4.44530478946323</v>
      </c>
      <c r="N885" s="40">
        <v>6.0664979846385849</v>
      </c>
      <c r="O885" s="40">
        <v>109.77062313005213</v>
      </c>
      <c r="P885" s="40">
        <v>0.15510539439356621</v>
      </c>
      <c r="Q885" s="41" t="s">
        <v>26</v>
      </c>
    </row>
    <row r="886" spans="1:17" x14ac:dyDescent="0.25">
      <c r="A886" s="40" t="s">
        <v>182</v>
      </c>
      <c r="B886" s="40" t="s">
        <v>18</v>
      </c>
      <c r="C886" s="40" t="s">
        <v>19</v>
      </c>
      <c r="D886" s="40" t="s">
        <v>20</v>
      </c>
      <c r="E886" s="40" t="s">
        <v>21</v>
      </c>
      <c r="F886" s="40" t="s">
        <v>212</v>
      </c>
      <c r="G886" s="40" t="s">
        <v>76</v>
      </c>
      <c r="H886" s="40" t="s">
        <v>26</v>
      </c>
      <c r="I886" s="40" t="s">
        <v>190</v>
      </c>
      <c r="J886" s="40">
        <v>21.84547750350437</v>
      </c>
      <c r="K886" s="40">
        <v>7.6207253431458541</v>
      </c>
      <c r="L886" s="40">
        <v>0.23923850819976183</v>
      </c>
      <c r="M886" s="40">
        <v>31.737956246884995</v>
      </c>
      <c r="N886" s="40">
        <v>38.081478189554254</v>
      </c>
      <c r="O886" s="40">
        <v>2.0666751500431539</v>
      </c>
      <c r="P886" s="40">
        <v>1.1963090809737209</v>
      </c>
      <c r="Q886" s="41" t="s">
        <v>26</v>
      </c>
    </row>
    <row r="887" spans="1:17" x14ac:dyDescent="0.25">
      <c r="A887" s="40" t="s">
        <v>182</v>
      </c>
      <c r="B887" s="40" t="s">
        <v>18</v>
      </c>
      <c r="C887" s="40" t="s">
        <v>19</v>
      </c>
      <c r="D887" s="40" t="s">
        <v>20</v>
      </c>
      <c r="E887" s="40" t="s">
        <v>21</v>
      </c>
      <c r="F887" s="40" t="s">
        <v>212</v>
      </c>
      <c r="G887" s="40" t="s">
        <v>76</v>
      </c>
      <c r="H887" s="40" t="s">
        <v>26</v>
      </c>
      <c r="I887" s="40" t="s">
        <v>194</v>
      </c>
      <c r="J887" s="40">
        <v>1.4023500611995103E-2</v>
      </c>
      <c r="K887" s="40">
        <v>1.4023500611995103E-2</v>
      </c>
      <c r="L887" s="40">
        <v>8.9999999999999998E-4</v>
      </c>
      <c r="M887" s="40">
        <v>0.12859999999999999</v>
      </c>
      <c r="N887" s="40">
        <v>0.1532</v>
      </c>
      <c r="O887" s="40">
        <v>8.3999999999999995E-3</v>
      </c>
      <c r="P887" s="40">
        <v>4.8999999999999998E-3</v>
      </c>
      <c r="Q887" s="41" t="s">
        <v>26</v>
      </c>
    </row>
    <row r="888" spans="1:17" x14ac:dyDescent="0.25">
      <c r="A888" s="40" t="s">
        <v>182</v>
      </c>
      <c r="B888" s="40" t="s">
        <v>18</v>
      </c>
      <c r="C888" s="40" t="s">
        <v>19</v>
      </c>
      <c r="D888" s="40" t="s">
        <v>20</v>
      </c>
      <c r="E888" s="40" t="s">
        <v>21</v>
      </c>
      <c r="F888" s="40" t="s">
        <v>212</v>
      </c>
      <c r="G888" s="40" t="s">
        <v>76</v>
      </c>
      <c r="H888" s="40" t="s">
        <v>26</v>
      </c>
      <c r="I888" s="40" t="s">
        <v>196</v>
      </c>
      <c r="J888" s="40">
        <v>12.096593215202738</v>
      </c>
      <c r="K888" s="40">
        <v>9.1856247805956368</v>
      </c>
      <c r="L888" s="40">
        <v>0.2617645747317266</v>
      </c>
      <c r="M888" s="40">
        <v>17.233988203860431</v>
      </c>
      <c r="N888" s="40">
        <v>22.384168811343951</v>
      </c>
      <c r="O888" s="40">
        <v>34.491175381720652</v>
      </c>
      <c r="P888" s="40">
        <v>0.54490001315789571</v>
      </c>
      <c r="Q888" s="41" t="s">
        <v>26</v>
      </c>
    </row>
    <row r="889" spans="1:17" x14ac:dyDescent="0.25">
      <c r="A889" s="40" t="s">
        <v>182</v>
      </c>
      <c r="B889" s="40" t="s">
        <v>18</v>
      </c>
      <c r="C889" s="40" t="s">
        <v>19</v>
      </c>
      <c r="D889" s="40" t="s">
        <v>20</v>
      </c>
      <c r="E889" s="40" t="s">
        <v>21</v>
      </c>
      <c r="F889" s="40" t="s">
        <v>212</v>
      </c>
      <c r="G889" s="40" t="s">
        <v>76</v>
      </c>
      <c r="H889" s="40" t="s">
        <v>26</v>
      </c>
      <c r="I889" s="40" t="s">
        <v>197</v>
      </c>
      <c r="J889" s="40">
        <v>1.4393787962452369</v>
      </c>
      <c r="K889" s="40">
        <v>0.92596309199523708</v>
      </c>
      <c r="L889" s="40">
        <v>2.0997532413956372E-2</v>
      </c>
      <c r="M889" s="40">
        <v>53.27659368679069</v>
      </c>
      <c r="N889" s="40">
        <v>3.4993825416244246</v>
      </c>
      <c r="O889" s="40">
        <v>513.81433930361402</v>
      </c>
      <c r="P889" s="40">
        <v>0.10994956142168558</v>
      </c>
      <c r="Q889" s="41" t="s">
        <v>26</v>
      </c>
    </row>
    <row r="890" spans="1:17" x14ac:dyDescent="0.25">
      <c r="A890" s="40" t="s">
        <v>182</v>
      </c>
      <c r="B890" s="40" t="s">
        <v>18</v>
      </c>
      <c r="C890" s="40" t="s">
        <v>19</v>
      </c>
      <c r="D890" s="40" t="s">
        <v>20</v>
      </c>
      <c r="E890" s="40" t="s">
        <v>21</v>
      </c>
      <c r="F890" s="40" t="s">
        <v>212</v>
      </c>
      <c r="G890" s="40" t="s">
        <v>76</v>
      </c>
      <c r="H890" s="40" t="s">
        <v>26</v>
      </c>
      <c r="I890" s="40" t="s">
        <v>198</v>
      </c>
      <c r="J890" s="40">
        <v>66.149564720894645</v>
      </c>
      <c r="K890" s="40">
        <v>39.93924919897195</v>
      </c>
      <c r="L890" s="40">
        <v>0.28151597096155923</v>
      </c>
      <c r="M890" s="40">
        <v>1.2847068180167576</v>
      </c>
      <c r="N890" s="40">
        <v>2.2178965631500978</v>
      </c>
      <c r="O890" s="40">
        <v>8.6575339048865771</v>
      </c>
      <c r="P890" s="40">
        <v>7.7744478759392235E-2</v>
      </c>
      <c r="Q890" s="41" t="s">
        <v>26</v>
      </c>
    </row>
    <row r="891" spans="1:17" x14ac:dyDescent="0.25">
      <c r="A891" s="40" t="s">
        <v>182</v>
      </c>
      <c r="B891" s="40" t="s">
        <v>18</v>
      </c>
      <c r="C891" s="40" t="s">
        <v>19</v>
      </c>
      <c r="D891" s="40" t="s">
        <v>20</v>
      </c>
      <c r="E891" s="40" t="s">
        <v>21</v>
      </c>
      <c r="F891" s="40" t="s">
        <v>212</v>
      </c>
      <c r="G891" s="40" t="s">
        <v>76</v>
      </c>
      <c r="H891" s="40" t="s">
        <v>26</v>
      </c>
      <c r="I891" s="40" t="s">
        <v>199</v>
      </c>
      <c r="J891" s="40">
        <v>1.2000000000000002E-4</v>
      </c>
      <c r="K891" s="40">
        <v>3.0059171597633135E-5</v>
      </c>
      <c r="L891" s="40">
        <v>6.8165680473372778E-4</v>
      </c>
      <c r="M891" s="40">
        <v>6.0000000000000006E-4</v>
      </c>
      <c r="N891" s="40">
        <v>2.4000000000000002E-3</v>
      </c>
      <c r="O891" s="40">
        <v>2.4023668639053254E-5</v>
      </c>
      <c r="P891" s="40">
        <v>9.5976331360946756E-5</v>
      </c>
      <c r="Q891" s="41" t="s">
        <v>26</v>
      </c>
    </row>
    <row r="892" spans="1:17" x14ac:dyDescent="0.25">
      <c r="A892" s="40" t="s">
        <v>182</v>
      </c>
      <c r="B892" s="40" t="s">
        <v>18</v>
      </c>
      <c r="C892" s="40" t="s">
        <v>19</v>
      </c>
      <c r="D892" s="40" t="s">
        <v>20</v>
      </c>
      <c r="E892" s="40" t="s">
        <v>21</v>
      </c>
      <c r="F892" s="40" t="s">
        <v>212</v>
      </c>
      <c r="G892" s="40" t="s">
        <v>76</v>
      </c>
      <c r="H892" s="40" t="s">
        <v>26</v>
      </c>
      <c r="I892" s="40" t="s">
        <v>200</v>
      </c>
      <c r="J892" s="40">
        <v>0.42409221333058972</v>
      </c>
      <c r="K892" s="40">
        <v>0.42327573049035305</v>
      </c>
      <c r="L892" s="40">
        <v>3.9042399737980397E-2</v>
      </c>
      <c r="M892" s="40">
        <v>4.676246754704497</v>
      </c>
      <c r="N892" s="40">
        <v>5.6338526694285349</v>
      </c>
      <c r="O892" s="40">
        <v>10.50606810594069</v>
      </c>
      <c r="P892" s="40">
        <v>0.1757822580194999</v>
      </c>
      <c r="Q892" s="41" t="s">
        <v>26</v>
      </c>
    </row>
    <row r="893" spans="1:17" x14ac:dyDescent="0.25">
      <c r="A893" s="40" t="s">
        <v>182</v>
      </c>
      <c r="B893" s="40" t="s">
        <v>18</v>
      </c>
      <c r="C893" s="40" t="s">
        <v>19</v>
      </c>
      <c r="D893" s="40" t="s">
        <v>20</v>
      </c>
      <c r="E893" s="40" t="s">
        <v>21</v>
      </c>
      <c r="F893" s="40" t="s">
        <v>212</v>
      </c>
      <c r="G893" s="40" t="s">
        <v>76</v>
      </c>
      <c r="H893" s="40" t="s">
        <v>26</v>
      </c>
      <c r="I893" s="40" t="s">
        <v>185</v>
      </c>
      <c r="J893" s="40">
        <v>1.8286992712884771</v>
      </c>
      <c r="K893" s="40">
        <v>1.4495092805991279</v>
      </c>
      <c r="L893" s="40">
        <v>5.2876679807755511E-2</v>
      </c>
      <c r="M893" s="40">
        <v>2.6385180552088801</v>
      </c>
      <c r="N893" s="40">
        <v>3.7933235653642856</v>
      </c>
      <c r="O893" s="40">
        <v>86.873064450803639</v>
      </c>
      <c r="P893" s="40">
        <v>6.8180340207352391E-2</v>
      </c>
      <c r="Q893" s="41" t="s">
        <v>26</v>
      </c>
    </row>
    <row r="894" spans="1:17" x14ac:dyDescent="0.25">
      <c r="A894" s="40" t="s">
        <v>182</v>
      </c>
      <c r="B894" s="40" t="s">
        <v>18</v>
      </c>
      <c r="C894" s="40" t="s">
        <v>19</v>
      </c>
      <c r="D894" s="40" t="s">
        <v>20</v>
      </c>
      <c r="E894" s="40" t="s">
        <v>21</v>
      </c>
      <c r="F894" s="40" t="s">
        <v>213</v>
      </c>
      <c r="G894" s="40" t="s">
        <v>86</v>
      </c>
      <c r="H894" s="40" t="s">
        <v>26</v>
      </c>
      <c r="I894" s="40" t="s">
        <v>193</v>
      </c>
      <c r="J894" s="40">
        <v>3.5479001039999999E-4</v>
      </c>
      <c r="K894" s="40">
        <v>3.5479001039999999E-4</v>
      </c>
      <c r="L894" s="40">
        <v>1.8410724864000001E-7</v>
      </c>
      <c r="M894" s="40">
        <v>3.7684452456000004E-3</v>
      </c>
      <c r="N894" s="40">
        <v>6.6163542479999995E-3</v>
      </c>
      <c r="O894" s="40">
        <v>1.6302731246271653E-4</v>
      </c>
      <c r="P894" s="40">
        <v>0</v>
      </c>
      <c r="Q894" s="41" t="s">
        <v>26</v>
      </c>
    </row>
    <row r="895" spans="1:17" x14ac:dyDescent="0.25">
      <c r="A895" s="40" t="s">
        <v>182</v>
      </c>
      <c r="B895" s="40" t="s">
        <v>18</v>
      </c>
      <c r="C895" s="40" t="s">
        <v>19</v>
      </c>
      <c r="D895" s="40" t="s">
        <v>20</v>
      </c>
      <c r="E895" s="40" t="s">
        <v>21</v>
      </c>
      <c r="F895" s="40" t="s">
        <v>213</v>
      </c>
      <c r="G895" s="40" t="s">
        <v>86</v>
      </c>
      <c r="H895" s="40" t="s">
        <v>26</v>
      </c>
      <c r="I895" s="40" t="s">
        <v>195</v>
      </c>
      <c r="J895" s="40">
        <v>9.3637843627063511E-3</v>
      </c>
      <c r="K895" s="40">
        <v>7.1375689780909662E-3</v>
      </c>
      <c r="L895" s="40">
        <v>1.6874650195579332E-2</v>
      </c>
      <c r="M895" s="40">
        <v>8.2762365291065343E-2</v>
      </c>
      <c r="N895" s="40">
        <v>0.17863767351828369</v>
      </c>
      <c r="O895" s="40">
        <v>3.5325165215608317E-3</v>
      </c>
      <c r="P895" s="40">
        <v>2.3756061538461539E-3</v>
      </c>
      <c r="Q895" s="41" t="s">
        <v>26</v>
      </c>
    </row>
    <row r="896" spans="1:17" x14ac:dyDescent="0.25">
      <c r="A896" s="40" t="s">
        <v>182</v>
      </c>
      <c r="B896" s="40" t="s">
        <v>18</v>
      </c>
      <c r="C896" s="40" t="s">
        <v>19</v>
      </c>
      <c r="D896" s="40" t="s">
        <v>20</v>
      </c>
      <c r="E896" s="40" t="s">
        <v>21</v>
      </c>
      <c r="F896" s="40" t="s">
        <v>213</v>
      </c>
      <c r="G896" s="40" t="s">
        <v>86</v>
      </c>
      <c r="H896" s="40" t="s">
        <v>26</v>
      </c>
      <c r="I896" s="40" t="s">
        <v>196</v>
      </c>
      <c r="J896" s="40">
        <v>9.6082902391592366</v>
      </c>
      <c r="K896" s="40">
        <v>7.1055291837424299</v>
      </c>
      <c r="L896" s="40">
        <v>1.5355963932450574E-2</v>
      </c>
      <c r="M896" s="40">
        <v>1.9705011940055834</v>
      </c>
      <c r="N896" s="40">
        <v>2.3598001785557536</v>
      </c>
      <c r="O896" s="40">
        <v>28.126660719382393</v>
      </c>
      <c r="P896" s="40">
        <v>7.469175466603227E-2</v>
      </c>
      <c r="Q896" s="41" t="s">
        <v>26</v>
      </c>
    </row>
    <row r="897" spans="1:17" x14ac:dyDescent="0.25">
      <c r="A897" s="40" t="s">
        <v>182</v>
      </c>
      <c r="B897" s="40" t="s">
        <v>18</v>
      </c>
      <c r="C897" s="40" t="s">
        <v>19</v>
      </c>
      <c r="D897" s="40" t="s">
        <v>20</v>
      </c>
      <c r="E897" s="40" t="s">
        <v>21</v>
      </c>
      <c r="F897" s="40" t="s">
        <v>213</v>
      </c>
      <c r="G897" s="40" t="s">
        <v>86</v>
      </c>
      <c r="H897" s="40" t="s">
        <v>26</v>
      </c>
      <c r="I897" s="40" t="s">
        <v>198</v>
      </c>
      <c r="J897" s="40">
        <v>102.14213371631428</v>
      </c>
      <c r="K897" s="40">
        <v>73.475772497585936</v>
      </c>
      <c r="L897" s="40">
        <v>0.99042599930069586</v>
      </c>
      <c r="M897" s="40">
        <v>97.638025847069372</v>
      </c>
      <c r="N897" s="40">
        <v>120.67583498409451</v>
      </c>
      <c r="O897" s="40">
        <v>11.08649745658453</v>
      </c>
      <c r="P897" s="40">
        <v>3.7483043076645455</v>
      </c>
      <c r="Q897" s="41" t="s">
        <v>26</v>
      </c>
    </row>
    <row r="898" spans="1:17" x14ac:dyDescent="0.25">
      <c r="A898" s="40" t="s">
        <v>182</v>
      </c>
      <c r="B898" s="40" t="s">
        <v>18</v>
      </c>
      <c r="C898" s="40" t="s">
        <v>19</v>
      </c>
      <c r="D898" s="40" t="s">
        <v>20</v>
      </c>
      <c r="E898" s="40" t="s">
        <v>21</v>
      </c>
      <c r="F898" s="40" t="s">
        <v>219</v>
      </c>
      <c r="G898" s="40" t="s">
        <v>21</v>
      </c>
      <c r="H898" s="40" t="s">
        <v>26</v>
      </c>
      <c r="I898" s="40" t="s">
        <v>187</v>
      </c>
      <c r="J898" s="40">
        <v>0.19938419999999996</v>
      </c>
      <c r="K898" s="40">
        <v>0.15123809999999999</v>
      </c>
      <c r="L898" s="40">
        <v>2.6999999999999997E-3</v>
      </c>
      <c r="M898" s="40">
        <v>0.374</v>
      </c>
      <c r="N898" s="40">
        <v>1.3575000000000002</v>
      </c>
      <c r="O898" s="40">
        <v>2.4500000000000001E-2</v>
      </c>
      <c r="P898" s="40">
        <v>1.43E-2</v>
      </c>
      <c r="Q898" s="41" t="s">
        <v>26</v>
      </c>
    </row>
    <row r="899" spans="1:17" x14ac:dyDescent="0.25">
      <c r="A899" s="40" t="s">
        <v>182</v>
      </c>
      <c r="B899" s="40" t="s">
        <v>18</v>
      </c>
      <c r="C899" s="40" t="s">
        <v>19</v>
      </c>
      <c r="D899" s="40" t="s">
        <v>20</v>
      </c>
      <c r="E899" s="40" t="s">
        <v>21</v>
      </c>
      <c r="F899" s="40" t="s">
        <v>219</v>
      </c>
      <c r="G899" s="40" t="s">
        <v>21</v>
      </c>
      <c r="H899" s="40" t="s">
        <v>26</v>
      </c>
      <c r="I899" s="40" t="s">
        <v>190</v>
      </c>
      <c r="J899" s="40">
        <v>17.505772437913677</v>
      </c>
      <c r="K899" s="40">
        <v>6.3140302510616095</v>
      </c>
      <c r="L899" s="40">
        <v>0.15670443879440227</v>
      </c>
      <c r="M899" s="40">
        <v>20.831448851528567</v>
      </c>
      <c r="N899" s="40">
        <v>25.44899504735141</v>
      </c>
      <c r="O899" s="40">
        <v>1.3310896359610274</v>
      </c>
      <c r="P899" s="40">
        <v>0.7518035492647388</v>
      </c>
      <c r="Q899" s="41" t="s">
        <v>26</v>
      </c>
    </row>
    <row r="900" spans="1:17" x14ac:dyDescent="0.25">
      <c r="A900" s="40" t="s">
        <v>182</v>
      </c>
      <c r="B900" s="40" t="s">
        <v>18</v>
      </c>
      <c r="C900" s="40" t="s">
        <v>19</v>
      </c>
      <c r="D900" s="40" t="s">
        <v>20</v>
      </c>
      <c r="E900" s="40" t="s">
        <v>21</v>
      </c>
      <c r="F900" s="40" t="s">
        <v>219</v>
      </c>
      <c r="G900" s="40" t="s">
        <v>21</v>
      </c>
      <c r="H900" s="40" t="s">
        <v>26</v>
      </c>
      <c r="I900" s="40" t="s">
        <v>191</v>
      </c>
      <c r="J900" s="40">
        <v>3.834651848609076E-5</v>
      </c>
      <c r="K900" s="40">
        <v>1.6442329136978329E-5</v>
      </c>
      <c r="L900" s="40">
        <v>1.6673383863334605E-4</v>
      </c>
      <c r="M900" s="40">
        <v>2.4692596694191109E-4</v>
      </c>
      <c r="N900" s="40">
        <v>7.0449290445158473E-4</v>
      </c>
      <c r="O900" s="40">
        <v>0.61471244779465362</v>
      </c>
      <c r="P900" s="40">
        <v>2.7224481248029592E-5</v>
      </c>
      <c r="Q900" s="41" t="s">
        <v>137</v>
      </c>
    </row>
    <row r="901" spans="1:17" x14ac:dyDescent="0.25">
      <c r="A901" s="40" t="s">
        <v>182</v>
      </c>
      <c r="B901" s="40" t="s">
        <v>18</v>
      </c>
      <c r="C901" s="40" t="s">
        <v>19</v>
      </c>
      <c r="D901" s="40" t="s">
        <v>20</v>
      </c>
      <c r="E901" s="40" t="s">
        <v>21</v>
      </c>
      <c r="F901" s="40" t="s">
        <v>219</v>
      </c>
      <c r="G901" s="40" t="s">
        <v>21</v>
      </c>
      <c r="H901" s="40" t="s">
        <v>26</v>
      </c>
      <c r="I901" s="40" t="s">
        <v>210</v>
      </c>
      <c r="J901" s="40">
        <v>5.5476000000000009E-6</v>
      </c>
      <c r="K901" s="40">
        <v>1.3896355029585798E-6</v>
      </c>
      <c r="L901" s="40">
        <v>3.1512994082840234E-5</v>
      </c>
      <c r="M901" s="40">
        <v>2.7738000000000001E-5</v>
      </c>
      <c r="N901" s="40">
        <v>1.10952E-4</v>
      </c>
      <c r="O901" s="40">
        <v>1.1106142011834319E-6</v>
      </c>
      <c r="P901" s="40">
        <v>4.4369857988165681E-6</v>
      </c>
      <c r="Q901" s="41" t="s">
        <v>26</v>
      </c>
    </row>
    <row r="902" spans="1:17" x14ac:dyDescent="0.25">
      <c r="A902" s="40" t="s">
        <v>182</v>
      </c>
      <c r="B902" s="40" t="s">
        <v>18</v>
      </c>
      <c r="C902" s="40" t="s">
        <v>19</v>
      </c>
      <c r="D902" s="40" t="s">
        <v>20</v>
      </c>
      <c r="E902" s="40" t="s">
        <v>21</v>
      </c>
      <c r="F902" s="40" t="s">
        <v>219</v>
      </c>
      <c r="G902" s="40" t="s">
        <v>21</v>
      </c>
      <c r="H902" s="40" t="s">
        <v>26</v>
      </c>
      <c r="I902" s="40" t="s">
        <v>192</v>
      </c>
      <c r="J902" s="40">
        <v>0</v>
      </c>
      <c r="K902" s="40">
        <v>0</v>
      </c>
      <c r="L902" s="40">
        <v>0</v>
      </c>
      <c r="M902" s="40">
        <v>0</v>
      </c>
      <c r="N902" s="40">
        <v>0</v>
      </c>
      <c r="O902" s="40">
        <v>0.23799999999999999</v>
      </c>
      <c r="P902" s="40">
        <v>0</v>
      </c>
      <c r="Q902" s="41" t="s">
        <v>26</v>
      </c>
    </row>
    <row r="903" spans="1:17" x14ac:dyDescent="0.25">
      <c r="A903" s="40" t="s">
        <v>182</v>
      </c>
      <c r="B903" s="40" t="s">
        <v>18</v>
      </c>
      <c r="C903" s="40" t="s">
        <v>19</v>
      </c>
      <c r="D903" s="40" t="s">
        <v>20</v>
      </c>
      <c r="E903" s="40" t="s">
        <v>21</v>
      </c>
      <c r="F903" s="40" t="s">
        <v>219</v>
      </c>
      <c r="G903" s="40" t="s">
        <v>21</v>
      </c>
      <c r="H903" s="40" t="s">
        <v>26</v>
      </c>
      <c r="I903" s="40" t="s">
        <v>194</v>
      </c>
      <c r="J903" s="40">
        <v>4.2282095747173204E-2</v>
      </c>
      <c r="K903" s="40">
        <v>4.0240438942439477E-2</v>
      </c>
      <c r="L903" s="40">
        <v>1.8609647656035413E-2</v>
      </c>
      <c r="M903" s="40">
        <v>0.45076721802387298</v>
      </c>
      <c r="N903" s="40">
        <v>0.5748697755558243</v>
      </c>
      <c r="O903" s="40">
        <v>9.9354808472167794E-2</v>
      </c>
      <c r="P903" s="40">
        <v>1.8876690620735027E-2</v>
      </c>
      <c r="Q903" s="41" t="s">
        <v>26</v>
      </c>
    </row>
    <row r="904" spans="1:17" x14ac:dyDescent="0.25">
      <c r="A904" s="40" t="s">
        <v>182</v>
      </c>
      <c r="B904" s="40" t="s">
        <v>18</v>
      </c>
      <c r="C904" s="40" t="s">
        <v>19</v>
      </c>
      <c r="D904" s="40" t="s">
        <v>20</v>
      </c>
      <c r="E904" s="40" t="s">
        <v>21</v>
      </c>
      <c r="F904" s="40" t="s">
        <v>219</v>
      </c>
      <c r="G904" s="40" t="s">
        <v>21</v>
      </c>
      <c r="H904" s="40" t="s">
        <v>26</v>
      </c>
      <c r="I904" s="40" t="s">
        <v>195</v>
      </c>
      <c r="J904" s="40">
        <v>0.42595035999999997</v>
      </c>
      <c r="K904" s="40">
        <v>0.30200461088757397</v>
      </c>
      <c r="L904" s="40">
        <v>2.4062485207100589E-4</v>
      </c>
      <c r="M904" s="40">
        <v>2.118E-4</v>
      </c>
      <c r="N904" s="40">
        <v>8.4719999999999999E-4</v>
      </c>
      <c r="O904" s="40">
        <v>9.2008480355029579E-2</v>
      </c>
      <c r="P904" s="40">
        <v>3.3879644970414206E-5</v>
      </c>
      <c r="Q904" s="41" t="s">
        <v>26</v>
      </c>
    </row>
    <row r="905" spans="1:17" x14ac:dyDescent="0.25">
      <c r="A905" s="40" t="s">
        <v>182</v>
      </c>
      <c r="B905" s="40" t="s">
        <v>18</v>
      </c>
      <c r="C905" s="40" t="s">
        <v>19</v>
      </c>
      <c r="D905" s="40" t="s">
        <v>20</v>
      </c>
      <c r="E905" s="40" t="s">
        <v>21</v>
      </c>
      <c r="F905" s="40" t="s">
        <v>219</v>
      </c>
      <c r="G905" s="40" t="s">
        <v>21</v>
      </c>
      <c r="H905" s="40" t="s">
        <v>26</v>
      </c>
      <c r="I905" s="40" t="s">
        <v>196</v>
      </c>
      <c r="J905" s="40">
        <v>9.8172981152502601</v>
      </c>
      <c r="K905" s="40">
        <v>9.8035536152502605</v>
      </c>
      <c r="L905" s="40">
        <v>0.79147838882736055</v>
      </c>
      <c r="M905" s="40">
        <v>104.32228443898676</v>
      </c>
      <c r="N905" s="40">
        <v>124.2560809069127</v>
      </c>
      <c r="O905" s="40">
        <v>15.374210970866754</v>
      </c>
      <c r="P905" s="40">
        <v>3.9796509919710275</v>
      </c>
      <c r="Q905" s="41" t="s">
        <v>26</v>
      </c>
    </row>
    <row r="906" spans="1:17" x14ac:dyDescent="0.25">
      <c r="A906" s="40" t="s">
        <v>182</v>
      </c>
      <c r="B906" s="40" t="s">
        <v>18</v>
      </c>
      <c r="C906" s="40" t="s">
        <v>19</v>
      </c>
      <c r="D906" s="40" t="s">
        <v>20</v>
      </c>
      <c r="E906" s="40" t="s">
        <v>21</v>
      </c>
      <c r="F906" s="40" t="s">
        <v>219</v>
      </c>
      <c r="G906" s="40" t="s">
        <v>21</v>
      </c>
      <c r="H906" s="40" t="s">
        <v>26</v>
      </c>
      <c r="I906" s="40" t="s">
        <v>197</v>
      </c>
      <c r="J906" s="40">
        <v>8.6646620109392981E-3</v>
      </c>
      <c r="K906" s="40">
        <v>8.6646620109392981E-3</v>
      </c>
      <c r="L906" s="40">
        <v>6.8690644592981904E-4</v>
      </c>
      <c r="M906" s="40">
        <v>9.5751143265532926E-2</v>
      </c>
      <c r="N906" s="40">
        <v>0.11398429155837182</v>
      </c>
      <c r="O906" s="40">
        <v>1.8867331149453246</v>
      </c>
      <c r="P906" s="40">
        <v>3.6574755498192993E-3</v>
      </c>
      <c r="Q906" s="41" t="s">
        <v>26</v>
      </c>
    </row>
    <row r="907" spans="1:17" x14ac:dyDescent="0.25">
      <c r="A907" s="40" t="s">
        <v>182</v>
      </c>
      <c r="B907" s="40" t="s">
        <v>18</v>
      </c>
      <c r="C907" s="40" t="s">
        <v>19</v>
      </c>
      <c r="D907" s="40" t="s">
        <v>20</v>
      </c>
      <c r="E907" s="40" t="s">
        <v>21</v>
      </c>
      <c r="F907" s="40" t="s">
        <v>219</v>
      </c>
      <c r="G907" s="40" t="s">
        <v>21</v>
      </c>
      <c r="H907" s="40" t="s">
        <v>26</v>
      </c>
      <c r="I907" s="40" t="s">
        <v>198</v>
      </c>
      <c r="J907" s="40">
        <v>282.64090661482027</v>
      </c>
      <c r="K907" s="40">
        <v>169.89883106735107</v>
      </c>
      <c r="L907" s="40">
        <v>1.1352518383939176</v>
      </c>
      <c r="M907" s="40">
        <v>23.757550580705669</v>
      </c>
      <c r="N907" s="40">
        <v>30.975506303785203</v>
      </c>
      <c r="O907" s="40">
        <v>3.2888974413516894</v>
      </c>
      <c r="P907" s="40">
        <v>0.99274927491493026</v>
      </c>
      <c r="Q907" s="41" t="s">
        <v>26</v>
      </c>
    </row>
    <row r="908" spans="1:17" x14ac:dyDescent="0.25">
      <c r="A908" s="40" t="s">
        <v>182</v>
      </c>
      <c r="B908" s="40" t="s">
        <v>18</v>
      </c>
      <c r="C908" s="40" t="s">
        <v>19</v>
      </c>
      <c r="D908" s="40" t="s">
        <v>20</v>
      </c>
      <c r="E908" s="40" t="s">
        <v>21</v>
      </c>
      <c r="F908" s="40" t="s">
        <v>219</v>
      </c>
      <c r="G908" s="40" t="s">
        <v>21</v>
      </c>
      <c r="H908" s="40" t="s">
        <v>26</v>
      </c>
      <c r="I908" s="40" t="s">
        <v>199</v>
      </c>
      <c r="J908" s="40">
        <v>1.03047192E-2</v>
      </c>
      <c r="K908" s="40">
        <v>2.991180738461538E-3</v>
      </c>
      <c r="L908" s="40">
        <v>5.5429206883643077E-2</v>
      </c>
      <c r="M908" s="40">
        <v>5.4598168799999999E-2</v>
      </c>
      <c r="N908" s="40">
        <v>0.20535530399999999</v>
      </c>
      <c r="O908" s="40">
        <v>2.2047959959100548E-3</v>
      </c>
      <c r="P908" s="40">
        <v>7.8043153846153856E-3</v>
      </c>
      <c r="Q908" s="41" t="s">
        <v>26</v>
      </c>
    </row>
    <row r="909" spans="1:17" x14ac:dyDescent="0.25">
      <c r="A909" s="40" t="s">
        <v>182</v>
      </c>
      <c r="B909" s="40" t="s">
        <v>18</v>
      </c>
      <c r="C909" s="40" t="s">
        <v>19</v>
      </c>
      <c r="D909" s="40" t="s">
        <v>20</v>
      </c>
      <c r="E909" s="40" t="s">
        <v>21</v>
      </c>
      <c r="F909" s="40" t="s">
        <v>219</v>
      </c>
      <c r="G909" s="40" t="s">
        <v>21</v>
      </c>
      <c r="H909" s="40" t="s">
        <v>26</v>
      </c>
      <c r="I909" s="40" t="s">
        <v>200</v>
      </c>
      <c r="J909" s="40">
        <v>0.2342961327223527</v>
      </c>
      <c r="K909" s="40">
        <v>0.2342961327223527</v>
      </c>
      <c r="L909" s="40">
        <v>1.8005074451007536E-2</v>
      </c>
      <c r="M909" s="40">
        <v>2.586056606921483</v>
      </c>
      <c r="N909" s="40">
        <v>3.1218196854072904</v>
      </c>
      <c r="O909" s="40">
        <v>22.118226565378638</v>
      </c>
      <c r="P909" s="40">
        <v>9.5854270058688559E-2</v>
      </c>
      <c r="Q909" s="41" t="s">
        <v>26</v>
      </c>
    </row>
    <row r="910" spans="1:17" x14ac:dyDescent="0.25">
      <c r="A910" s="40" t="s">
        <v>182</v>
      </c>
      <c r="B910" s="40" t="s">
        <v>18</v>
      </c>
      <c r="C910" s="40" t="s">
        <v>19</v>
      </c>
      <c r="D910" s="40" t="s">
        <v>20</v>
      </c>
      <c r="E910" s="40" t="s">
        <v>21</v>
      </c>
      <c r="F910" s="40" t="s">
        <v>219</v>
      </c>
      <c r="G910" s="40" t="s">
        <v>21</v>
      </c>
      <c r="H910" s="40" t="s">
        <v>26</v>
      </c>
      <c r="I910" s="40" t="s">
        <v>185</v>
      </c>
      <c r="J910" s="40">
        <v>1.9094601840000001E-3</v>
      </c>
      <c r="K910" s="40">
        <v>1.9094601840000001E-3</v>
      </c>
      <c r="L910" s="40">
        <v>9.9085501440000007E-7</v>
      </c>
      <c r="M910" s="40">
        <v>2.0281563576E-2</v>
      </c>
      <c r="N910" s="40">
        <v>3.5608852079999996E-2</v>
      </c>
      <c r="O910" s="40">
        <v>51.564741239965528</v>
      </c>
      <c r="P910" s="40">
        <v>0</v>
      </c>
      <c r="Q910" s="41" t="s">
        <v>26</v>
      </c>
    </row>
    <row r="911" spans="1:17" x14ac:dyDescent="0.25">
      <c r="A911" s="40" t="s">
        <v>182</v>
      </c>
      <c r="B911" s="40" t="s">
        <v>18</v>
      </c>
      <c r="C911" s="40" t="s">
        <v>19</v>
      </c>
      <c r="D911" s="40" t="s">
        <v>20</v>
      </c>
      <c r="E911" s="40" t="s">
        <v>21</v>
      </c>
      <c r="F911" s="40" t="s">
        <v>220</v>
      </c>
      <c r="G911" s="40" t="s">
        <v>105</v>
      </c>
      <c r="H911" s="40" t="s">
        <v>26</v>
      </c>
      <c r="I911" s="40" t="s">
        <v>196</v>
      </c>
      <c r="J911" s="40">
        <v>0.20440177831706985</v>
      </c>
      <c r="K911" s="40">
        <v>0.17272162819162604</v>
      </c>
      <c r="L911" s="40">
        <v>3.9690070615264139E-2</v>
      </c>
      <c r="M911" s="40">
        <v>1.0185208351713806</v>
      </c>
      <c r="N911" s="40">
        <v>1.3833080633034225</v>
      </c>
      <c r="O911" s="40">
        <v>4.3664705492505078</v>
      </c>
      <c r="P911" s="40">
        <v>3.6604938908181901E-2</v>
      </c>
      <c r="Q911" s="41" t="s">
        <v>26</v>
      </c>
    </row>
    <row r="912" spans="1:17" x14ac:dyDescent="0.25">
      <c r="A912" s="40" t="s">
        <v>182</v>
      </c>
      <c r="B912" s="40" t="s">
        <v>18</v>
      </c>
      <c r="C912" s="40" t="s">
        <v>19</v>
      </c>
      <c r="D912" s="40" t="s">
        <v>20</v>
      </c>
      <c r="E912" s="40" t="s">
        <v>21</v>
      </c>
      <c r="F912" s="40" t="s">
        <v>220</v>
      </c>
      <c r="G912" s="40" t="s">
        <v>105</v>
      </c>
      <c r="H912" s="40" t="s">
        <v>26</v>
      </c>
      <c r="I912" s="40" t="s">
        <v>197</v>
      </c>
      <c r="J912" s="40">
        <v>0.11879685501865365</v>
      </c>
      <c r="K912" s="40">
        <v>0.11789951537368323</v>
      </c>
      <c r="L912" s="40">
        <v>1.612380796038787E-2</v>
      </c>
      <c r="M912" s="40">
        <v>1.3055519039370131</v>
      </c>
      <c r="N912" s="40">
        <v>1.5709767313684777</v>
      </c>
      <c r="O912" s="40">
        <v>8.5290866074835048E-2</v>
      </c>
      <c r="P912" s="40">
        <v>5.0598005313010945E-2</v>
      </c>
      <c r="Q912" s="41" t="s">
        <v>26</v>
      </c>
    </row>
    <row r="913" spans="1:17" x14ac:dyDescent="0.25">
      <c r="A913" s="40" t="s">
        <v>182</v>
      </c>
      <c r="B913" s="40" t="s">
        <v>18</v>
      </c>
      <c r="C913" s="40" t="s">
        <v>19</v>
      </c>
      <c r="D913" s="40" t="s">
        <v>20</v>
      </c>
      <c r="E913" s="40" t="s">
        <v>21</v>
      </c>
      <c r="F913" s="40" t="s">
        <v>220</v>
      </c>
      <c r="G913" s="40" t="s">
        <v>105</v>
      </c>
      <c r="H913" s="40" t="s">
        <v>26</v>
      </c>
      <c r="I913" s="40" t="s">
        <v>198</v>
      </c>
      <c r="J913" s="40">
        <v>1.2230350930338585</v>
      </c>
      <c r="K913" s="40">
        <v>0.69743879303385836</v>
      </c>
      <c r="L913" s="40">
        <v>0.23039853826381265</v>
      </c>
      <c r="M913" s="40">
        <v>2.9704674632652597</v>
      </c>
      <c r="N913" s="40">
        <v>5.9822784449045194</v>
      </c>
      <c r="O913" s="40">
        <v>0.35797931580019571</v>
      </c>
      <c r="P913" s="40">
        <v>8.5282374911510458E-2</v>
      </c>
      <c r="Q913" s="41" t="s">
        <v>26</v>
      </c>
    </row>
    <row r="914" spans="1:17" x14ac:dyDescent="0.25">
      <c r="A914" s="40" t="s">
        <v>182</v>
      </c>
      <c r="B914" s="40" t="s">
        <v>18</v>
      </c>
      <c r="C914" s="40" t="s">
        <v>19</v>
      </c>
      <c r="D914" s="40" t="s">
        <v>20</v>
      </c>
      <c r="E914" s="40" t="s">
        <v>21</v>
      </c>
      <c r="F914" s="40" t="s">
        <v>220</v>
      </c>
      <c r="G914" s="40" t="s">
        <v>105</v>
      </c>
      <c r="H914" s="40" t="s">
        <v>26</v>
      </c>
      <c r="I914" s="40" t="s">
        <v>199</v>
      </c>
      <c r="J914" s="40">
        <v>4.3336641563566586E-3</v>
      </c>
      <c r="K914" s="40">
        <v>3.5139434462974867E-3</v>
      </c>
      <c r="L914" s="40">
        <v>6.3387773894949201E-3</v>
      </c>
      <c r="M914" s="40">
        <v>4.0560542405468469E-2</v>
      </c>
      <c r="N914" s="40">
        <v>7.3612391644644573E-2</v>
      </c>
      <c r="O914" s="40">
        <v>2.124547882757343E-3</v>
      </c>
      <c r="P914" s="40">
        <v>1.5418752117764443E-3</v>
      </c>
      <c r="Q914" s="41" t="s">
        <v>26</v>
      </c>
    </row>
    <row r="915" spans="1:17" x14ac:dyDescent="0.25">
      <c r="A915" s="40" t="s">
        <v>182</v>
      </c>
      <c r="B915" s="40" t="s">
        <v>18</v>
      </c>
      <c r="C915" s="40" t="s">
        <v>19</v>
      </c>
      <c r="D915" s="40" t="s">
        <v>20</v>
      </c>
      <c r="E915" s="40" t="s">
        <v>21</v>
      </c>
      <c r="F915" s="40" t="s">
        <v>220</v>
      </c>
      <c r="G915" s="40" t="s">
        <v>105</v>
      </c>
      <c r="H915" s="40" t="s">
        <v>26</v>
      </c>
      <c r="I915" s="40" t="s">
        <v>185</v>
      </c>
      <c r="J915" s="40">
        <v>2.0314740320566873E-3</v>
      </c>
      <c r="K915" s="40">
        <v>1.6213528486247347E-3</v>
      </c>
      <c r="L915" s="40">
        <v>3.2259562711754661E-3</v>
      </c>
      <c r="M915" s="40">
        <v>1.9138436060787776E-2</v>
      </c>
      <c r="N915" s="40">
        <v>3.0469656292361858E-2</v>
      </c>
      <c r="O915" s="40">
        <v>21.636734770821025</v>
      </c>
      <c r="P915" s="40">
        <v>1.064180457697127E-3</v>
      </c>
      <c r="Q915" s="41" t="s">
        <v>26</v>
      </c>
    </row>
    <row r="916" spans="1:17" x14ac:dyDescent="0.25">
      <c r="A916" s="40" t="s">
        <v>182</v>
      </c>
      <c r="B916" s="40" t="s">
        <v>18</v>
      </c>
      <c r="C916" s="40" t="s">
        <v>19</v>
      </c>
      <c r="D916" s="40" t="s">
        <v>20</v>
      </c>
      <c r="E916" s="40" t="s">
        <v>21</v>
      </c>
      <c r="F916" s="40" t="s">
        <v>222</v>
      </c>
      <c r="G916" s="40" t="s">
        <v>113</v>
      </c>
      <c r="H916" s="40" t="s">
        <v>26</v>
      </c>
      <c r="I916" s="40" t="s">
        <v>187</v>
      </c>
      <c r="J916" s="40">
        <v>1.373678088E-2</v>
      </c>
      <c r="K916" s="40">
        <v>1.0195856382958581E-2</v>
      </c>
      <c r="L916" s="40">
        <v>4.0986569064823666E-4</v>
      </c>
      <c r="M916" s="40">
        <v>1.8200722320000001E-2</v>
      </c>
      <c r="N916" s="40">
        <v>3.2763405599999997E-2</v>
      </c>
      <c r="O916" s="40">
        <v>7.8622454276108019E-4</v>
      </c>
      <c r="P916" s="40">
        <v>5.7585798816568053E-5</v>
      </c>
      <c r="Q916" s="41" t="s">
        <v>26</v>
      </c>
    </row>
    <row r="917" spans="1:17" x14ac:dyDescent="0.25">
      <c r="A917" s="40" t="s">
        <v>182</v>
      </c>
      <c r="B917" s="40" t="s">
        <v>18</v>
      </c>
      <c r="C917" s="40" t="s">
        <v>19</v>
      </c>
      <c r="D917" s="40" t="s">
        <v>20</v>
      </c>
      <c r="E917" s="40" t="s">
        <v>21</v>
      </c>
      <c r="F917" s="40" t="s">
        <v>222</v>
      </c>
      <c r="G917" s="40" t="s">
        <v>113</v>
      </c>
      <c r="H917" s="40" t="s">
        <v>26</v>
      </c>
      <c r="I917" s="40" t="s">
        <v>190</v>
      </c>
      <c r="J917" s="40">
        <v>6.5608370775144609</v>
      </c>
      <c r="K917" s="40">
        <v>3.581053151768776</v>
      </c>
      <c r="L917" s="40">
        <v>38.298454061639752</v>
      </c>
      <c r="M917" s="40">
        <v>15.166712901680491</v>
      </c>
      <c r="N917" s="40">
        <v>22.067585481093136</v>
      </c>
      <c r="O917" s="40">
        <v>0.9808383873352825</v>
      </c>
      <c r="P917" s="40">
        <v>0.65482165584213248</v>
      </c>
      <c r="Q917" s="41" t="s">
        <v>26</v>
      </c>
    </row>
    <row r="918" spans="1:17" x14ac:dyDescent="0.25">
      <c r="A918" s="40" t="s">
        <v>182</v>
      </c>
      <c r="B918" s="40" t="s">
        <v>18</v>
      </c>
      <c r="C918" s="40" t="s">
        <v>19</v>
      </c>
      <c r="D918" s="40" t="s">
        <v>20</v>
      </c>
      <c r="E918" s="40" t="s">
        <v>21</v>
      </c>
      <c r="F918" s="40" t="s">
        <v>222</v>
      </c>
      <c r="G918" s="40" t="s">
        <v>113</v>
      </c>
      <c r="H918" s="40" t="s">
        <v>26</v>
      </c>
      <c r="I918" s="40" t="s">
        <v>196</v>
      </c>
      <c r="J918" s="40">
        <v>0.85244579260161091</v>
      </c>
      <c r="K918" s="40">
        <v>0.85061411260161091</v>
      </c>
      <c r="L918" s="40">
        <v>7.6933387439210858E-6</v>
      </c>
      <c r="M918" s="40">
        <v>0.22053685750116245</v>
      </c>
      <c r="N918" s="40">
        <v>0.38720071923938693</v>
      </c>
      <c r="O918" s="40">
        <v>9.5405818835003538E-3</v>
      </c>
      <c r="P918" s="40">
        <v>0</v>
      </c>
      <c r="Q918" s="41" t="s">
        <v>26</v>
      </c>
    </row>
    <row r="919" spans="1:17" x14ac:dyDescent="0.25">
      <c r="A919" s="40" t="s">
        <v>182</v>
      </c>
      <c r="B919" s="40" t="s">
        <v>18</v>
      </c>
      <c r="C919" s="40" t="s">
        <v>19</v>
      </c>
      <c r="D919" s="40" t="s">
        <v>20</v>
      </c>
      <c r="E919" s="40" t="s">
        <v>21</v>
      </c>
      <c r="F919" s="40" t="s">
        <v>222</v>
      </c>
      <c r="G919" s="40" t="s">
        <v>113</v>
      </c>
      <c r="H919" s="40" t="s">
        <v>26</v>
      </c>
      <c r="I919" s="40" t="s">
        <v>197</v>
      </c>
      <c r="J919" s="40">
        <v>3.4161359999999997E-3</v>
      </c>
      <c r="K919" s="40">
        <v>3.4161359999999997E-3</v>
      </c>
      <c r="L919" s="40">
        <v>1.7726976E-6</v>
      </c>
      <c r="M919" s="40">
        <v>3.6284904E-2</v>
      </c>
      <c r="N919" s="40">
        <v>6.3706319999999997E-2</v>
      </c>
      <c r="O919" s="40">
        <v>1.5697270350403714E-3</v>
      </c>
      <c r="P919" s="40">
        <v>0</v>
      </c>
      <c r="Q919" s="41" t="s">
        <v>26</v>
      </c>
    </row>
    <row r="920" spans="1:17" x14ac:dyDescent="0.25">
      <c r="A920" s="40" t="s">
        <v>182</v>
      </c>
      <c r="B920" s="40" t="s">
        <v>18</v>
      </c>
      <c r="C920" s="40" t="s">
        <v>19</v>
      </c>
      <c r="D920" s="40" t="s">
        <v>20</v>
      </c>
      <c r="E920" s="40" t="s">
        <v>21</v>
      </c>
      <c r="F920" s="40" t="s">
        <v>222</v>
      </c>
      <c r="G920" s="40" t="s">
        <v>113</v>
      </c>
      <c r="H920" s="40" t="s">
        <v>26</v>
      </c>
      <c r="I920" s="40" t="s">
        <v>198</v>
      </c>
      <c r="J920" s="40">
        <v>0.12975929999999999</v>
      </c>
      <c r="K920" s="40">
        <v>3.8963699999999997E-2</v>
      </c>
      <c r="L920" s="40">
        <v>5.8752000000000001E-7</v>
      </c>
      <c r="M920" s="40">
        <v>1.2025800000000001E-2</v>
      </c>
      <c r="N920" s="40">
        <v>2.1114000000000001E-2</v>
      </c>
      <c r="O920" s="40">
        <v>5.2025005710332043E-4</v>
      </c>
      <c r="P920" s="40">
        <v>0</v>
      </c>
      <c r="Q920" s="41" t="s">
        <v>26</v>
      </c>
    </row>
    <row r="921" spans="1:17" x14ac:dyDescent="0.25">
      <c r="A921" s="40" t="s">
        <v>182</v>
      </c>
      <c r="B921" s="40" t="s">
        <v>18</v>
      </c>
      <c r="C921" s="40" t="s">
        <v>19</v>
      </c>
      <c r="D921" s="40" t="s">
        <v>20</v>
      </c>
      <c r="E921" s="40" t="s">
        <v>21</v>
      </c>
      <c r="F921" s="40" t="s">
        <v>222</v>
      </c>
      <c r="G921" s="40" t="s">
        <v>113</v>
      </c>
      <c r="H921" s="40" t="s">
        <v>26</v>
      </c>
      <c r="I921" s="40" t="s">
        <v>185</v>
      </c>
      <c r="J921" s="40">
        <v>6.0129557454195952E-2</v>
      </c>
      <c r="K921" s="40">
        <v>6.0129557454195952E-2</v>
      </c>
      <c r="L921" s="40">
        <v>4.1540825287942826E-3</v>
      </c>
      <c r="M921" s="40">
        <v>0.66113855132227251</v>
      </c>
      <c r="N921" s="40">
        <v>0.83375301089528842</v>
      </c>
      <c r="O921" s="40">
        <v>35.233988340025583</v>
      </c>
      <c r="P921" s="40">
        <v>2.2097169180178681E-2</v>
      </c>
      <c r="Q921" s="41" t="s">
        <v>26</v>
      </c>
    </row>
    <row r="922" spans="1:17" x14ac:dyDescent="0.25">
      <c r="A922" s="40" t="s">
        <v>182</v>
      </c>
      <c r="B922" s="40" t="s">
        <v>18</v>
      </c>
      <c r="C922" s="40" t="s">
        <v>19</v>
      </c>
      <c r="D922" s="40" t="s">
        <v>20</v>
      </c>
      <c r="E922" s="40" t="s">
        <v>21</v>
      </c>
      <c r="F922" s="40" t="s">
        <v>223</v>
      </c>
      <c r="G922" s="40" t="s">
        <v>115</v>
      </c>
      <c r="H922" s="40" t="s">
        <v>26</v>
      </c>
      <c r="I922" s="40" t="s">
        <v>187</v>
      </c>
      <c r="J922" s="40">
        <v>6.5258560735027196</v>
      </c>
      <c r="K922" s="40">
        <v>5.1014294637985804</v>
      </c>
      <c r="L922" s="40">
        <v>7.7453719499217038E-3</v>
      </c>
      <c r="M922" s="40">
        <v>1.2647923296167676</v>
      </c>
      <c r="N922" s="40">
        <v>1.6539563921645295</v>
      </c>
      <c r="O922" s="40">
        <v>14.532485472533576</v>
      </c>
      <c r="P922" s="40">
        <v>3.8465622715426195E-2</v>
      </c>
      <c r="Q922" s="41" t="s">
        <v>26</v>
      </c>
    </row>
    <row r="923" spans="1:17" x14ac:dyDescent="0.25">
      <c r="A923" s="40" t="s">
        <v>182</v>
      </c>
      <c r="B923" s="40" t="s">
        <v>18</v>
      </c>
      <c r="C923" s="40" t="s">
        <v>19</v>
      </c>
      <c r="D923" s="40" t="s">
        <v>20</v>
      </c>
      <c r="E923" s="40" t="s">
        <v>21</v>
      </c>
      <c r="F923" s="40" t="s">
        <v>223</v>
      </c>
      <c r="G923" s="40" t="s">
        <v>115</v>
      </c>
      <c r="H923" s="40" t="s">
        <v>26</v>
      </c>
      <c r="I923" s="40" t="s">
        <v>190</v>
      </c>
      <c r="J923" s="40">
        <v>2.9226268610021724</v>
      </c>
      <c r="K923" s="40">
        <v>1.8081186755347165</v>
      </c>
      <c r="L923" s="40">
        <v>0.10877233492395619</v>
      </c>
      <c r="M923" s="40">
        <v>15.054023968049849</v>
      </c>
      <c r="N923" s="40">
        <v>17.957243237146276</v>
      </c>
      <c r="O923" s="40">
        <v>3.1829850113883911</v>
      </c>
      <c r="P923" s="40">
        <v>0.57300457069980948</v>
      </c>
      <c r="Q923" s="41" t="s">
        <v>26</v>
      </c>
    </row>
    <row r="924" spans="1:17" x14ac:dyDescent="0.25">
      <c r="A924" s="40" t="s">
        <v>182</v>
      </c>
      <c r="B924" s="40" t="s">
        <v>18</v>
      </c>
      <c r="C924" s="40" t="s">
        <v>19</v>
      </c>
      <c r="D924" s="40" t="s">
        <v>20</v>
      </c>
      <c r="E924" s="40" t="s">
        <v>21</v>
      </c>
      <c r="F924" s="40" t="s">
        <v>223</v>
      </c>
      <c r="G924" s="40" t="s">
        <v>115</v>
      </c>
      <c r="H924" s="40" t="s">
        <v>26</v>
      </c>
      <c r="I924" s="40" t="s">
        <v>210</v>
      </c>
      <c r="J924" s="40">
        <v>1.8164778808189549E-2</v>
      </c>
      <c r="K924" s="40">
        <v>1.8164778808189549E-2</v>
      </c>
      <c r="L924" s="40">
        <v>6.4804776340312344E-6</v>
      </c>
      <c r="M924" s="40">
        <v>0.1929432605980119</v>
      </c>
      <c r="N924" s="40">
        <v>0.3387540073637148</v>
      </c>
      <c r="O924" s="40">
        <v>1.7483468551926322</v>
      </c>
      <c r="P924" s="40">
        <v>0</v>
      </c>
      <c r="Q924" s="41" t="s">
        <v>26</v>
      </c>
    </row>
    <row r="925" spans="1:17" x14ac:dyDescent="0.25">
      <c r="A925" s="40" t="s">
        <v>182</v>
      </c>
      <c r="B925" s="40" t="s">
        <v>18</v>
      </c>
      <c r="C925" s="40" t="s">
        <v>19</v>
      </c>
      <c r="D925" s="40" t="s">
        <v>20</v>
      </c>
      <c r="E925" s="40" t="s">
        <v>21</v>
      </c>
      <c r="F925" s="40" t="s">
        <v>223</v>
      </c>
      <c r="G925" s="40" t="s">
        <v>115</v>
      </c>
      <c r="H925" s="40" t="s">
        <v>26</v>
      </c>
      <c r="I925" s="40" t="s">
        <v>192</v>
      </c>
      <c r="J925" s="40">
        <v>5.6540304960000006E-3</v>
      </c>
      <c r="K925" s="40">
        <v>4.0301524368284028E-3</v>
      </c>
      <c r="L925" s="40">
        <v>1.2309096039348865E-2</v>
      </c>
      <c r="M925" s="40">
        <v>4.7875194144000002E-2</v>
      </c>
      <c r="N925" s="40">
        <v>0.10836785952000001</v>
      </c>
      <c r="O925" s="40">
        <v>144.8829162356997</v>
      </c>
      <c r="P925" s="40">
        <v>1.7328488236686393E-3</v>
      </c>
      <c r="Q925" s="41" t="s">
        <v>26</v>
      </c>
    </row>
    <row r="926" spans="1:17" x14ac:dyDescent="0.25">
      <c r="A926" s="40" t="s">
        <v>182</v>
      </c>
      <c r="B926" s="40" t="s">
        <v>18</v>
      </c>
      <c r="C926" s="40" t="s">
        <v>19</v>
      </c>
      <c r="D926" s="40" t="s">
        <v>20</v>
      </c>
      <c r="E926" s="40" t="s">
        <v>21</v>
      </c>
      <c r="F926" s="40" t="s">
        <v>223</v>
      </c>
      <c r="G926" s="40" t="s">
        <v>115</v>
      </c>
      <c r="H926" s="40" t="s">
        <v>26</v>
      </c>
      <c r="I926" s="40" t="s">
        <v>193</v>
      </c>
      <c r="J926" s="40">
        <v>4.9945142640000001E-3</v>
      </c>
      <c r="K926" s="40">
        <v>4.9945142640000001E-3</v>
      </c>
      <c r="L926" s="40">
        <v>2.5917479424E-6</v>
      </c>
      <c r="M926" s="40">
        <v>5.3049840696000009E-2</v>
      </c>
      <c r="N926" s="40">
        <v>9.3140941679999992E-2</v>
      </c>
      <c r="O926" s="40">
        <v>2.1262949976426864</v>
      </c>
      <c r="P926" s="40">
        <v>0</v>
      </c>
      <c r="Q926" s="41" t="s">
        <v>26</v>
      </c>
    </row>
    <row r="927" spans="1:17" x14ac:dyDescent="0.25">
      <c r="A927" s="40" t="s">
        <v>182</v>
      </c>
      <c r="B927" s="40" t="s">
        <v>18</v>
      </c>
      <c r="C927" s="40" t="s">
        <v>19</v>
      </c>
      <c r="D927" s="40" t="s">
        <v>20</v>
      </c>
      <c r="E927" s="40" t="s">
        <v>21</v>
      </c>
      <c r="F927" s="40" t="s">
        <v>223</v>
      </c>
      <c r="G927" s="40" t="s">
        <v>115</v>
      </c>
      <c r="H927" s="40" t="s">
        <v>26</v>
      </c>
      <c r="I927" s="40" t="s">
        <v>196</v>
      </c>
      <c r="J927" s="40">
        <v>4.5455367040044647</v>
      </c>
      <c r="K927" s="40">
        <v>3.2315963429393757</v>
      </c>
      <c r="L927" s="40">
        <v>0.12538492352575351</v>
      </c>
      <c r="M927" s="40">
        <v>8.2646146996089573</v>
      </c>
      <c r="N927" s="40">
        <v>10.660769424323563</v>
      </c>
      <c r="O927" s="40">
        <v>46.496424498469523</v>
      </c>
      <c r="P927" s="40">
        <v>0.28584342593248835</v>
      </c>
      <c r="Q927" s="41" t="s">
        <v>26</v>
      </c>
    </row>
    <row r="928" spans="1:17" x14ac:dyDescent="0.25">
      <c r="A928" s="40" t="s">
        <v>182</v>
      </c>
      <c r="B928" s="40" t="s">
        <v>18</v>
      </c>
      <c r="C928" s="40" t="s">
        <v>19</v>
      </c>
      <c r="D928" s="40" t="s">
        <v>20</v>
      </c>
      <c r="E928" s="40" t="s">
        <v>21</v>
      </c>
      <c r="F928" s="40" t="s">
        <v>223</v>
      </c>
      <c r="G928" s="40" t="s">
        <v>115</v>
      </c>
      <c r="H928" s="40" t="s">
        <v>26</v>
      </c>
      <c r="I928" s="40" t="s">
        <v>198</v>
      </c>
      <c r="J928" s="40">
        <v>0.86760954696496695</v>
      </c>
      <c r="K928" s="40">
        <v>0.86760954696496695</v>
      </c>
      <c r="L928" s="40">
        <v>6.8781285364399342E-2</v>
      </c>
      <c r="M928" s="40">
        <v>9.5877491730321918</v>
      </c>
      <c r="N928" s="40">
        <v>11.413469958231072</v>
      </c>
      <c r="O928" s="40">
        <v>0.62747839279802886</v>
      </c>
      <c r="P928" s="40">
        <v>0.3662301773350034</v>
      </c>
      <c r="Q928" s="41" t="s">
        <v>26</v>
      </c>
    </row>
    <row r="929" spans="1:17" x14ac:dyDescent="0.25">
      <c r="A929" s="40" t="s">
        <v>182</v>
      </c>
      <c r="B929" s="40" t="s">
        <v>18</v>
      </c>
      <c r="C929" s="40" t="s">
        <v>19</v>
      </c>
      <c r="D929" s="40" t="s">
        <v>20</v>
      </c>
      <c r="E929" s="40" t="s">
        <v>21</v>
      </c>
      <c r="F929" s="40" t="s">
        <v>223</v>
      </c>
      <c r="G929" s="40" t="s">
        <v>115</v>
      </c>
      <c r="H929" s="40" t="s">
        <v>26</v>
      </c>
      <c r="I929" s="40" t="s">
        <v>224</v>
      </c>
      <c r="J929" s="40">
        <v>7.9912978777208696E-2</v>
      </c>
      <c r="K929" s="40">
        <v>6.1744217327267856E-2</v>
      </c>
      <c r="L929" s="40">
        <v>1.5155286960675475E-3</v>
      </c>
      <c r="M929" s="40">
        <v>0.19332454544649186</v>
      </c>
      <c r="N929" s="40">
        <v>0.23933076758561389</v>
      </c>
      <c r="O929" s="40">
        <v>1.2309341902732413E-2</v>
      </c>
      <c r="P929" s="40">
        <v>6.8288253478411961E-3</v>
      </c>
      <c r="Q929" s="41" t="s">
        <v>26</v>
      </c>
    </row>
    <row r="930" spans="1:17" x14ac:dyDescent="0.25">
      <c r="A930" s="40" t="s">
        <v>182</v>
      </c>
      <c r="B930" s="40" t="s">
        <v>18</v>
      </c>
      <c r="C930" s="40" t="s">
        <v>19</v>
      </c>
      <c r="D930" s="40" t="s">
        <v>20</v>
      </c>
      <c r="E930" s="40" t="s">
        <v>21</v>
      </c>
      <c r="F930" s="40" t="s">
        <v>223</v>
      </c>
      <c r="G930" s="40" t="s">
        <v>115</v>
      </c>
      <c r="H930" s="40" t="s">
        <v>26</v>
      </c>
      <c r="I930" s="40" t="s">
        <v>200</v>
      </c>
      <c r="J930" s="40">
        <v>1.0977687203102549E-2</v>
      </c>
      <c r="K930" s="40">
        <v>9.7230126468895312E-3</v>
      </c>
      <c r="L930" s="40">
        <v>9.5594707032145669E-3</v>
      </c>
      <c r="M930" s="40">
        <v>0.10744787672861997</v>
      </c>
      <c r="N930" s="40">
        <v>0.20370943541281078</v>
      </c>
      <c r="O930" s="40">
        <v>4.7674315781806751E-3</v>
      </c>
      <c r="P930" s="40">
        <v>1.5904645593762786E-3</v>
      </c>
      <c r="Q930" s="41" t="s">
        <v>26</v>
      </c>
    </row>
    <row r="931" spans="1:17" x14ac:dyDescent="0.25">
      <c r="A931" s="40" t="s">
        <v>182</v>
      </c>
      <c r="B931" s="40" t="s">
        <v>18</v>
      </c>
      <c r="C931" s="40" t="s">
        <v>19</v>
      </c>
      <c r="D931" s="40" t="s">
        <v>20</v>
      </c>
      <c r="E931" s="40" t="s">
        <v>21</v>
      </c>
      <c r="F931" s="40" t="s">
        <v>223</v>
      </c>
      <c r="G931" s="40" t="s">
        <v>115</v>
      </c>
      <c r="H931" s="40" t="s">
        <v>26</v>
      </c>
      <c r="I931" s="40" t="s">
        <v>185</v>
      </c>
      <c r="J931" s="40">
        <v>5.3321596484591991</v>
      </c>
      <c r="K931" s="40">
        <v>4.8621800813719576</v>
      </c>
      <c r="L931" s="40">
        <v>2.9534767837853201E-4</v>
      </c>
      <c r="M931" s="40">
        <v>6.2413005594312662E-2</v>
      </c>
      <c r="N931" s="40">
        <v>8.6217956070408705E-2</v>
      </c>
      <c r="O931" s="40">
        <v>16.590142293505643</v>
      </c>
      <c r="P931" s="40">
        <v>1.5792665137111474E-3</v>
      </c>
      <c r="Q931" s="41" t="s">
        <v>26</v>
      </c>
    </row>
    <row r="932" spans="1:17" x14ac:dyDescent="0.25">
      <c r="A932" s="40" t="s">
        <v>182</v>
      </c>
      <c r="B932" s="40" t="s">
        <v>18</v>
      </c>
      <c r="C932" s="40" t="s">
        <v>19</v>
      </c>
      <c r="D932" s="40" t="s">
        <v>20</v>
      </c>
      <c r="E932" s="40" t="s">
        <v>21</v>
      </c>
      <c r="F932" s="40" t="s">
        <v>225</v>
      </c>
      <c r="G932" s="40" t="s">
        <v>119</v>
      </c>
      <c r="H932" s="40" t="s">
        <v>26</v>
      </c>
      <c r="I932" s="40" t="s">
        <v>187</v>
      </c>
      <c r="J932" s="40">
        <v>62.78388240008271</v>
      </c>
      <c r="K932" s="40">
        <v>53.450353351568943</v>
      </c>
      <c r="L932" s="40">
        <v>3.8466171217398551E-2</v>
      </c>
      <c r="M932" s="40">
        <v>5.7401257588908523</v>
      </c>
      <c r="N932" s="40">
        <v>7.161504324902797</v>
      </c>
      <c r="O932" s="40">
        <v>75.955910731235932</v>
      </c>
      <c r="P932" s="40">
        <v>0.1970585067342252</v>
      </c>
      <c r="Q932" s="41" t="s">
        <v>26</v>
      </c>
    </row>
    <row r="933" spans="1:17" x14ac:dyDescent="0.25">
      <c r="A933" s="40" t="s">
        <v>182</v>
      </c>
      <c r="B933" s="40" t="s">
        <v>18</v>
      </c>
      <c r="C933" s="40" t="s">
        <v>19</v>
      </c>
      <c r="D933" s="40" t="s">
        <v>20</v>
      </c>
      <c r="E933" s="40" t="s">
        <v>21</v>
      </c>
      <c r="F933" s="40" t="s">
        <v>225</v>
      </c>
      <c r="G933" s="40" t="s">
        <v>119</v>
      </c>
      <c r="H933" s="40" t="s">
        <v>26</v>
      </c>
      <c r="I933" s="40" t="s">
        <v>190</v>
      </c>
      <c r="J933" s="40">
        <v>18.999764805428846</v>
      </c>
      <c r="K933" s="40">
        <v>6.4426340496448464</v>
      </c>
      <c r="L933" s="40">
        <v>0.12929458922794121</v>
      </c>
      <c r="M933" s="40">
        <v>15.703223175706849</v>
      </c>
      <c r="N933" s="40">
        <v>18.800346875392215</v>
      </c>
      <c r="O933" s="40">
        <v>1.041920597062318</v>
      </c>
      <c r="P933" s="40">
        <v>0.59762228616054724</v>
      </c>
      <c r="Q933" s="41" t="s">
        <v>26</v>
      </c>
    </row>
    <row r="934" spans="1:17" x14ac:dyDescent="0.25">
      <c r="A934" s="40" t="s">
        <v>182</v>
      </c>
      <c r="B934" s="40" t="s">
        <v>18</v>
      </c>
      <c r="C934" s="40" t="s">
        <v>19</v>
      </c>
      <c r="D934" s="40" t="s">
        <v>20</v>
      </c>
      <c r="E934" s="40" t="s">
        <v>21</v>
      </c>
      <c r="F934" s="40" t="s">
        <v>225</v>
      </c>
      <c r="G934" s="40" t="s">
        <v>119</v>
      </c>
      <c r="H934" s="40" t="s">
        <v>26</v>
      </c>
      <c r="I934" s="40" t="s">
        <v>210</v>
      </c>
      <c r="J934" s="40">
        <v>1.5290447042018771</v>
      </c>
      <c r="K934" s="40">
        <v>0.23655101662791264</v>
      </c>
      <c r="L934" s="40">
        <v>0.2094419010576547</v>
      </c>
      <c r="M934" s="40">
        <v>0.22950175059250996</v>
      </c>
      <c r="N934" s="40">
        <v>0.79035060469187024</v>
      </c>
      <c r="O934" s="40">
        <v>1.0343492459949808E-2</v>
      </c>
      <c r="P934" s="40">
        <v>3.117879247780514E-2</v>
      </c>
      <c r="Q934" s="41" t="s">
        <v>26</v>
      </c>
    </row>
    <row r="935" spans="1:17" x14ac:dyDescent="0.25">
      <c r="A935" s="40" t="s">
        <v>182</v>
      </c>
      <c r="B935" s="40" t="s">
        <v>18</v>
      </c>
      <c r="C935" s="40" t="s">
        <v>19</v>
      </c>
      <c r="D935" s="40" t="s">
        <v>20</v>
      </c>
      <c r="E935" s="40" t="s">
        <v>21</v>
      </c>
      <c r="F935" s="40" t="s">
        <v>225</v>
      </c>
      <c r="G935" s="40" t="s">
        <v>119</v>
      </c>
      <c r="H935" s="40" t="s">
        <v>26</v>
      </c>
      <c r="I935" s="40" t="s">
        <v>184</v>
      </c>
      <c r="J935" s="40">
        <v>434.23532396135408</v>
      </c>
      <c r="K935" s="40">
        <v>213.90993114785599</v>
      </c>
      <c r="L935" s="40">
        <v>2.1935861064523725</v>
      </c>
      <c r="M935" s="40">
        <v>26.174100377145031</v>
      </c>
      <c r="N935" s="40">
        <v>40.826151380926547</v>
      </c>
      <c r="O935" s="40">
        <v>1.6665803685554572</v>
      </c>
      <c r="P935" s="40">
        <v>1.1755899524336064</v>
      </c>
      <c r="Q935" s="41" t="s">
        <v>26</v>
      </c>
    </row>
    <row r="936" spans="1:17" x14ac:dyDescent="0.25">
      <c r="A936" s="40" t="s">
        <v>182</v>
      </c>
      <c r="B936" s="40" t="s">
        <v>18</v>
      </c>
      <c r="C936" s="40" t="s">
        <v>19</v>
      </c>
      <c r="D936" s="40" t="s">
        <v>20</v>
      </c>
      <c r="E936" s="40" t="s">
        <v>21</v>
      </c>
      <c r="F936" s="40" t="s">
        <v>225</v>
      </c>
      <c r="G936" s="40" t="s">
        <v>119</v>
      </c>
      <c r="H936" s="40" t="s">
        <v>26</v>
      </c>
      <c r="I936" s="40" t="s">
        <v>192</v>
      </c>
      <c r="J936" s="40">
        <v>0</v>
      </c>
      <c r="K936" s="40">
        <v>0</v>
      </c>
      <c r="L936" s="40">
        <v>0</v>
      </c>
      <c r="M936" s="40">
        <v>0</v>
      </c>
      <c r="N936" s="40">
        <v>0</v>
      </c>
      <c r="O936" s="40">
        <v>1.3341888</v>
      </c>
      <c r="P936" s="40">
        <v>0</v>
      </c>
      <c r="Q936" s="41" t="s">
        <v>26</v>
      </c>
    </row>
    <row r="937" spans="1:17" x14ac:dyDescent="0.25">
      <c r="A937" s="40" t="s">
        <v>182</v>
      </c>
      <c r="B937" s="40" t="s">
        <v>18</v>
      </c>
      <c r="C937" s="40" t="s">
        <v>19</v>
      </c>
      <c r="D937" s="40" t="s">
        <v>20</v>
      </c>
      <c r="E937" s="40" t="s">
        <v>21</v>
      </c>
      <c r="F937" s="40" t="s">
        <v>225</v>
      </c>
      <c r="G937" s="40" t="s">
        <v>119</v>
      </c>
      <c r="H937" s="40" t="s">
        <v>26</v>
      </c>
      <c r="I937" s="40" t="s">
        <v>194</v>
      </c>
      <c r="J937" s="40">
        <v>0.72914625780912434</v>
      </c>
      <c r="K937" s="40">
        <v>0.42494625780912443</v>
      </c>
      <c r="L937" s="40">
        <v>8.4359030301832014E-4</v>
      </c>
      <c r="M937" s="40">
        <v>0.13569900494297374</v>
      </c>
      <c r="N937" s="40">
        <v>0.17184521665424668</v>
      </c>
      <c r="O937" s="40">
        <v>8.4764851182024311E-3</v>
      </c>
      <c r="P937" s="40">
        <v>4.4870058857708799E-3</v>
      </c>
      <c r="Q937" s="41" t="s">
        <v>26</v>
      </c>
    </row>
    <row r="938" spans="1:17" x14ac:dyDescent="0.25">
      <c r="A938" s="40" t="s">
        <v>182</v>
      </c>
      <c r="B938" s="40" t="s">
        <v>18</v>
      </c>
      <c r="C938" s="40" t="s">
        <v>19</v>
      </c>
      <c r="D938" s="40" t="s">
        <v>20</v>
      </c>
      <c r="E938" s="40" t="s">
        <v>21</v>
      </c>
      <c r="F938" s="40" t="s">
        <v>225</v>
      </c>
      <c r="G938" s="40" t="s">
        <v>119</v>
      </c>
      <c r="H938" s="40" t="s">
        <v>26</v>
      </c>
      <c r="I938" s="40" t="s">
        <v>195</v>
      </c>
      <c r="J938" s="40">
        <v>1.4582487999999999E-2</v>
      </c>
      <c r="K938" s="40">
        <v>1.3530388000000001E-2</v>
      </c>
      <c r="L938" s="40">
        <v>6.5710080000000007E-7</v>
      </c>
      <c r="M938" s="40">
        <v>0.11635003200000001</v>
      </c>
      <c r="N938" s="40">
        <v>0.20421456000000002</v>
      </c>
      <c r="O938" s="40">
        <v>4.9818639854347724E-3</v>
      </c>
      <c r="P938" s="40">
        <v>0</v>
      </c>
      <c r="Q938" s="41" t="s">
        <v>26</v>
      </c>
    </row>
    <row r="939" spans="1:17" x14ac:dyDescent="0.25">
      <c r="A939" s="40" t="s">
        <v>182</v>
      </c>
      <c r="B939" s="40" t="s">
        <v>18</v>
      </c>
      <c r="C939" s="40" t="s">
        <v>19</v>
      </c>
      <c r="D939" s="40" t="s">
        <v>20</v>
      </c>
      <c r="E939" s="40" t="s">
        <v>21</v>
      </c>
      <c r="F939" s="40" t="s">
        <v>225</v>
      </c>
      <c r="G939" s="40" t="s">
        <v>119</v>
      </c>
      <c r="H939" s="40" t="s">
        <v>26</v>
      </c>
      <c r="I939" s="40" t="s">
        <v>196</v>
      </c>
      <c r="J939" s="40">
        <v>2.1081998169272316</v>
      </c>
      <c r="K939" s="40">
        <v>1.739612929399394</v>
      </c>
      <c r="L939" s="40">
        <v>3.9987961829401196E-2</v>
      </c>
      <c r="M939" s="40">
        <v>5.8283347873323033</v>
      </c>
      <c r="N939" s="40">
        <v>7.3778137174443144</v>
      </c>
      <c r="O939" s="40">
        <v>14.245436958018304</v>
      </c>
      <c r="P939" s="40">
        <v>0.19388813845457167</v>
      </c>
      <c r="Q939" s="41" t="s">
        <v>26</v>
      </c>
    </row>
    <row r="940" spans="1:17" x14ac:dyDescent="0.25">
      <c r="A940" s="40" t="s">
        <v>182</v>
      </c>
      <c r="B940" s="40" t="s">
        <v>18</v>
      </c>
      <c r="C940" s="40" t="s">
        <v>19</v>
      </c>
      <c r="D940" s="40" t="s">
        <v>20</v>
      </c>
      <c r="E940" s="40" t="s">
        <v>21</v>
      </c>
      <c r="F940" s="40" t="s">
        <v>225</v>
      </c>
      <c r="G940" s="40" t="s">
        <v>119</v>
      </c>
      <c r="H940" s="40" t="s">
        <v>26</v>
      </c>
      <c r="I940" s="40" t="s">
        <v>197</v>
      </c>
      <c r="J940" s="40">
        <v>0.2077684974157239</v>
      </c>
      <c r="K940" s="40">
        <v>0.11810851464649313</v>
      </c>
      <c r="L940" s="40">
        <v>8.8646655915933029E-3</v>
      </c>
      <c r="M940" s="40">
        <v>9.7817116274829627E-2</v>
      </c>
      <c r="N940" s="40">
        <v>0.18924474250878887</v>
      </c>
      <c r="O940" s="40">
        <v>4.2065119824856992E-3</v>
      </c>
      <c r="P940" s="40">
        <v>1.2476923076923077E-3</v>
      </c>
      <c r="Q940" s="41" t="s">
        <v>26</v>
      </c>
    </row>
    <row r="941" spans="1:17" x14ac:dyDescent="0.25">
      <c r="A941" s="40" t="s">
        <v>182</v>
      </c>
      <c r="B941" s="40" t="s">
        <v>18</v>
      </c>
      <c r="C941" s="40" t="s">
        <v>19</v>
      </c>
      <c r="D941" s="40" t="s">
        <v>20</v>
      </c>
      <c r="E941" s="40" t="s">
        <v>21</v>
      </c>
      <c r="F941" s="40" t="s">
        <v>225</v>
      </c>
      <c r="G941" s="40" t="s">
        <v>119</v>
      </c>
      <c r="H941" s="40" t="s">
        <v>26</v>
      </c>
      <c r="I941" s="40" t="s">
        <v>198</v>
      </c>
      <c r="J941" s="40">
        <v>50.957218101879839</v>
      </c>
      <c r="K941" s="40">
        <v>30.673568175695891</v>
      </c>
      <c r="L941" s="40">
        <v>0.36607161549251888</v>
      </c>
      <c r="M941" s="40">
        <v>27.96417977051307</v>
      </c>
      <c r="N941" s="40">
        <v>18.162747608102126</v>
      </c>
      <c r="O941" s="40">
        <v>0.92950550889704997</v>
      </c>
      <c r="P941" s="40">
        <v>0.56203824657891488</v>
      </c>
      <c r="Q941" s="41" t="s">
        <v>26</v>
      </c>
    </row>
    <row r="942" spans="1:17" x14ac:dyDescent="0.25">
      <c r="A942" s="40" t="s">
        <v>182</v>
      </c>
      <c r="B942" s="40" t="s">
        <v>18</v>
      </c>
      <c r="C942" s="40" t="s">
        <v>19</v>
      </c>
      <c r="D942" s="40" t="s">
        <v>20</v>
      </c>
      <c r="E942" s="40" t="s">
        <v>21</v>
      </c>
      <c r="F942" s="40" t="s">
        <v>225</v>
      </c>
      <c r="G942" s="40" t="s">
        <v>119</v>
      </c>
      <c r="H942" s="40" t="s">
        <v>26</v>
      </c>
      <c r="I942" s="40" t="s">
        <v>199</v>
      </c>
      <c r="J942" s="40">
        <v>0.10984311333870178</v>
      </c>
      <c r="K942" s="40">
        <v>0.10983981340970769</v>
      </c>
      <c r="L942" s="40">
        <v>8.5520706426446599E-3</v>
      </c>
      <c r="M942" s="40">
        <v>1.2128397276083935</v>
      </c>
      <c r="N942" s="40">
        <v>1.4576218844901958</v>
      </c>
      <c r="O942" s="40">
        <v>6.9224344325236897</v>
      </c>
      <c r="P942" s="40">
        <v>4.5400043607530853E-2</v>
      </c>
      <c r="Q942" s="41" t="s">
        <v>26</v>
      </c>
    </row>
    <row r="943" spans="1:17" x14ac:dyDescent="0.25">
      <c r="A943" s="40" t="s">
        <v>182</v>
      </c>
      <c r="B943" s="40" t="s">
        <v>18</v>
      </c>
      <c r="C943" s="40" t="s">
        <v>19</v>
      </c>
      <c r="D943" s="40" t="s">
        <v>20</v>
      </c>
      <c r="E943" s="40" t="s">
        <v>21</v>
      </c>
      <c r="F943" s="40" t="s">
        <v>225</v>
      </c>
      <c r="G943" s="40" t="s">
        <v>119</v>
      </c>
      <c r="H943" s="40" t="s">
        <v>26</v>
      </c>
      <c r="I943" s="40" t="s">
        <v>200</v>
      </c>
      <c r="J943" s="40">
        <v>4.2234192020795182E-2</v>
      </c>
      <c r="K943" s="40">
        <v>4.2212210060795181E-2</v>
      </c>
      <c r="L943" s="40">
        <v>2.1994755204431675E-3</v>
      </c>
      <c r="M943" s="40">
        <v>0.45147168871970533</v>
      </c>
      <c r="N943" s="40">
        <v>0.66425811250655242</v>
      </c>
      <c r="O943" s="40">
        <v>121.47885444500798</v>
      </c>
      <c r="P943" s="40">
        <v>9.2730363168725145E-3</v>
      </c>
      <c r="Q943" s="41" t="s">
        <v>26</v>
      </c>
    </row>
    <row r="944" spans="1:17" x14ac:dyDescent="0.25">
      <c r="A944" s="40" t="s">
        <v>182</v>
      </c>
      <c r="B944" s="40" t="s">
        <v>18</v>
      </c>
      <c r="C944" s="40" t="s">
        <v>19</v>
      </c>
      <c r="D944" s="40" t="s">
        <v>20</v>
      </c>
      <c r="E944" s="40" t="s">
        <v>21</v>
      </c>
      <c r="F944" s="40" t="s">
        <v>225</v>
      </c>
      <c r="G944" s="40" t="s">
        <v>119</v>
      </c>
      <c r="H944" s="40" t="s">
        <v>26</v>
      </c>
      <c r="I944" s="40" t="s">
        <v>185</v>
      </c>
      <c r="J944" s="40">
        <v>8.7276469933325966</v>
      </c>
      <c r="K944" s="40">
        <v>6.8819900064154371</v>
      </c>
      <c r="L944" s="40">
        <v>0.144339045347082</v>
      </c>
      <c r="M944" s="40">
        <v>19.910724777576377</v>
      </c>
      <c r="N944" s="40">
        <v>24.304393601660649</v>
      </c>
      <c r="O944" s="40">
        <v>307.32615226962605</v>
      </c>
      <c r="P944" s="40">
        <v>0.72243072007458498</v>
      </c>
      <c r="Q944" s="41" t="s">
        <v>26</v>
      </c>
    </row>
    <row r="945" spans="1:17" x14ac:dyDescent="0.25">
      <c r="A945" s="40" t="s">
        <v>182</v>
      </c>
      <c r="B945" s="40" t="s">
        <v>18</v>
      </c>
      <c r="C945" s="40" t="s">
        <v>19</v>
      </c>
      <c r="D945" s="40" t="s">
        <v>20</v>
      </c>
      <c r="E945" s="40" t="s">
        <v>21</v>
      </c>
      <c r="F945" s="40" t="s">
        <v>226</v>
      </c>
      <c r="G945" s="40" t="s">
        <v>121</v>
      </c>
      <c r="H945" s="40" t="s">
        <v>26</v>
      </c>
      <c r="I945" s="40" t="s">
        <v>184</v>
      </c>
      <c r="J945" s="40">
        <v>62.308104439999994</v>
      </c>
      <c r="K945" s="40">
        <v>37.750212008094671</v>
      </c>
      <c r="L945" s="40">
        <v>0.41484421065088761</v>
      </c>
      <c r="M945" s="40">
        <v>0.41906220000000011</v>
      </c>
      <c r="N945" s="40">
        <v>4.8570107999999994</v>
      </c>
      <c r="O945" s="40">
        <v>1.7733254437869821E-2</v>
      </c>
      <c r="P945" s="40">
        <v>3.2222805562130183E-2</v>
      </c>
      <c r="Q945" s="41" t="s">
        <v>26</v>
      </c>
    </row>
    <row r="946" spans="1:17" x14ac:dyDescent="0.25">
      <c r="A946" s="40" t="s">
        <v>182</v>
      </c>
      <c r="B946" s="40" t="s">
        <v>18</v>
      </c>
      <c r="C946" s="40" t="s">
        <v>19</v>
      </c>
      <c r="D946" s="40" t="s">
        <v>20</v>
      </c>
      <c r="E946" s="40" t="s">
        <v>21</v>
      </c>
      <c r="F946" s="40" t="s">
        <v>226</v>
      </c>
      <c r="G946" s="40" t="s">
        <v>121</v>
      </c>
      <c r="H946" s="40" t="s">
        <v>26</v>
      </c>
      <c r="I946" s="40" t="s">
        <v>198</v>
      </c>
      <c r="J946" s="40">
        <v>19.78036542756</v>
      </c>
      <c r="K946" s="40">
        <v>11.961504044258515</v>
      </c>
      <c r="L946" s="40">
        <v>8.1798864076527339E-2</v>
      </c>
      <c r="M946" s="40">
        <v>7.2972439199999989E-2</v>
      </c>
      <c r="N946" s="40">
        <v>0.28970733599999998</v>
      </c>
      <c r="O946" s="40">
        <v>2.9249090844411765E-3</v>
      </c>
      <c r="P946" s="40">
        <v>1.1517159763313609E-2</v>
      </c>
      <c r="Q946" s="41" t="s">
        <v>26</v>
      </c>
    </row>
    <row r="947" spans="1:17" x14ac:dyDescent="0.25">
      <c r="A947" s="40" t="s">
        <v>182</v>
      </c>
      <c r="B947" s="42" t="s">
        <v>18</v>
      </c>
      <c r="C947" s="40" t="s">
        <v>19</v>
      </c>
      <c r="D947" s="40" t="s">
        <v>20</v>
      </c>
      <c r="E947" s="40" t="s">
        <v>21</v>
      </c>
      <c r="F947" s="40" t="s">
        <v>22</v>
      </c>
      <c r="G947" s="40" t="s">
        <v>23</v>
      </c>
      <c r="H947" s="40" t="s">
        <v>227</v>
      </c>
      <c r="I947" s="40" t="s">
        <v>228</v>
      </c>
      <c r="J947" s="40">
        <v>1.2324520000000001</v>
      </c>
      <c r="K947" s="40">
        <v>0.88901200000000002</v>
      </c>
      <c r="L947" s="40">
        <v>0</v>
      </c>
      <c r="M947" s="40">
        <v>3.9199999999999999E-2</v>
      </c>
      <c r="N947" s="40">
        <v>6.7400000000000002E-2</v>
      </c>
      <c r="O947" s="40">
        <v>1E-4</v>
      </c>
      <c r="P947" s="40">
        <v>0</v>
      </c>
      <c r="Q947" s="41" t="s">
        <v>137</v>
      </c>
    </row>
    <row r="948" spans="1:17" x14ac:dyDescent="0.25">
      <c r="A948" s="40" t="s">
        <v>182</v>
      </c>
      <c r="B948" s="42" t="s">
        <v>18</v>
      </c>
      <c r="C948" s="40" t="s">
        <v>19</v>
      </c>
      <c r="D948" s="40" t="s">
        <v>20</v>
      </c>
      <c r="E948" s="40" t="s">
        <v>21</v>
      </c>
      <c r="F948" s="40" t="s">
        <v>35</v>
      </c>
      <c r="G948" s="40" t="s">
        <v>36</v>
      </c>
      <c r="H948" s="40" t="s">
        <v>227</v>
      </c>
      <c r="I948" s="40" t="s">
        <v>229</v>
      </c>
      <c r="J948" s="40">
        <v>11.005023020416644</v>
      </c>
      <c r="K948" s="40">
        <v>6.4341016627354577</v>
      </c>
      <c r="L948" s="40">
        <v>0.17760000000000004</v>
      </c>
      <c r="M948" s="40">
        <v>24.339399999999998</v>
      </c>
      <c r="N948" s="40">
        <v>178.95482000000001</v>
      </c>
      <c r="O948" s="40">
        <v>91.513268197679992</v>
      </c>
      <c r="P948" s="40">
        <v>0.9486</v>
      </c>
      <c r="Q948" s="41" t="s">
        <v>137</v>
      </c>
    </row>
    <row r="949" spans="1:17" x14ac:dyDescent="0.25">
      <c r="A949" s="40" t="s">
        <v>182</v>
      </c>
      <c r="B949" s="42" t="s">
        <v>18</v>
      </c>
      <c r="C949" s="40" t="s">
        <v>19</v>
      </c>
      <c r="D949" s="40" t="s">
        <v>20</v>
      </c>
      <c r="E949" s="40" t="s">
        <v>21</v>
      </c>
      <c r="F949" s="40" t="s">
        <v>35</v>
      </c>
      <c r="G949" s="40" t="s">
        <v>36</v>
      </c>
      <c r="H949" s="40" t="s">
        <v>227</v>
      </c>
      <c r="I949" s="40" t="s">
        <v>230</v>
      </c>
      <c r="J949" s="40">
        <v>9.9907435743999997</v>
      </c>
      <c r="K949" s="40">
        <v>9.990722336444799</v>
      </c>
      <c r="L949" s="40">
        <v>0.78573259151999997</v>
      </c>
      <c r="M949" s="40">
        <v>110.40100616800001</v>
      </c>
      <c r="N949" s="40">
        <v>245.86892288880003</v>
      </c>
      <c r="O949" s="40">
        <v>7.1977224861680007</v>
      </c>
      <c r="P949" s="40">
        <v>4.2017000000000007</v>
      </c>
      <c r="Q949" s="41" t="s">
        <v>137</v>
      </c>
    </row>
    <row r="950" spans="1:17" x14ac:dyDescent="0.25">
      <c r="A950" s="40" t="s">
        <v>182</v>
      </c>
      <c r="B950" s="42" t="s">
        <v>18</v>
      </c>
      <c r="C950" s="40" t="s">
        <v>19</v>
      </c>
      <c r="D950" s="40" t="s">
        <v>20</v>
      </c>
      <c r="E950" s="40" t="s">
        <v>21</v>
      </c>
      <c r="F950" s="40" t="s">
        <v>35</v>
      </c>
      <c r="G950" s="40" t="s">
        <v>36</v>
      </c>
      <c r="H950" s="40" t="s">
        <v>227</v>
      </c>
      <c r="I950" s="40" t="s">
        <v>231</v>
      </c>
      <c r="J950" s="40">
        <v>0.27609999999999996</v>
      </c>
      <c r="K950" s="40">
        <v>3.4512499999999995E-2</v>
      </c>
      <c r="L950" s="40">
        <v>0.78289999999999993</v>
      </c>
      <c r="M950" s="40">
        <v>2.5636999999999999</v>
      </c>
      <c r="N950" s="40">
        <v>11.9123</v>
      </c>
      <c r="O950" s="40">
        <v>0.7681</v>
      </c>
      <c r="P950" s="40">
        <v>0</v>
      </c>
      <c r="Q950" s="41" t="s">
        <v>137</v>
      </c>
    </row>
    <row r="951" spans="1:17" x14ac:dyDescent="0.25">
      <c r="A951" s="40" t="s">
        <v>182</v>
      </c>
      <c r="B951" s="42" t="s">
        <v>18</v>
      </c>
      <c r="C951" s="40" t="s">
        <v>19</v>
      </c>
      <c r="D951" s="40" t="s">
        <v>20</v>
      </c>
      <c r="E951" s="40" t="s">
        <v>21</v>
      </c>
      <c r="F951" s="40" t="s">
        <v>35</v>
      </c>
      <c r="G951" s="40" t="s">
        <v>36</v>
      </c>
      <c r="H951" s="40" t="s">
        <v>227</v>
      </c>
      <c r="I951" s="40" t="s">
        <v>228</v>
      </c>
      <c r="J951" s="40">
        <v>139.22798940067645</v>
      </c>
      <c r="K951" s="40">
        <v>106.95250924888158</v>
      </c>
      <c r="L951" s="40">
        <v>5.7947201342963197</v>
      </c>
      <c r="M951" s="40">
        <v>811.19714820148477</v>
      </c>
      <c r="N951" s="40">
        <v>962.02564238271998</v>
      </c>
      <c r="O951" s="40">
        <v>142.70741463104963</v>
      </c>
      <c r="P951" s="40">
        <v>30.943372286875203</v>
      </c>
      <c r="Q951" s="41" t="s">
        <v>137</v>
      </c>
    </row>
    <row r="952" spans="1:17" x14ac:dyDescent="0.25">
      <c r="A952" s="40" t="s">
        <v>182</v>
      </c>
      <c r="B952" s="42" t="s">
        <v>18</v>
      </c>
      <c r="C952" s="40" t="s">
        <v>19</v>
      </c>
      <c r="D952" s="40" t="s">
        <v>20</v>
      </c>
      <c r="E952" s="40" t="s">
        <v>21</v>
      </c>
      <c r="F952" s="40" t="s">
        <v>35</v>
      </c>
      <c r="G952" s="40" t="s">
        <v>36</v>
      </c>
      <c r="H952" s="40" t="s">
        <v>227</v>
      </c>
      <c r="I952" s="40" t="s">
        <v>232</v>
      </c>
      <c r="J952" s="40">
        <v>2.7209936124863998</v>
      </c>
      <c r="K952" s="40">
        <v>1.3097274062432001</v>
      </c>
      <c r="L952" s="40">
        <v>0</v>
      </c>
      <c r="M952" s="40">
        <v>0</v>
      </c>
      <c r="N952" s="40">
        <v>0</v>
      </c>
      <c r="O952" s="40">
        <v>0.57477769184860761</v>
      </c>
      <c r="P952" s="40">
        <v>0</v>
      </c>
      <c r="Q952" s="41" t="s">
        <v>137</v>
      </c>
    </row>
    <row r="953" spans="1:17" x14ac:dyDescent="0.25">
      <c r="A953" s="40" t="s">
        <v>182</v>
      </c>
      <c r="B953" s="42" t="s">
        <v>18</v>
      </c>
      <c r="C953" s="40" t="s">
        <v>19</v>
      </c>
      <c r="D953" s="40" t="s">
        <v>20</v>
      </c>
      <c r="E953" s="40" t="s">
        <v>21</v>
      </c>
      <c r="F953" s="40" t="s">
        <v>35</v>
      </c>
      <c r="G953" s="40" t="s">
        <v>36</v>
      </c>
      <c r="H953" s="40" t="s">
        <v>227</v>
      </c>
      <c r="I953" s="40" t="s">
        <v>233</v>
      </c>
      <c r="J953" s="40">
        <v>3.0617031680000002</v>
      </c>
      <c r="K953" s="40">
        <v>3.0617004680000006</v>
      </c>
      <c r="L953" s="40">
        <v>0.24200145242395998</v>
      </c>
      <c r="M953" s="40">
        <v>33.835358864</v>
      </c>
      <c r="N953" s="40">
        <v>40.301469400000002</v>
      </c>
      <c r="O953" s="40">
        <v>2.2132000000000001</v>
      </c>
      <c r="P953" s="40">
        <v>1.2917999999999998</v>
      </c>
      <c r="Q953" s="41" t="s">
        <v>137</v>
      </c>
    </row>
    <row r="954" spans="1:17" x14ac:dyDescent="0.25">
      <c r="A954" s="40" t="s">
        <v>182</v>
      </c>
      <c r="B954" s="42" t="s">
        <v>18</v>
      </c>
      <c r="C954" s="40" t="s">
        <v>19</v>
      </c>
      <c r="D954" s="40" t="s">
        <v>20</v>
      </c>
      <c r="E954" s="40" t="s">
        <v>21</v>
      </c>
      <c r="F954" s="40" t="s">
        <v>35</v>
      </c>
      <c r="G954" s="40" t="s">
        <v>36</v>
      </c>
      <c r="H954" s="40" t="s">
        <v>227</v>
      </c>
      <c r="I954" s="40" t="s">
        <v>234</v>
      </c>
      <c r="J954" s="40">
        <v>9.7113999999999992E-2</v>
      </c>
      <c r="K954" s="40">
        <v>9.1330000000000022E-2</v>
      </c>
      <c r="L954" s="40">
        <v>1.0149999999999999E-2</v>
      </c>
      <c r="M954" s="40">
        <v>0.48185</v>
      </c>
      <c r="N954" s="40">
        <v>0.38849</v>
      </c>
      <c r="O954" s="40">
        <v>5.7735564799999999</v>
      </c>
      <c r="P954" s="40">
        <v>0</v>
      </c>
      <c r="Q954" s="41" t="s">
        <v>137</v>
      </c>
    </row>
    <row r="955" spans="1:17" x14ac:dyDescent="0.25">
      <c r="A955" s="40" t="s">
        <v>182</v>
      </c>
      <c r="B955" s="42" t="s">
        <v>18</v>
      </c>
      <c r="C955" s="40" t="s">
        <v>19</v>
      </c>
      <c r="D955" s="40" t="s">
        <v>20</v>
      </c>
      <c r="E955" s="40" t="s">
        <v>21</v>
      </c>
      <c r="F955" s="40" t="s">
        <v>35</v>
      </c>
      <c r="G955" s="40" t="s">
        <v>36</v>
      </c>
      <c r="H955" s="40" t="s">
        <v>227</v>
      </c>
      <c r="I955" s="40" t="s">
        <v>235</v>
      </c>
      <c r="J955" s="40">
        <v>29.451696000000002</v>
      </c>
      <c r="K955" s="40">
        <v>29.011289999999999</v>
      </c>
      <c r="L955" s="40">
        <v>5.16E-2</v>
      </c>
      <c r="M955" s="40">
        <v>7.2471999999999994</v>
      </c>
      <c r="N955" s="40">
        <v>181.2261</v>
      </c>
      <c r="O955" s="40">
        <v>194.25324000000003</v>
      </c>
      <c r="P955" s="40">
        <v>0.27700000000000002</v>
      </c>
      <c r="Q955" s="41" t="s">
        <v>137</v>
      </c>
    </row>
    <row r="956" spans="1:17" x14ac:dyDescent="0.25">
      <c r="A956" s="40" t="s">
        <v>182</v>
      </c>
      <c r="B956" s="42" t="s">
        <v>18</v>
      </c>
      <c r="C956" s="40" t="s">
        <v>19</v>
      </c>
      <c r="D956" s="40" t="s">
        <v>20</v>
      </c>
      <c r="E956" s="40" t="s">
        <v>21</v>
      </c>
      <c r="F956" s="40" t="s">
        <v>41</v>
      </c>
      <c r="G956" s="40" t="s">
        <v>42</v>
      </c>
      <c r="H956" s="40" t="s">
        <v>227</v>
      </c>
      <c r="I956" s="40" t="s">
        <v>228</v>
      </c>
      <c r="J956" s="40">
        <v>10.061999999999999</v>
      </c>
      <c r="K956" s="40">
        <v>8.9504999999999999</v>
      </c>
      <c r="L956" s="40">
        <v>0.216</v>
      </c>
      <c r="M956" s="40">
        <v>0</v>
      </c>
      <c r="N956" s="40">
        <v>0.18</v>
      </c>
      <c r="O956" s="40">
        <v>0.315</v>
      </c>
      <c r="P956" s="40">
        <v>0</v>
      </c>
      <c r="Q956" s="41" t="s">
        <v>137</v>
      </c>
    </row>
    <row r="957" spans="1:17" x14ac:dyDescent="0.25">
      <c r="A957" s="40" t="s">
        <v>182</v>
      </c>
      <c r="B957" s="42" t="s">
        <v>18</v>
      </c>
      <c r="C957" s="40" t="s">
        <v>19</v>
      </c>
      <c r="D957" s="40" t="s">
        <v>20</v>
      </c>
      <c r="E957" s="40" t="s">
        <v>21</v>
      </c>
      <c r="F957" s="40" t="s">
        <v>41</v>
      </c>
      <c r="G957" s="40" t="s">
        <v>42</v>
      </c>
      <c r="H957" s="40" t="s">
        <v>227</v>
      </c>
      <c r="I957" s="40" t="s">
        <v>236</v>
      </c>
      <c r="J957" s="40">
        <v>951.25485789982599</v>
      </c>
      <c r="K957" s="40">
        <v>517.5974275118333</v>
      </c>
      <c r="L957" s="40">
        <v>8728.4511616795262</v>
      </c>
      <c r="M957" s="40">
        <v>1218.2370813533239</v>
      </c>
      <c r="N957" s="40">
        <v>3372.1771170814018</v>
      </c>
      <c r="O957" s="40">
        <v>1218.8225375257123</v>
      </c>
      <c r="P957" s="40">
        <v>52.312664450831662</v>
      </c>
      <c r="Q957" s="41" t="s">
        <v>137</v>
      </c>
    </row>
    <row r="958" spans="1:17" x14ac:dyDescent="0.25">
      <c r="A958" s="40" t="s">
        <v>182</v>
      </c>
      <c r="B958" s="42" t="s">
        <v>18</v>
      </c>
      <c r="C958" s="40" t="s">
        <v>19</v>
      </c>
      <c r="D958" s="40" t="s">
        <v>20</v>
      </c>
      <c r="E958" s="40" t="s">
        <v>21</v>
      </c>
      <c r="F958" s="40" t="s">
        <v>41</v>
      </c>
      <c r="G958" s="40" t="s">
        <v>42</v>
      </c>
      <c r="H958" s="40" t="s">
        <v>227</v>
      </c>
      <c r="I958" s="40" t="s">
        <v>233</v>
      </c>
      <c r="J958" s="40">
        <v>9.5799999999999996E-2</v>
      </c>
      <c r="K958" s="40">
        <v>9.5799999999999996E-2</v>
      </c>
      <c r="L958" s="40">
        <v>0</v>
      </c>
      <c r="M958" s="40">
        <v>1.0169999999999999</v>
      </c>
      <c r="N958" s="40">
        <v>1.7857000000000001</v>
      </c>
      <c r="O958" s="40">
        <v>0</v>
      </c>
      <c r="P958" s="40">
        <v>0</v>
      </c>
      <c r="Q958" s="41" t="s">
        <v>137</v>
      </c>
    </row>
    <row r="959" spans="1:17" x14ac:dyDescent="0.25">
      <c r="A959" s="40" t="s">
        <v>182</v>
      </c>
      <c r="B959" s="42" t="s">
        <v>18</v>
      </c>
      <c r="C959" s="40" t="s">
        <v>19</v>
      </c>
      <c r="D959" s="40" t="s">
        <v>20</v>
      </c>
      <c r="E959" s="40" t="s">
        <v>21</v>
      </c>
      <c r="F959" s="40" t="s">
        <v>41</v>
      </c>
      <c r="G959" s="40" t="s">
        <v>42</v>
      </c>
      <c r="H959" s="40" t="s">
        <v>227</v>
      </c>
      <c r="I959" s="40" t="s">
        <v>234</v>
      </c>
      <c r="J959" s="40">
        <v>1.7917200000000001E-2</v>
      </c>
      <c r="K959" s="40">
        <v>1.2127199999999999E-2</v>
      </c>
      <c r="L959" s="40">
        <v>0.98709999999999987</v>
      </c>
      <c r="M959" s="40">
        <v>2.0672000000000001</v>
      </c>
      <c r="N959" s="40">
        <v>0.5474</v>
      </c>
      <c r="O959" s="40">
        <v>0</v>
      </c>
      <c r="P959" s="40">
        <v>0</v>
      </c>
      <c r="Q959" s="41" t="s">
        <v>137</v>
      </c>
    </row>
    <row r="960" spans="1:17" x14ac:dyDescent="0.25">
      <c r="A960" s="40" t="s">
        <v>182</v>
      </c>
      <c r="B960" s="42" t="s">
        <v>18</v>
      </c>
      <c r="C960" s="40" t="s">
        <v>19</v>
      </c>
      <c r="D960" s="40" t="s">
        <v>20</v>
      </c>
      <c r="E960" s="40" t="s">
        <v>21</v>
      </c>
      <c r="F960" s="40" t="s">
        <v>43</v>
      </c>
      <c r="G960" s="40" t="s">
        <v>44</v>
      </c>
      <c r="H960" s="40" t="s">
        <v>227</v>
      </c>
      <c r="I960" s="40" t="s">
        <v>237</v>
      </c>
      <c r="J960" s="40">
        <v>31.687262277332799</v>
      </c>
      <c r="K960" s="40">
        <v>21.817825168552801</v>
      </c>
      <c r="L960" s="40">
        <v>0.47839999999999994</v>
      </c>
      <c r="M960" s="40">
        <v>72.47689901216205</v>
      </c>
      <c r="N960" s="40">
        <v>44.927726089980922</v>
      </c>
      <c r="O960" s="40">
        <v>4.384500000000001</v>
      </c>
      <c r="P960" s="40">
        <v>2.5595000000000003</v>
      </c>
      <c r="Q960" s="41" t="s">
        <v>137</v>
      </c>
    </row>
    <row r="961" spans="1:17" x14ac:dyDescent="0.25">
      <c r="A961" s="40" t="s">
        <v>182</v>
      </c>
      <c r="B961" s="42" t="s">
        <v>18</v>
      </c>
      <c r="C961" s="40" t="s">
        <v>19</v>
      </c>
      <c r="D961" s="40" t="s">
        <v>20</v>
      </c>
      <c r="E961" s="40" t="s">
        <v>21</v>
      </c>
      <c r="F961" s="40" t="s">
        <v>43</v>
      </c>
      <c r="G961" s="40" t="s">
        <v>44</v>
      </c>
      <c r="H961" s="40" t="s">
        <v>227</v>
      </c>
      <c r="I961" s="40" t="s">
        <v>228</v>
      </c>
      <c r="J961" s="40">
        <v>1.1641586399999999</v>
      </c>
      <c r="K961" s="40">
        <v>0.85439664000000015</v>
      </c>
      <c r="L961" s="40">
        <v>3.1262399999999997E-3</v>
      </c>
      <c r="M961" s="40">
        <v>0.61037359999999996</v>
      </c>
      <c r="N961" s="40">
        <v>0.82423999999999997</v>
      </c>
      <c r="O961" s="40">
        <v>2.8657200000000004E-2</v>
      </c>
      <c r="P961" s="40">
        <v>1.6728640499999999E-2</v>
      </c>
      <c r="Q961" s="41" t="s">
        <v>137</v>
      </c>
    </row>
    <row r="962" spans="1:17" x14ac:dyDescent="0.25">
      <c r="A962" s="40" t="s">
        <v>182</v>
      </c>
      <c r="B962" s="42" t="s">
        <v>18</v>
      </c>
      <c r="C962" s="40" t="s">
        <v>19</v>
      </c>
      <c r="D962" s="40" t="s">
        <v>20</v>
      </c>
      <c r="E962" s="40" t="s">
        <v>21</v>
      </c>
      <c r="F962" s="40" t="s">
        <v>43</v>
      </c>
      <c r="G962" s="40" t="s">
        <v>44</v>
      </c>
      <c r="H962" s="40" t="s">
        <v>227</v>
      </c>
      <c r="I962" s="40" t="s">
        <v>233</v>
      </c>
      <c r="J962" s="40">
        <v>0.55940000000000001</v>
      </c>
      <c r="K962" s="40">
        <v>0.55940000000000001</v>
      </c>
      <c r="L962" s="40">
        <v>4.4199999999999996E-2</v>
      </c>
      <c r="M962" s="40">
        <v>6.1837999999999997</v>
      </c>
      <c r="N962" s="40">
        <v>7.3616999999999999</v>
      </c>
      <c r="O962" s="40">
        <v>0.40479999999999999</v>
      </c>
      <c r="P962" s="40">
        <v>0.2364</v>
      </c>
      <c r="Q962" s="41" t="s">
        <v>137</v>
      </c>
    </row>
    <row r="963" spans="1:17" x14ac:dyDescent="0.25">
      <c r="A963" s="40" t="s">
        <v>182</v>
      </c>
      <c r="B963" s="42" t="s">
        <v>18</v>
      </c>
      <c r="C963" s="40" t="s">
        <v>19</v>
      </c>
      <c r="D963" s="40" t="s">
        <v>20</v>
      </c>
      <c r="E963" s="40" t="s">
        <v>21</v>
      </c>
      <c r="F963" s="40" t="s">
        <v>47</v>
      </c>
      <c r="G963" s="40" t="s">
        <v>48</v>
      </c>
      <c r="H963" s="40" t="s">
        <v>227</v>
      </c>
      <c r="I963" s="40" t="s">
        <v>229</v>
      </c>
      <c r="J963" s="40">
        <v>38.186117077975901</v>
      </c>
      <c r="K963" s="40">
        <v>30.926522286586252</v>
      </c>
      <c r="L963" s="40">
        <v>0.58080000000000009</v>
      </c>
      <c r="M963" s="40">
        <v>90.337460516687301</v>
      </c>
      <c r="N963" s="40">
        <v>138.0394</v>
      </c>
      <c r="O963" s="40">
        <v>150.43705099995995</v>
      </c>
      <c r="P963" s="40">
        <v>3.0686000000000013</v>
      </c>
      <c r="Q963" s="41" t="s">
        <v>137</v>
      </c>
    </row>
    <row r="964" spans="1:17" x14ac:dyDescent="0.25">
      <c r="A964" s="40" t="s">
        <v>182</v>
      </c>
      <c r="B964" s="42" t="s">
        <v>18</v>
      </c>
      <c r="C964" s="40" t="s">
        <v>19</v>
      </c>
      <c r="D964" s="40" t="s">
        <v>20</v>
      </c>
      <c r="E964" s="40" t="s">
        <v>21</v>
      </c>
      <c r="F964" s="40" t="s">
        <v>47</v>
      </c>
      <c r="G964" s="40" t="s">
        <v>48</v>
      </c>
      <c r="H964" s="40" t="s">
        <v>227</v>
      </c>
      <c r="I964" s="40" t="s">
        <v>228</v>
      </c>
      <c r="J964" s="40">
        <v>32.262721107343999</v>
      </c>
      <c r="K964" s="40">
        <v>23.859942034471995</v>
      </c>
      <c r="L964" s="40">
        <v>0.18813232960000001</v>
      </c>
      <c r="M964" s="40">
        <v>23.051426143999997</v>
      </c>
      <c r="N964" s="40">
        <v>48.21172159999999</v>
      </c>
      <c r="O964" s="40">
        <v>20.930787688000002</v>
      </c>
      <c r="P964" s="40">
        <v>0.87170695537000009</v>
      </c>
      <c r="Q964" s="41" t="s">
        <v>137</v>
      </c>
    </row>
    <row r="965" spans="1:17" x14ac:dyDescent="0.25">
      <c r="A965" s="40" t="s">
        <v>182</v>
      </c>
      <c r="B965" s="42" t="s">
        <v>18</v>
      </c>
      <c r="C965" s="40" t="s">
        <v>19</v>
      </c>
      <c r="D965" s="40" t="s">
        <v>20</v>
      </c>
      <c r="E965" s="40" t="s">
        <v>21</v>
      </c>
      <c r="F965" s="40" t="s">
        <v>47</v>
      </c>
      <c r="G965" s="40" t="s">
        <v>48</v>
      </c>
      <c r="H965" s="40" t="s">
        <v>227</v>
      </c>
      <c r="I965" s="40" t="s">
        <v>232</v>
      </c>
      <c r="J965" s="40">
        <v>0.41742404231839991</v>
      </c>
      <c r="K965" s="40">
        <v>0.23641202115919996</v>
      </c>
      <c r="L965" s="40">
        <v>0</v>
      </c>
      <c r="M965" s="40">
        <v>0.5877</v>
      </c>
      <c r="N965" s="40">
        <v>1.0316999999999998</v>
      </c>
      <c r="O965" s="40">
        <v>4.9586958943752348E-2</v>
      </c>
      <c r="P965" s="40">
        <v>0</v>
      </c>
      <c r="Q965" s="41" t="s">
        <v>137</v>
      </c>
    </row>
    <row r="966" spans="1:17" x14ac:dyDescent="0.25">
      <c r="A966" s="40" t="s">
        <v>182</v>
      </c>
      <c r="B966" s="42" t="s">
        <v>18</v>
      </c>
      <c r="C966" s="40" t="s">
        <v>19</v>
      </c>
      <c r="D966" s="40" t="s">
        <v>20</v>
      </c>
      <c r="E966" s="40" t="s">
        <v>21</v>
      </c>
      <c r="F966" s="40" t="s">
        <v>47</v>
      </c>
      <c r="G966" s="40" t="s">
        <v>48</v>
      </c>
      <c r="H966" s="40" t="s">
        <v>227</v>
      </c>
      <c r="I966" s="40" t="s">
        <v>233</v>
      </c>
      <c r="J966" s="40">
        <v>5.3723367143398013</v>
      </c>
      <c r="K966" s="40">
        <v>3.7095183571699</v>
      </c>
      <c r="L966" s="40">
        <v>12.553340080000002</v>
      </c>
      <c r="M966" s="40">
        <v>22.1708</v>
      </c>
      <c r="N966" s="40">
        <v>303.35304260999999</v>
      </c>
      <c r="O966" s="40">
        <v>0.72240000000000004</v>
      </c>
      <c r="P966" s="40">
        <v>0.42169999999999996</v>
      </c>
      <c r="Q966" s="41" t="s">
        <v>137</v>
      </c>
    </row>
    <row r="967" spans="1:17" x14ac:dyDescent="0.25">
      <c r="A967" s="40" t="s">
        <v>182</v>
      </c>
      <c r="B967" s="42" t="s">
        <v>18</v>
      </c>
      <c r="C967" s="40" t="s">
        <v>19</v>
      </c>
      <c r="D967" s="40" t="s">
        <v>20</v>
      </c>
      <c r="E967" s="40" t="s">
        <v>21</v>
      </c>
      <c r="F967" s="40" t="s">
        <v>59</v>
      </c>
      <c r="G967" s="40" t="s">
        <v>60</v>
      </c>
      <c r="H967" s="40" t="s">
        <v>227</v>
      </c>
      <c r="I967" s="40" t="s">
        <v>229</v>
      </c>
      <c r="J967" s="40">
        <v>590.59625312224034</v>
      </c>
      <c r="K967" s="40">
        <v>260.68980238975843</v>
      </c>
      <c r="L967" s="40">
        <v>1.2246323848639991</v>
      </c>
      <c r="M967" s="40">
        <v>884.86873879850987</v>
      </c>
      <c r="N967" s="40">
        <v>199.37816414399992</v>
      </c>
      <c r="O967" s="40">
        <v>42.088493527919987</v>
      </c>
      <c r="P967" s="40">
        <v>6.4016690219232908</v>
      </c>
      <c r="Q967" s="41" t="s">
        <v>137</v>
      </c>
    </row>
    <row r="968" spans="1:17" x14ac:dyDescent="0.25">
      <c r="A968" s="40" t="s">
        <v>182</v>
      </c>
      <c r="B968" s="42" t="s">
        <v>18</v>
      </c>
      <c r="C968" s="40" t="s">
        <v>19</v>
      </c>
      <c r="D968" s="40" t="s">
        <v>20</v>
      </c>
      <c r="E968" s="40" t="s">
        <v>21</v>
      </c>
      <c r="F968" s="40" t="s">
        <v>59</v>
      </c>
      <c r="G968" s="40" t="s">
        <v>60</v>
      </c>
      <c r="H968" s="40" t="s">
        <v>227</v>
      </c>
      <c r="I968" s="40" t="s">
        <v>237</v>
      </c>
      <c r="J968" s="40">
        <v>42.211267275966478</v>
      </c>
      <c r="K968" s="40">
        <v>22.782401637983238</v>
      </c>
      <c r="L968" s="40">
        <v>4.7049999999999988E-2</v>
      </c>
      <c r="M968" s="40">
        <v>65.859499999999997</v>
      </c>
      <c r="N968" s="40">
        <v>78.404299999999992</v>
      </c>
      <c r="O968" s="40">
        <v>4.3121999999999998</v>
      </c>
      <c r="P968" s="40">
        <v>2.5171999999999999</v>
      </c>
      <c r="Q968" s="41" t="s">
        <v>137</v>
      </c>
    </row>
    <row r="969" spans="1:17" x14ac:dyDescent="0.25">
      <c r="A969" s="40" t="s">
        <v>182</v>
      </c>
      <c r="B969" s="42" t="s">
        <v>18</v>
      </c>
      <c r="C969" s="40" t="s">
        <v>19</v>
      </c>
      <c r="D969" s="40" t="s">
        <v>20</v>
      </c>
      <c r="E969" s="40" t="s">
        <v>21</v>
      </c>
      <c r="F969" s="40" t="s">
        <v>59</v>
      </c>
      <c r="G969" s="40" t="s">
        <v>60</v>
      </c>
      <c r="H969" s="40" t="s">
        <v>227</v>
      </c>
      <c r="I969" s="40" t="s">
        <v>231</v>
      </c>
      <c r="J969" s="40">
        <v>69.728074635550001</v>
      </c>
      <c r="K969" s="40">
        <v>69.728074635550001</v>
      </c>
      <c r="L969" s="40">
        <v>5.9533000000000005</v>
      </c>
      <c r="M969" s="40">
        <v>732.39879999999994</v>
      </c>
      <c r="N969" s="40">
        <v>575.71599100000003</v>
      </c>
      <c r="O969" s="40">
        <v>29.523199999999999</v>
      </c>
      <c r="P969" s="40">
        <v>10.322699999999999</v>
      </c>
      <c r="Q969" s="41" t="s">
        <v>137</v>
      </c>
    </row>
    <row r="970" spans="1:17" x14ac:dyDescent="0.25">
      <c r="A970" s="40" t="s">
        <v>182</v>
      </c>
      <c r="B970" s="42" t="s">
        <v>18</v>
      </c>
      <c r="C970" s="40" t="s">
        <v>19</v>
      </c>
      <c r="D970" s="40" t="s">
        <v>20</v>
      </c>
      <c r="E970" s="40" t="s">
        <v>21</v>
      </c>
      <c r="F970" s="40" t="s">
        <v>59</v>
      </c>
      <c r="G970" s="40" t="s">
        <v>60</v>
      </c>
      <c r="H970" s="40" t="s">
        <v>227</v>
      </c>
      <c r="I970" s="40" t="s">
        <v>228</v>
      </c>
      <c r="J970" s="40">
        <v>277.09270847387199</v>
      </c>
      <c r="K970" s="40">
        <v>210.16801961323603</v>
      </c>
      <c r="L970" s="40">
        <v>64.954540359416782</v>
      </c>
      <c r="M970" s="40">
        <v>207.46329911047999</v>
      </c>
      <c r="N970" s="40">
        <v>411.69697864099999</v>
      </c>
      <c r="O970" s="40">
        <v>21.724370796104004</v>
      </c>
      <c r="P970" s="40">
        <v>5.0203782672994297</v>
      </c>
      <c r="Q970" s="41" t="s">
        <v>137</v>
      </c>
    </row>
    <row r="971" spans="1:17" x14ac:dyDescent="0.25">
      <c r="A971" s="40" t="s">
        <v>182</v>
      </c>
      <c r="B971" s="42" t="s">
        <v>18</v>
      </c>
      <c r="C971" s="40" t="s">
        <v>19</v>
      </c>
      <c r="D971" s="40" t="s">
        <v>20</v>
      </c>
      <c r="E971" s="40" t="s">
        <v>21</v>
      </c>
      <c r="F971" s="40" t="s">
        <v>59</v>
      </c>
      <c r="G971" s="40" t="s">
        <v>60</v>
      </c>
      <c r="H971" s="40" t="s">
        <v>227</v>
      </c>
      <c r="I971" s="40" t="s">
        <v>236</v>
      </c>
      <c r="J971" s="40">
        <v>0</v>
      </c>
      <c r="K971" s="40">
        <v>0</v>
      </c>
      <c r="L971" s="40">
        <v>0</v>
      </c>
      <c r="M971" s="40">
        <v>0</v>
      </c>
      <c r="N971" s="40">
        <v>0</v>
      </c>
      <c r="O971" s="40">
        <v>1.743E-3</v>
      </c>
      <c r="P971" s="40">
        <v>0</v>
      </c>
      <c r="Q971" s="41" t="s">
        <v>137</v>
      </c>
    </row>
    <row r="972" spans="1:17" x14ac:dyDescent="0.25">
      <c r="A972" s="40" t="s">
        <v>182</v>
      </c>
      <c r="B972" s="42" t="s">
        <v>18</v>
      </c>
      <c r="C972" s="40" t="s">
        <v>19</v>
      </c>
      <c r="D972" s="40" t="s">
        <v>20</v>
      </c>
      <c r="E972" s="40" t="s">
        <v>21</v>
      </c>
      <c r="F972" s="40" t="s">
        <v>59</v>
      </c>
      <c r="G972" s="40" t="s">
        <v>60</v>
      </c>
      <c r="H972" s="40" t="s">
        <v>227</v>
      </c>
      <c r="I972" s="40" t="s">
        <v>232</v>
      </c>
      <c r="J972" s="40">
        <v>2.1157596339999998</v>
      </c>
      <c r="K972" s="40">
        <v>1.0902494271600001</v>
      </c>
      <c r="L972" s="40">
        <v>0</v>
      </c>
      <c r="M972" s="40">
        <v>0</v>
      </c>
      <c r="N972" s="40">
        <v>0</v>
      </c>
      <c r="O972" s="40">
        <v>65.466059999999999</v>
      </c>
      <c r="P972" s="40">
        <v>0</v>
      </c>
      <c r="Q972" s="41" t="s">
        <v>137</v>
      </c>
    </row>
    <row r="973" spans="1:17" x14ac:dyDescent="0.25">
      <c r="A973" s="40" t="s">
        <v>182</v>
      </c>
      <c r="B973" s="42" t="s">
        <v>18</v>
      </c>
      <c r="C973" s="40" t="s">
        <v>19</v>
      </c>
      <c r="D973" s="40" t="s">
        <v>20</v>
      </c>
      <c r="E973" s="40" t="s">
        <v>21</v>
      </c>
      <c r="F973" s="40" t="s">
        <v>59</v>
      </c>
      <c r="G973" s="40" t="s">
        <v>60</v>
      </c>
      <c r="H973" s="40" t="s">
        <v>227</v>
      </c>
      <c r="I973" s="40" t="s">
        <v>233</v>
      </c>
      <c r="J973" s="40">
        <v>32.426871490799989</v>
      </c>
      <c r="K973" s="40">
        <v>19.77788684714</v>
      </c>
      <c r="L973" s="40">
        <v>23.515344041296004</v>
      </c>
      <c r="M973" s="40">
        <v>60.310456974518416</v>
      </c>
      <c r="N973" s="40">
        <v>160.734872104</v>
      </c>
      <c r="O973" s="40">
        <v>8.3178058456399988</v>
      </c>
      <c r="P973" s="40">
        <v>1.7078662618559999</v>
      </c>
      <c r="Q973" s="41" t="s">
        <v>137</v>
      </c>
    </row>
    <row r="974" spans="1:17" x14ac:dyDescent="0.25">
      <c r="A974" s="40" t="s">
        <v>182</v>
      </c>
      <c r="B974" s="42" t="s">
        <v>18</v>
      </c>
      <c r="C974" s="40" t="s">
        <v>19</v>
      </c>
      <c r="D974" s="40" t="s">
        <v>20</v>
      </c>
      <c r="E974" s="40" t="s">
        <v>21</v>
      </c>
      <c r="F974" s="40" t="s">
        <v>59</v>
      </c>
      <c r="G974" s="40" t="s">
        <v>60</v>
      </c>
      <c r="H974" s="40" t="s">
        <v>227</v>
      </c>
      <c r="I974" s="40" t="s">
        <v>234</v>
      </c>
      <c r="J974" s="40">
        <v>4.5976447000000004E-2</v>
      </c>
      <c r="K974" s="40">
        <v>4.5947922000000002E-2</v>
      </c>
      <c r="L974" s="40">
        <v>0</v>
      </c>
      <c r="M974" s="40">
        <v>0.48730000000000001</v>
      </c>
      <c r="N974" s="40">
        <v>0.85560000000000003</v>
      </c>
      <c r="O974" s="40">
        <v>0</v>
      </c>
      <c r="P974" s="40">
        <v>0</v>
      </c>
      <c r="Q974" s="41" t="s">
        <v>137</v>
      </c>
    </row>
    <row r="975" spans="1:17" x14ac:dyDescent="0.25">
      <c r="A975" s="40" t="s">
        <v>182</v>
      </c>
      <c r="B975" s="42" t="s">
        <v>18</v>
      </c>
      <c r="C975" s="40" t="s">
        <v>19</v>
      </c>
      <c r="D975" s="40" t="s">
        <v>20</v>
      </c>
      <c r="E975" s="40" t="s">
        <v>21</v>
      </c>
      <c r="F975" s="40" t="s">
        <v>59</v>
      </c>
      <c r="G975" s="40" t="s">
        <v>60</v>
      </c>
      <c r="H975" s="40" t="s">
        <v>227</v>
      </c>
      <c r="I975" s="40" t="s">
        <v>235</v>
      </c>
      <c r="J975" s="40">
        <v>48.66256915540189</v>
      </c>
      <c r="K975" s="40">
        <v>45.448191572309433</v>
      </c>
      <c r="L975" s="40">
        <v>470.14294762164798</v>
      </c>
      <c r="M975" s="40">
        <v>135.02986703072003</v>
      </c>
      <c r="N975" s="40">
        <v>1018.2762036079998</v>
      </c>
      <c r="O975" s="40">
        <v>25.253172088440003</v>
      </c>
      <c r="P975" s="40">
        <v>5.9940377420893496</v>
      </c>
      <c r="Q975" s="41" t="s">
        <v>137</v>
      </c>
    </row>
    <row r="976" spans="1:17" x14ac:dyDescent="0.25">
      <c r="A976" s="40" t="s">
        <v>182</v>
      </c>
      <c r="B976" s="42" t="s">
        <v>18</v>
      </c>
      <c r="C976" s="40" t="s">
        <v>19</v>
      </c>
      <c r="D976" s="40" t="s">
        <v>20</v>
      </c>
      <c r="E976" s="40" t="s">
        <v>21</v>
      </c>
      <c r="F976" s="40" t="s">
        <v>61</v>
      </c>
      <c r="G976" s="40" t="s">
        <v>62</v>
      </c>
      <c r="H976" s="40" t="s">
        <v>227</v>
      </c>
      <c r="I976" s="40" t="s">
        <v>231</v>
      </c>
      <c r="J976" s="40">
        <v>4.4096000000000002</v>
      </c>
      <c r="K976" s="40">
        <v>4.4096000000000002</v>
      </c>
      <c r="L976" s="40">
        <v>6.0100000000000001E-2</v>
      </c>
      <c r="M976" s="40">
        <v>6.9083000000000006</v>
      </c>
      <c r="N976" s="40">
        <v>26.958500000000001</v>
      </c>
      <c r="O976" s="40">
        <v>0.1769</v>
      </c>
      <c r="P976" s="40">
        <v>0</v>
      </c>
      <c r="Q976" s="41" t="s">
        <v>137</v>
      </c>
    </row>
    <row r="977" spans="1:17" x14ac:dyDescent="0.25">
      <c r="A977" s="40" t="s">
        <v>182</v>
      </c>
      <c r="B977" s="42" t="s">
        <v>18</v>
      </c>
      <c r="C977" s="40" t="s">
        <v>19</v>
      </c>
      <c r="D977" s="40" t="s">
        <v>20</v>
      </c>
      <c r="E977" s="40" t="s">
        <v>21</v>
      </c>
      <c r="F977" s="40" t="s">
        <v>61</v>
      </c>
      <c r="G977" s="40" t="s">
        <v>62</v>
      </c>
      <c r="H977" s="40" t="s">
        <v>227</v>
      </c>
      <c r="I977" s="40" t="s">
        <v>228</v>
      </c>
      <c r="J977" s="40">
        <v>19.641344898600011</v>
      </c>
      <c r="K977" s="40">
        <v>14.782635750799997</v>
      </c>
      <c r="L977" s="40">
        <v>2.7599999999999996E-2</v>
      </c>
      <c r="M977" s="40">
        <v>3.7460000000000013</v>
      </c>
      <c r="N977" s="40">
        <v>4.4616999999999987</v>
      </c>
      <c r="O977" s="40">
        <v>85.951001999999988</v>
      </c>
      <c r="P977" s="40">
        <v>0.14319999999999999</v>
      </c>
      <c r="Q977" s="41" t="s">
        <v>137</v>
      </c>
    </row>
    <row r="978" spans="1:17" x14ac:dyDescent="0.25">
      <c r="A978" s="40" t="s">
        <v>182</v>
      </c>
      <c r="B978" s="42" t="s">
        <v>18</v>
      </c>
      <c r="C978" s="40" t="s">
        <v>19</v>
      </c>
      <c r="D978" s="40" t="s">
        <v>20</v>
      </c>
      <c r="E978" s="40" t="s">
        <v>21</v>
      </c>
      <c r="F978" s="40" t="s">
        <v>61</v>
      </c>
      <c r="G978" s="40" t="s">
        <v>62</v>
      </c>
      <c r="H978" s="40" t="s">
        <v>227</v>
      </c>
      <c r="I978" s="40" t="s">
        <v>233</v>
      </c>
      <c r="J978" s="40">
        <v>1.0375289999999999</v>
      </c>
      <c r="K978" s="40">
        <v>1.0226582</v>
      </c>
      <c r="L978" s="40">
        <v>7.9299999999999995E-2</v>
      </c>
      <c r="M978" s="40">
        <v>0.68310000000000004</v>
      </c>
      <c r="N978" s="40">
        <v>77.811000000000007</v>
      </c>
      <c r="O978" s="40">
        <v>236.70141000000001</v>
      </c>
      <c r="P978" s="40">
        <v>0.42430000000000001</v>
      </c>
      <c r="Q978" s="41" t="s">
        <v>137</v>
      </c>
    </row>
    <row r="979" spans="1:17" x14ac:dyDescent="0.25">
      <c r="A979" s="40" t="s">
        <v>182</v>
      </c>
      <c r="B979" s="42" t="s">
        <v>18</v>
      </c>
      <c r="C979" s="40" t="s">
        <v>19</v>
      </c>
      <c r="D979" s="40" t="s">
        <v>20</v>
      </c>
      <c r="E979" s="40" t="s">
        <v>21</v>
      </c>
      <c r="F979" s="40" t="s">
        <v>65</v>
      </c>
      <c r="G979" s="40" t="s">
        <v>66</v>
      </c>
      <c r="H979" s="40" t="s">
        <v>227</v>
      </c>
      <c r="I979" s="40" t="s">
        <v>229</v>
      </c>
      <c r="J979" s="40">
        <v>110.54723774887921</v>
      </c>
      <c r="K979" s="40">
        <v>61.786600817316909</v>
      </c>
      <c r="L979" s="40">
        <v>7.4499999999999997E-2</v>
      </c>
      <c r="M979" s="40">
        <v>10.362500000000001</v>
      </c>
      <c r="N979" s="40">
        <v>12.336799999999997</v>
      </c>
      <c r="O979" s="40">
        <v>74.695229949999998</v>
      </c>
      <c r="P979" s="40">
        <v>0.39539999999999997</v>
      </c>
      <c r="Q979" s="41" t="s">
        <v>137</v>
      </c>
    </row>
    <row r="980" spans="1:17" x14ac:dyDescent="0.25">
      <c r="A980" s="40" t="s">
        <v>182</v>
      </c>
      <c r="B980" s="42" t="s">
        <v>18</v>
      </c>
      <c r="C980" s="40" t="s">
        <v>19</v>
      </c>
      <c r="D980" s="40" t="s">
        <v>20</v>
      </c>
      <c r="E980" s="40" t="s">
        <v>21</v>
      </c>
      <c r="F980" s="40" t="s">
        <v>65</v>
      </c>
      <c r="G980" s="40" t="s">
        <v>66</v>
      </c>
      <c r="H980" s="40" t="s">
        <v>227</v>
      </c>
      <c r="I980" s="40" t="s">
        <v>228</v>
      </c>
      <c r="J980" s="40">
        <v>34.753139600000004</v>
      </c>
      <c r="K980" s="40">
        <v>26.602262699999997</v>
      </c>
      <c r="L980" s="40">
        <v>1.0470000000000002</v>
      </c>
      <c r="M980" s="40">
        <v>6.5291999999999932</v>
      </c>
      <c r="N980" s="40">
        <v>10.213396762616991</v>
      </c>
      <c r="O980" s="40">
        <v>0.56949999999999978</v>
      </c>
      <c r="P980" s="40">
        <v>0.22750000000000009</v>
      </c>
      <c r="Q980" s="41" t="s">
        <v>137</v>
      </c>
    </row>
    <row r="981" spans="1:17" x14ac:dyDescent="0.25">
      <c r="A981" s="40" t="s">
        <v>182</v>
      </c>
      <c r="B981" s="42" t="s">
        <v>18</v>
      </c>
      <c r="C981" s="40" t="s">
        <v>19</v>
      </c>
      <c r="D981" s="40" t="s">
        <v>20</v>
      </c>
      <c r="E981" s="40" t="s">
        <v>21</v>
      </c>
      <c r="F981" s="40" t="s">
        <v>65</v>
      </c>
      <c r="G981" s="40" t="s">
        <v>66</v>
      </c>
      <c r="H981" s="40" t="s">
        <v>227</v>
      </c>
      <c r="I981" s="40" t="s">
        <v>233</v>
      </c>
      <c r="J981" s="40">
        <v>0.43661999999999995</v>
      </c>
      <c r="K981" s="40">
        <v>0.354356</v>
      </c>
      <c r="L981" s="40">
        <v>1.9900000000000001E-2</v>
      </c>
      <c r="M981" s="40">
        <v>3.6186000000000003</v>
      </c>
      <c r="N981" s="40">
        <v>3.6137999999999999</v>
      </c>
      <c r="O981" s="40">
        <v>0.18290000000000001</v>
      </c>
      <c r="P981" s="40">
        <v>0.10679999999999999</v>
      </c>
      <c r="Q981" s="41" t="s">
        <v>137</v>
      </c>
    </row>
    <row r="982" spans="1:17" x14ac:dyDescent="0.25">
      <c r="A982" s="40" t="s">
        <v>182</v>
      </c>
      <c r="B982" s="42" t="s">
        <v>18</v>
      </c>
      <c r="C982" s="40" t="s">
        <v>19</v>
      </c>
      <c r="D982" s="40" t="s">
        <v>20</v>
      </c>
      <c r="E982" s="40" t="s">
        <v>21</v>
      </c>
      <c r="F982" s="40" t="s">
        <v>75</v>
      </c>
      <c r="G982" s="40" t="s">
        <v>76</v>
      </c>
      <c r="H982" s="40" t="s">
        <v>227</v>
      </c>
      <c r="I982" s="40" t="s">
        <v>230</v>
      </c>
      <c r="J982" s="40">
        <v>7.6065000000000014</v>
      </c>
      <c r="K982" s="40">
        <v>7.6065000000000014</v>
      </c>
      <c r="L982" s="40">
        <v>0.60050000000000003</v>
      </c>
      <c r="M982" s="40">
        <v>401.94763168100604</v>
      </c>
      <c r="N982" s="40">
        <v>165.66118298926975</v>
      </c>
      <c r="O982" s="40">
        <v>5.5048000000000004</v>
      </c>
      <c r="P982" s="40">
        <v>3.2134</v>
      </c>
      <c r="Q982" s="41" t="s">
        <v>137</v>
      </c>
    </row>
    <row r="983" spans="1:17" x14ac:dyDescent="0.25">
      <c r="A983" s="40" t="s">
        <v>182</v>
      </c>
      <c r="B983" s="42" t="s">
        <v>18</v>
      </c>
      <c r="C983" s="40" t="s">
        <v>19</v>
      </c>
      <c r="D983" s="40" t="s">
        <v>20</v>
      </c>
      <c r="E983" s="40" t="s">
        <v>21</v>
      </c>
      <c r="F983" s="40" t="s">
        <v>75</v>
      </c>
      <c r="G983" s="40" t="s">
        <v>76</v>
      </c>
      <c r="H983" s="40" t="s">
        <v>227</v>
      </c>
      <c r="I983" s="40" t="s">
        <v>228</v>
      </c>
      <c r="J983" s="40">
        <v>21.185023861455999</v>
      </c>
      <c r="K983" s="40">
        <v>16.101438710728001</v>
      </c>
      <c r="L983" s="40">
        <v>6.2099999999999995E-2</v>
      </c>
      <c r="M983" s="40">
        <v>8.7079000000000004</v>
      </c>
      <c r="N983" s="40">
        <v>14.282699999999998</v>
      </c>
      <c r="O983" s="40">
        <v>10.2883</v>
      </c>
      <c r="P983" s="40">
        <v>8.1399999999999986E-2</v>
      </c>
      <c r="Q983" s="41" t="s">
        <v>137</v>
      </c>
    </row>
    <row r="984" spans="1:17" x14ac:dyDescent="0.25">
      <c r="A984" s="40" t="s">
        <v>182</v>
      </c>
      <c r="B984" s="42" t="s">
        <v>18</v>
      </c>
      <c r="C984" s="40" t="s">
        <v>19</v>
      </c>
      <c r="D984" s="40" t="s">
        <v>20</v>
      </c>
      <c r="E984" s="40" t="s">
        <v>21</v>
      </c>
      <c r="F984" s="40" t="s">
        <v>75</v>
      </c>
      <c r="G984" s="40" t="s">
        <v>76</v>
      </c>
      <c r="H984" s="40" t="s">
        <v>227</v>
      </c>
      <c r="I984" s="40" t="s">
        <v>232</v>
      </c>
      <c r="J984" s="40">
        <v>1.5147000000000001E-2</v>
      </c>
      <c r="K984" s="40">
        <v>8.3160000000000005E-3</v>
      </c>
      <c r="L984" s="40">
        <v>0</v>
      </c>
      <c r="M984" s="40">
        <v>0</v>
      </c>
      <c r="N984" s="40">
        <v>0</v>
      </c>
      <c r="O984" s="40">
        <v>242.46858</v>
      </c>
      <c r="P984" s="40">
        <v>0</v>
      </c>
      <c r="Q984" s="41" t="s">
        <v>137</v>
      </c>
    </row>
    <row r="985" spans="1:17" x14ac:dyDescent="0.25">
      <c r="A985" s="40" t="s">
        <v>182</v>
      </c>
      <c r="B985" s="42" t="s">
        <v>18</v>
      </c>
      <c r="C985" s="40" t="s">
        <v>19</v>
      </c>
      <c r="D985" s="40" t="s">
        <v>20</v>
      </c>
      <c r="E985" s="40" t="s">
        <v>21</v>
      </c>
      <c r="F985" s="40" t="s">
        <v>75</v>
      </c>
      <c r="G985" s="40" t="s">
        <v>76</v>
      </c>
      <c r="H985" s="40" t="s">
        <v>227</v>
      </c>
      <c r="I985" s="40" t="s">
        <v>233</v>
      </c>
      <c r="J985" s="40">
        <v>4.5484341727472613</v>
      </c>
      <c r="K985" s="40">
        <v>4.3768913799153255</v>
      </c>
      <c r="L985" s="40">
        <v>0.33006761186051758</v>
      </c>
      <c r="M985" s="40">
        <v>46.026524737504261</v>
      </c>
      <c r="N985" s="40">
        <v>54.791052750573783</v>
      </c>
      <c r="O985" s="40">
        <v>1120.5788885532891</v>
      </c>
      <c r="P985" s="40">
        <v>1.7579266701695984</v>
      </c>
      <c r="Q985" s="41" t="s">
        <v>137</v>
      </c>
    </row>
    <row r="986" spans="1:17" x14ac:dyDescent="0.25">
      <c r="A986" s="40" t="s">
        <v>182</v>
      </c>
      <c r="B986" s="42" t="s">
        <v>18</v>
      </c>
      <c r="C986" s="40" t="s">
        <v>19</v>
      </c>
      <c r="D986" s="40" t="s">
        <v>20</v>
      </c>
      <c r="E986" s="40" t="s">
        <v>21</v>
      </c>
      <c r="F986" s="40" t="s">
        <v>85</v>
      </c>
      <c r="G986" s="40" t="s">
        <v>86</v>
      </c>
      <c r="H986" s="40" t="s">
        <v>227</v>
      </c>
      <c r="I986" s="40" t="s">
        <v>231</v>
      </c>
      <c r="J986" s="40">
        <v>2.3948746405711048</v>
      </c>
      <c r="K986" s="40">
        <v>2.3948746405711048</v>
      </c>
      <c r="L986" s="40">
        <v>0.21279999999999999</v>
      </c>
      <c r="M986" s="40">
        <v>24.445599999999999</v>
      </c>
      <c r="N986" s="40">
        <v>95.396000000000001</v>
      </c>
      <c r="O986" s="40">
        <v>0.626</v>
      </c>
      <c r="P986" s="40">
        <v>0</v>
      </c>
      <c r="Q986" s="41" t="s">
        <v>137</v>
      </c>
    </row>
    <row r="987" spans="1:17" x14ac:dyDescent="0.25">
      <c r="A987" s="40" t="s">
        <v>182</v>
      </c>
      <c r="B987" s="42" t="s">
        <v>18</v>
      </c>
      <c r="C987" s="40" t="s">
        <v>19</v>
      </c>
      <c r="D987" s="40" t="s">
        <v>20</v>
      </c>
      <c r="E987" s="40" t="s">
        <v>21</v>
      </c>
      <c r="F987" s="40" t="s">
        <v>85</v>
      </c>
      <c r="G987" s="40" t="s">
        <v>86</v>
      </c>
      <c r="H987" s="40" t="s">
        <v>227</v>
      </c>
      <c r="I987" s="40" t="s">
        <v>232</v>
      </c>
      <c r="J987" s="40">
        <v>0.13248000000000001</v>
      </c>
      <c r="K987" s="40">
        <v>0.12765000000000001</v>
      </c>
      <c r="L987" s="40">
        <v>0</v>
      </c>
      <c r="M987" s="40">
        <v>0</v>
      </c>
      <c r="N987" s="40">
        <v>0</v>
      </c>
      <c r="O987" s="40">
        <v>1.75093629755143</v>
      </c>
      <c r="P987" s="40">
        <v>0</v>
      </c>
      <c r="Q987" s="41" t="s">
        <v>137</v>
      </c>
    </row>
    <row r="988" spans="1:17" x14ac:dyDescent="0.25">
      <c r="A988" s="40" t="s">
        <v>182</v>
      </c>
      <c r="B988" s="42" t="s">
        <v>18</v>
      </c>
      <c r="C988" s="40" t="s">
        <v>19</v>
      </c>
      <c r="D988" s="40" t="s">
        <v>20</v>
      </c>
      <c r="E988" s="40" t="s">
        <v>21</v>
      </c>
      <c r="F988" s="40" t="s">
        <v>101</v>
      </c>
      <c r="G988" s="40" t="s">
        <v>21</v>
      </c>
      <c r="H988" s="40" t="s">
        <v>227</v>
      </c>
      <c r="I988" s="40" t="s">
        <v>230</v>
      </c>
      <c r="J988" s="40">
        <v>2.8324228471999997</v>
      </c>
      <c r="K988" s="40">
        <v>2.4366840406108206</v>
      </c>
      <c r="L988" s="40">
        <v>9.0149568759999993E-2</v>
      </c>
      <c r="M988" s="40">
        <v>9.1990250339999999</v>
      </c>
      <c r="N988" s="40">
        <v>6.2519489394000001</v>
      </c>
      <c r="O988" s="40">
        <v>0.60177609003400001</v>
      </c>
      <c r="P988" s="40">
        <v>0.35060000000000002</v>
      </c>
      <c r="Q988" s="41" t="s">
        <v>137</v>
      </c>
    </row>
    <row r="989" spans="1:17" x14ac:dyDescent="0.25">
      <c r="A989" s="40" t="s">
        <v>182</v>
      </c>
      <c r="B989" s="42" t="s">
        <v>18</v>
      </c>
      <c r="C989" s="40" t="s">
        <v>19</v>
      </c>
      <c r="D989" s="40" t="s">
        <v>20</v>
      </c>
      <c r="E989" s="40" t="s">
        <v>21</v>
      </c>
      <c r="F989" s="40" t="s">
        <v>101</v>
      </c>
      <c r="G989" s="40" t="s">
        <v>21</v>
      </c>
      <c r="H989" s="40" t="s">
        <v>227</v>
      </c>
      <c r="I989" s="40" t="s">
        <v>237</v>
      </c>
      <c r="J989" s="40">
        <v>150.34759504489301</v>
      </c>
      <c r="K989" s="40">
        <v>95.657731844893007</v>
      </c>
      <c r="L989" s="40">
        <v>1792.5743</v>
      </c>
      <c r="M989" s="40">
        <v>2030.877</v>
      </c>
      <c r="N989" s="40">
        <v>2040.4110000000001</v>
      </c>
      <c r="O989" s="40">
        <v>60.456699999999998</v>
      </c>
      <c r="P989" s="40">
        <v>1.548987174026488</v>
      </c>
      <c r="Q989" s="41" t="s">
        <v>137</v>
      </c>
    </row>
    <row r="990" spans="1:17" x14ac:dyDescent="0.25">
      <c r="A990" s="40" t="s">
        <v>182</v>
      </c>
      <c r="B990" s="42" t="s">
        <v>18</v>
      </c>
      <c r="C990" s="40" t="s">
        <v>19</v>
      </c>
      <c r="D990" s="40" t="s">
        <v>20</v>
      </c>
      <c r="E990" s="40" t="s">
        <v>21</v>
      </c>
      <c r="F990" s="40" t="s">
        <v>101</v>
      </c>
      <c r="G990" s="40" t="s">
        <v>21</v>
      </c>
      <c r="H990" s="40" t="s">
        <v>227</v>
      </c>
      <c r="I990" s="40" t="s">
        <v>231</v>
      </c>
      <c r="J990" s="40">
        <v>24.074608106472002</v>
      </c>
      <c r="K990" s="40">
        <v>20.516333106472</v>
      </c>
      <c r="L990" s="40">
        <v>3.8763999999999998</v>
      </c>
      <c r="M990" s="40">
        <v>137.05389999999997</v>
      </c>
      <c r="N990" s="40">
        <v>566.18389999999999</v>
      </c>
      <c r="O990" s="40">
        <v>4.1370000000000005</v>
      </c>
      <c r="P990" s="40">
        <v>0.54370000000000007</v>
      </c>
      <c r="Q990" s="41" t="s">
        <v>137</v>
      </c>
    </row>
    <row r="991" spans="1:17" x14ac:dyDescent="0.25">
      <c r="A991" s="40" t="s">
        <v>182</v>
      </c>
      <c r="B991" s="42" t="s">
        <v>18</v>
      </c>
      <c r="C991" s="40" t="s">
        <v>19</v>
      </c>
      <c r="D991" s="40" t="s">
        <v>20</v>
      </c>
      <c r="E991" s="40" t="s">
        <v>21</v>
      </c>
      <c r="F991" s="40" t="s">
        <v>101</v>
      </c>
      <c r="G991" s="40" t="s">
        <v>21</v>
      </c>
      <c r="H991" s="40" t="s">
        <v>227</v>
      </c>
      <c r="I991" s="40" t="s">
        <v>228</v>
      </c>
      <c r="J991" s="40">
        <v>26.353376643803436</v>
      </c>
      <c r="K991" s="40">
        <v>22.065804950999858</v>
      </c>
      <c r="L991" s="40">
        <v>0.8790189385599998</v>
      </c>
      <c r="M991" s="40">
        <v>111.56995139840001</v>
      </c>
      <c r="N991" s="40">
        <v>204.3701897599999</v>
      </c>
      <c r="O991" s="40">
        <v>112.6006869368</v>
      </c>
      <c r="P991" s="40">
        <v>4.7015618618570025</v>
      </c>
      <c r="Q991" s="41" t="s">
        <v>137</v>
      </c>
    </row>
    <row r="992" spans="1:17" x14ac:dyDescent="0.25">
      <c r="A992" s="40" t="s">
        <v>182</v>
      </c>
      <c r="B992" s="42" t="s">
        <v>18</v>
      </c>
      <c r="C992" s="40" t="s">
        <v>19</v>
      </c>
      <c r="D992" s="40" t="s">
        <v>20</v>
      </c>
      <c r="E992" s="40" t="s">
        <v>21</v>
      </c>
      <c r="F992" s="40" t="s">
        <v>101</v>
      </c>
      <c r="G992" s="40" t="s">
        <v>21</v>
      </c>
      <c r="H992" s="40" t="s">
        <v>227</v>
      </c>
      <c r="I992" s="40" t="s">
        <v>232</v>
      </c>
      <c r="J992" s="40">
        <v>0.33427259442400004</v>
      </c>
      <c r="K992" s="40">
        <v>0.21256740721200001</v>
      </c>
      <c r="L992" s="40">
        <v>2.4000000000000002E-3</v>
      </c>
      <c r="M992" s="40">
        <v>0.34040000000000004</v>
      </c>
      <c r="N992" s="40">
        <v>0.40529999999999999</v>
      </c>
      <c r="O992" s="40">
        <v>338.8820187</v>
      </c>
      <c r="P992" s="40">
        <v>1.3000000000000001E-2</v>
      </c>
      <c r="Q992" s="41" t="s">
        <v>137</v>
      </c>
    </row>
    <row r="993" spans="1:17" x14ac:dyDescent="0.25">
      <c r="A993" s="40" t="s">
        <v>182</v>
      </c>
      <c r="B993" s="42" t="s">
        <v>18</v>
      </c>
      <c r="C993" s="40" t="s">
        <v>19</v>
      </c>
      <c r="D993" s="40" t="s">
        <v>20</v>
      </c>
      <c r="E993" s="40" t="s">
        <v>21</v>
      </c>
      <c r="F993" s="40" t="s">
        <v>101</v>
      </c>
      <c r="G993" s="40" t="s">
        <v>21</v>
      </c>
      <c r="H993" s="40" t="s">
        <v>227</v>
      </c>
      <c r="I993" s="40" t="s">
        <v>233</v>
      </c>
      <c r="J993" s="40">
        <v>40.983186285575769</v>
      </c>
      <c r="K993" s="40">
        <v>23.113167274767548</v>
      </c>
      <c r="L993" s="40">
        <v>0.28896910086304001</v>
      </c>
      <c r="M993" s="40">
        <v>24.68018152141504</v>
      </c>
      <c r="N993" s="40">
        <v>40.888604978678607</v>
      </c>
      <c r="O993" s="40">
        <v>204.22145276140375</v>
      </c>
      <c r="P993" s="40">
        <v>0.98674219435138277</v>
      </c>
      <c r="Q993" s="41" t="s">
        <v>137</v>
      </c>
    </row>
    <row r="994" spans="1:17" x14ac:dyDescent="0.25">
      <c r="A994" s="40" t="s">
        <v>182</v>
      </c>
      <c r="B994" s="42" t="s">
        <v>18</v>
      </c>
      <c r="C994" s="40" t="s">
        <v>19</v>
      </c>
      <c r="D994" s="40" t="s">
        <v>20</v>
      </c>
      <c r="E994" s="40" t="s">
        <v>21</v>
      </c>
      <c r="F994" s="40" t="s">
        <v>101</v>
      </c>
      <c r="G994" s="40" t="s">
        <v>21</v>
      </c>
      <c r="H994" s="40" t="s">
        <v>227</v>
      </c>
      <c r="I994" s="40" t="s">
        <v>235</v>
      </c>
      <c r="J994" s="40">
        <v>207.10349588621438</v>
      </c>
      <c r="K994" s="40">
        <v>120.46523694310719</v>
      </c>
      <c r="L994" s="40">
        <v>3.0783000000000005</v>
      </c>
      <c r="M994" s="40">
        <v>430.99220000000003</v>
      </c>
      <c r="N994" s="40">
        <v>2164.7229694026664</v>
      </c>
      <c r="O994" s="40">
        <v>28.219399999999993</v>
      </c>
      <c r="P994" s="40">
        <v>16.472900000000003</v>
      </c>
      <c r="Q994" s="41" t="s">
        <v>137</v>
      </c>
    </row>
    <row r="995" spans="1:17" x14ac:dyDescent="0.25">
      <c r="A995" s="40" t="s">
        <v>182</v>
      </c>
      <c r="B995" s="42" t="s">
        <v>18</v>
      </c>
      <c r="C995" s="40" t="s">
        <v>19</v>
      </c>
      <c r="D995" s="40" t="s">
        <v>20</v>
      </c>
      <c r="E995" s="40" t="s">
        <v>21</v>
      </c>
      <c r="F995" s="40" t="s">
        <v>104</v>
      </c>
      <c r="G995" s="40" t="s">
        <v>105</v>
      </c>
      <c r="H995" s="40" t="s">
        <v>227</v>
      </c>
      <c r="I995" s="40" t="s">
        <v>229</v>
      </c>
      <c r="J995" s="40">
        <v>23.012899999999991</v>
      </c>
      <c r="K995" s="40">
        <v>11.911249999999995</v>
      </c>
      <c r="L995" s="40">
        <v>6.4000000000000001E-2</v>
      </c>
      <c r="M995" s="40">
        <v>8.9486000000000008</v>
      </c>
      <c r="N995" s="40">
        <v>10.653</v>
      </c>
      <c r="O995" s="40">
        <v>2728.5859999999998</v>
      </c>
      <c r="P995" s="40">
        <v>0.34200000000000003</v>
      </c>
      <c r="Q995" s="41" t="s">
        <v>137</v>
      </c>
    </row>
    <row r="996" spans="1:17" x14ac:dyDescent="0.25">
      <c r="A996" s="40" t="s">
        <v>182</v>
      </c>
      <c r="B996" s="42" t="s">
        <v>18</v>
      </c>
      <c r="C996" s="40" t="s">
        <v>19</v>
      </c>
      <c r="D996" s="40" t="s">
        <v>20</v>
      </c>
      <c r="E996" s="40" t="s">
        <v>21</v>
      </c>
      <c r="F996" s="40" t="s">
        <v>104</v>
      </c>
      <c r="G996" s="40" t="s">
        <v>105</v>
      </c>
      <c r="H996" s="40" t="s">
        <v>227</v>
      </c>
      <c r="I996" s="40" t="s">
        <v>231</v>
      </c>
      <c r="J996" s="40">
        <v>1075.6849927830549</v>
      </c>
      <c r="K996" s="40">
        <v>1075.694592783055</v>
      </c>
      <c r="L996" s="40">
        <v>41.664900000000003</v>
      </c>
      <c r="M996" s="40">
        <v>5275.2715000000007</v>
      </c>
      <c r="N996" s="40">
        <v>8426.3420999999998</v>
      </c>
      <c r="O996" s="40">
        <v>255.2852</v>
      </c>
      <c r="P996" s="40">
        <v>81.087199999999996</v>
      </c>
      <c r="Q996" s="41" t="s">
        <v>137</v>
      </c>
    </row>
    <row r="997" spans="1:17" x14ac:dyDescent="0.25">
      <c r="A997" s="40" t="s">
        <v>182</v>
      </c>
      <c r="B997" s="42" t="s">
        <v>18</v>
      </c>
      <c r="C997" s="40" t="s">
        <v>19</v>
      </c>
      <c r="D997" s="40" t="s">
        <v>20</v>
      </c>
      <c r="E997" s="40" t="s">
        <v>21</v>
      </c>
      <c r="F997" s="40" t="s">
        <v>104</v>
      </c>
      <c r="G997" s="40" t="s">
        <v>105</v>
      </c>
      <c r="H997" s="40" t="s">
        <v>227</v>
      </c>
      <c r="I997" s="40" t="s">
        <v>228</v>
      </c>
      <c r="J997" s="40">
        <v>137.48827399999999</v>
      </c>
      <c r="K997" s="40">
        <v>100.19914280000002</v>
      </c>
      <c r="L997" s="40">
        <v>0.32299999999999995</v>
      </c>
      <c r="M997" s="40">
        <v>43.395700000000005</v>
      </c>
      <c r="N997" s="40">
        <v>77.310400000000016</v>
      </c>
      <c r="O997" s="40">
        <v>16.764016999999999</v>
      </c>
      <c r="P997" s="40">
        <v>1.7285999999999999</v>
      </c>
      <c r="Q997" s="41" t="s">
        <v>137</v>
      </c>
    </row>
    <row r="998" spans="1:17" x14ac:dyDescent="0.25">
      <c r="A998" s="40" t="s">
        <v>182</v>
      </c>
      <c r="B998" s="42" t="s">
        <v>18</v>
      </c>
      <c r="C998" s="40" t="s">
        <v>19</v>
      </c>
      <c r="D998" s="40" t="s">
        <v>20</v>
      </c>
      <c r="E998" s="40" t="s">
        <v>21</v>
      </c>
      <c r="F998" s="40" t="s">
        <v>104</v>
      </c>
      <c r="G998" s="40" t="s">
        <v>105</v>
      </c>
      <c r="H998" s="40" t="s">
        <v>227</v>
      </c>
      <c r="I998" s="40" t="s">
        <v>232</v>
      </c>
      <c r="J998" s="40">
        <v>2.2662910803331653</v>
      </c>
      <c r="K998" s="40">
        <v>1.1988455401665825</v>
      </c>
      <c r="L998" s="40">
        <v>1.03E-2</v>
      </c>
      <c r="M998" s="40">
        <v>1.4530000000000001</v>
      </c>
      <c r="N998" s="40">
        <v>19.792188176</v>
      </c>
      <c r="O998" s="40">
        <v>9.509999999999999E-2</v>
      </c>
      <c r="P998" s="40">
        <v>5.5599999999999997E-2</v>
      </c>
      <c r="Q998" s="41" t="s">
        <v>137</v>
      </c>
    </row>
    <row r="999" spans="1:17" x14ac:dyDescent="0.25">
      <c r="A999" s="40" t="s">
        <v>182</v>
      </c>
      <c r="B999" s="42" t="s">
        <v>18</v>
      </c>
      <c r="C999" s="40" t="s">
        <v>19</v>
      </c>
      <c r="D999" s="40" t="s">
        <v>20</v>
      </c>
      <c r="E999" s="40" t="s">
        <v>21</v>
      </c>
      <c r="F999" s="40" t="s">
        <v>104</v>
      </c>
      <c r="G999" s="40" t="s">
        <v>105</v>
      </c>
      <c r="H999" s="40" t="s">
        <v>227</v>
      </c>
      <c r="I999" s="40" t="s">
        <v>233</v>
      </c>
      <c r="J999" s="40">
        <v>0.1542</v>
      </c>
      <c r="K999" s="40">
        <v>0.11829339999999999</v>
      </c>
      <c r="L999" s="40">
        <v>0.27800000000000002</v>
      </c>
      <c r="M999" s="40">
        <v>1.3940999999999999</v>
      </c>
      <c r="N999" s="40">
        <v>2.5992000000000002</v>
      </c>
      <c r="O999" s="40">
        <v>5.4599999999999996E-2</v>
      </c>
      <c r="P999" s="40">
        <v>6.4699999999999994E-2</v>
      </c>
      <c r="Q999" s="41" t="s">
        <v>137</v>
      </c>
    </row>
    <row r="1000" spans="1:17" x14ac:dyDescent="0.25">
      <c r="A1000" s="40" t="s">
        <v>182</v>
      </c>
      <c r="B1000" s="42" t="s">
        <v>18</v>
      </c>
      <c r="C1000" s="40" t="s">
        <v>19</v>
      </c>
      <c r="D1000" s="40" t="s">
        <v>20</v>
      </c>
      <c r="E1000" s="40" t="s">
        <v>21</v>
      </c>
      <c r="F1000" s="40" t="s">
        <v>104</v>
      </c>
      <c r="G1000" s="40" t="s">
        <v>105</v>
      </c>
      <c r="H1000" s="40" t="s">
        <v>227</v>
      </c>
      <c r="I1000" s="40" t="s">
        <v>234</v>
      </c>
      <c r="J1000" s="40">
        <v>1.4E-3</v>
      </c>
      <c r="K1000" s="40">
        <v>1.4E-3</v>
      </c>
      <c r="L1000" s="40">
        <v>0</v>
      </c>
      <c r="M1000" s="40">
        <v>1.4400000000000001E-2</v>
      </c>
      <c r="N1000" s="40">
        <v>2.53E-2</v>
      </c>
      <c r="O1000" s="40">
        <v>0</v>
      </c>
      <c r="P1000" s="40">
        <v>0</v>
      </c>
      <c r="Q1000" s="41" t="s">
        <v>137</v>
      </c>
    </row>
    <row r="1001" spans="1:17" x14ac:dyDescent="0.25">
      <c r="A1001" s="40" t="s">
        <v>182</v>
      </c>
      <c r="B1001" s="42" t="s">
        <v>18</v>
      </c>
      <c r="C1001" s="40" t="s">
        <v>19</v>
      </c>
      <c r="D1001" s="40" t="s">
        <v>20</v>
      </c>
      <c r="E1001" s="40" t="s">
        <v>21</v>
      </c>
      <c r="F1001" s="40" t="s">
        <v>112</v>
      </c>
      <c r="G1001" s="40" t="s">
        <v>113</v>
      </c>
      <c r="H1001" s="40" t="s">
        <v>227</v>
      </c>
      <c r="I1001" s="40" t="s">
        <v>231</v>
      </c>
      <c r="J1001" s="40">
        <v>7.9964999999999993</v>
      </c>
      <c r="K1001" s="40">
        <v>7.9964999999999993</v>
      </c>
      <c r="L1001" s="40">
        <v>0.48139999999999994</v>
      </c>
      <c r="M1001" s="40">
        <v>320.1148</v>
      </c>
      <c r="N1001" s="40">
        <v>261.82532680128003</v>
      </c>
      <c r="O1001" s="40">
        <v>93.060599999999994</v>
      </c>
      <c r="P1001" s="40">
        <v>0</v>
      </c>
      <c r="Q1001" s="41" t="s">
        <v>137</v>
      </c>
    </row>
    <row r="1002" spans="1:17" x14ac:dyDescent="0.25">
      <c r="A1002" s="40" t="s">
        <v>182</v>
      </c>
      <c r="B1002" s="42" t="s">
        <v>18</v>
      </c>
      <c r="C1002" s="40" t="s">
        <v>19</v>
      </c>
      <c r="D1002" s="40" t="s">
        <v>20</v>
      </c>
      <c r="E1002" s="40" t="s">
        <v>21</v>
      </c>
      <c r="F1002" s="40" t="s">
        <v>112</v>
      </c>
      <c r="G1002" s="40" t="s">
        <v>113</v>
      </c>
      <c r="H1002" s="40" t="s">
        <v>227</v>
      </c>
      <c r="I1002" s="40" t="s">
        <v>228</v>
      </c>
      <c r="J1002" s="40">
        <v>0.1598</v>
      </c>
      <c r="K1002" s="40">
        <v>0.1598</v>
      </c>
      <c r="L1002" s="40">
        <v>1E-4</v>
      </c>
      <c r="M1002" s="40">
        <v>1.6978</v>
      </c>
      <c r="N1002" s="40">
        <v>2.9807999999999999</v>
      </c>
      <c r="O1002" s="40">
        <v>0</v>
      </c>
      <c r="P1002" s="40">
        <v>0</v>
      </c>
      <c r="Q1002" s="41" t="s">
        <v>137</v>
      </c>
    </row>
    <row r="1003" spans="1:17" x14ac:dyDescent="0.25">
      <c r="A1003" s="40" t="s">
        <v>182</v>
      </c>
      <c r="B1003" s="42" t="s">
        <v>18</v>
      </c>
      <c r="C1003" s="40" t="s">
        <v>19</v>
      </c>
      <c r="D1003" s="40" t="s">
        <v>20</v>
      </c>
      <c r="E1003" s="40" t="s">
        <v>21</v>
      </c>
      <c r="F1003" s="40" t="s">
        <v>112</v>
      </c>
      <c r="G1003" s="40" t="s">
        <v>113</v>
      </c>
      <c r="H1003" s="40" t="s">
        <v>227</v>
      </c>
      <c r="I1003" s="40" t="s">
        <v>233</v>
      </c>
      <c r="J1003" s="40">
        <v>4.8617999999999997</v>
      </c>
      <c r="K1003" s="40">
        <v>4.8617999999999997</v>
      </c>
      <c r="L1003" s="40">
        <v>1.2999999999999999E-3</v>
      </c>
      <c r="M1003" s="40">
        <v>51.6402</v>
      </c>
      <c r="N1003" s="40">
        <v>90.665999999999997</v>
      </c>
      <c r="O1003" s="40">
        <v>0</v>
      </c>
      <c r="P1003" s="40">
        <v>0</v>
      </c>
      <c r="Q1003" s="41" t="s">
        <v>137</v>
      </c>
    </row>
    <row r="1004" spans="1:17" x14ac:dyDescent="0.25">
      <c r="A1004" s="40" t="s">
        <v>182</v>
      </c>
      <c r="B1004" s="42" t="s">
        <v>18</v>
      </c>
      <c r="C1004" s="40" t="s">
        <v>19</v>
      </c>
      <c r="D1004" s="40" t="s">
        <v>20</v>
      </c>
      <c r="E1004" s="40" t="s">
        <v>21</v>
      </c>
      <c r="F1004" s="40" t="s">
        <v>112</v>
      </c>
      <c r="G1004" s="40" t="s">
        <v>113</v>
      </c>
      <c r="H1004" s="40" t="s">
        <v>227</v>
      </c>
      <c r="I1004" s="40" t="s">
        <v>234</v>
      </c>
      <c r="J1004" s="40">
        <v>1.2999999999999999E-3</v>
      </c>
      <c r="K1004" s="40">
        <v>1.2999999999999999E-3</v>
      </c>
      <c r="L1004" s="40">
        <v>2.8479999999999999</v>
      </c>
      <c r="M1004" s="40">
        <v>0.70459999999999989</v>
      </c>
      <c r="N1004" s="40">
        <v>6.3459000000000003</v>
      </c>
      <c r="O1004" s="40">
        <v>5.9999999999999995E-4</v>
      </c>
      <c r="P1004" s="40">
        <v>0</v>
      </c>
      <c r="Q1004" s="41" t="s">
        <v>137</v>
      </c>
    </row>
    <row r="1005" spans="1:17" x14ac:dyDescent="0.25">
      <c r="A1005" s="40" t="s">
        <v>182</v>
      </c>
      <c r="B1005" s="42" t="s">
        <v>18</v>
      </c>
      <c r="C1005" s="40" t="s">
        <v>19</v>
      </c>
      <c r="D1005" s="40" t="s">
        <v>20</v>
      </c>
      <c r="E1005" s="40" t="s">
        <v>21</v>
      </c>
      <c r="F1005" s="40" t="s">
        <v>112</v>
      </c>
      <c r="G1005" s="40" t="s">
        <v>62</v>
      </c>
      <c r="H1005" s="40" t="s">
        <v>227</v>
      </c>
      <c r="I1005" s="40" t="s">
        <v>234</v>
      </c>
      <c r="J1005" s="40">
        <v>1.1351</v>
      </c>
      <c r="K1005" s="40">
        <v>1.1351</v>
      </c>
      <c r="L1005" s="40">
        <v>5.9999999999999995E-4</v>
      </c>
      <c r="M1005" s="40">
        <v>12.056900000000001</v>
      </c>
      <c r="N1005" s="40">
        <v>21.168600000000001</v>
      </c>
      <c r="O1005" s="40">
        <v>0</v>
      </c>
      <c r="P1005" s="40">
        <v>0</v>
      </c>
      <c r="Q1005" s="41" t="s">
        <v>137</v>
      </c>
    </row>
    <row r="1006" spans="1:17" x14ac:dyDescent="0.25">
      <c r="A1006" s="40" t="s">
        <v>182</v>
      </c>
      <c r="B1006" s="42" t="s">
        <v>18</v>
      </c>
      <c r="C1006" s="40" t="s">
        <v>19</v>
      </c>
      <c r="D1006" s="40" t="s">
        <v>20</v>
      </c>
      <c r="E1006" s="40" t="s">
        <v>21</v>
      </c>
      <c r="F1006" s="40" t="s">
        <v>114</v>
      </c>
      <c r="G1006" s="40" t="s">
        <v>115</v>
      </c>
      <c r="H1006" s="40" t="s">
        <v>227</v>
      </c>
      <c r="I1006" s="40" t="s">
        <v>229</v>
      </c>
      <c r="J1006" s="40">
        <v>1.5200000000000002E-2</v>
      </c>
      <c r="K1006" s="40">
        <v>1.5200000000000002E-2</v>
      </c>
      <c r="L1006" s="40">
        <v>1.2000000000000001E-3</v>
      </c>
      <c r="M1006" s="40">
        <v>0.13439999999999999</v>
      </c>
      <c r="N1006" s="40">
        <v>0.47239999999999999</v>
      </c>
      <c r="O1006" s="40">
        <v>1.0999999999999999E-2</v>
      </c>
      <c r="P1006" s="40">
        <v>6.3999999999999994E-3</v>
      </c>
      <c r="Q1006" s="41" t="s">
        <v>137</v>
      </c>
    </row>
    <row r="1007" spans="1:17" x14ac:dyDescent="0.25">
      <c r="A1007" s="40" t="s">
        <v>182</v>
      </c>
      <c r="B1007" s="42" t="s">
        <v>18</v>
      </c>
      <c r="C1007" s="40" t="s">
        <v>19</v>
      </c>
      <c r="D1007" s="40" t="s">
        <v>20</v>
      </c>
      <c r="E1007" s="40" t="s">
        <v>21</v>
      </c>
      <c r="F1007" s="40" t="s">
        <v>114</v>
      </c>
      <c r="G1007" s="40" t="s">
        <v>115</v>
      </c>
      <c r="H1007" s="40" t="s">
        <v>227</v>
      </c>
      <c r="I1007" s="40" t="s">
        <v>230</v>
      </c>
      <c r="J1007" s="40">
        <v>24.566213464002431</v>
      </c>
      <c r="K1007" s="40">
        <v>20.985541022556749</v>
      </c>
      <c r="L1007" s="40">
        <v>0.58130650720019272</v>
      </c>
      <c r="M1007" s="40">
        <v>58.399944480026889</v>
      </c>
      <c r="N1007" s="40">
        <v>95.674391368031991</v>
      </c>
      <c r="O1007" s="40">
        <v>6.5949463744817596</v>
      </c>
      <c r="P1007" s="40">
        <v>2.7971000000010275</v>
      </c>
      <c r="Q1007" s="41" t="s">
        <v>137</v>
      </c>
    </row>
    <row r="1008" spans="1:17" x14ac:dyDescent="0.25">
      <c r="A1008" s="40" t="s">
        <v>182</v>
      </c>
      <c r="B1008" s="42" t="s">
        <v>18</v>
      </c>
      <c r="C1008" s="40" t="s">
        <v>19</v>
      </c>
      <c r="D1008" s="40" t="s">
        <v>20</v>
      </c>
      <c r="E1008" s="40" t="s">
        <v>21</v>
      </c>
      <c r="F1008" s="40" t="s">
        <v>114</v>
      </c>
      <c r="G1008" s="40" t="s">
        <v>115</v>
      </c>
      <c r="H1008" s="40" t="s">
        <v>227</v>
      </c>
      <c r="I1008" s="40" t="s">
        <v>231</v>
      </c>
      <c r="J1008" s="40">
        <v>3.3073604016999996</v>
      </c>
      <c r="K1008" s="40">
        <v>3.3073604016999996</v>
      </c>
      <c r="L1008" s="40">
        <v>0.29049999999999998</v>
      </c>
      <c r="M1008" s="40">
        <v>34.046900000000001</v>
      </c>
      <c r="N1008" s="40">
        <v>128.71019999999999</v>
      </c>
      <c r="O1008" s="40">
        <v>1.0218</v>
      </c>
      <c r="P1008" s="40">
        <v>0.14369999999999999</v>
      </c>
      <c r="Q1008" s="41" t="s">
        <v>137</v>
      </c>
    </row>
    <row r="1009" spans="1:17" x14ac:dyDescent="0.25">
      <c r="A1009" s="40" t="s">
        <v>182</v>
      </c>
      <c r="B1009" s="42" t="s">
        <v>18</v>
      </c>
      <c r="C1009" s="40" t="s">
        <v>19</v>
      </c>
      <c r="D1009" s="40" t="s">
        <v>20</v>
      </c>
      <c r="E1009" s="40" t="s">
        <v>21</v>
      </c>
      <c r="F1009" s="40" t="s">
        <v>114</v>
      </c>
      <c r="G1009" s="40" t="s">
        <v>115</v>
      </c>
      <c r="H1009" s="40" t="s">
        <v>227</v>
      </c>
      <c r="I1009" s="40" t="s">
        <v>228</v>
      </c>
      <c r="J1009" s="40">
        <v>271.04910718497911</v>
      </c>
      <c r="K1009" s="40">
        <v>205.19350878390219</v>
      </c>
      <c r="L1009" s="40">
        <v>2.8825825428800016</v>
      </c>
      <c r="M1009" s="40">
        <v>398.52212196224502</v>
      </c>
      <c r="N1009" s="40">
        <v>580.93952470262275</v>
      </c>
      <c r="O1009" s="40">
        <v>149.83425997640001</v>
      </c>
      <c r="P1009" s="40">
        <v>14.443066586223505</v>
      </c>
      <c r="Q1009" s="41" t="s">
        <v>137</v>
      </c>
    </row>
    <row r="1010" spans="1:17" x14ac:dyDescent="0.25">
      <c r="A1010" s="40" t="s">
        <v>182</v>
      </c>
      <c r="B1010" s="42" t="s">
        <v>18</v>
      </c>
      <c r="C1010" s="40" t="s">
        <v>19</v>
      </c>
      <c r="D1010" s="40" t="s">
        <v>20</v>
      </c>
      <c r="E1010" s="40" t="s">
        <v>21</v>
      </c>
      <c r="F1010" s="40" t="s">
        <v>114</v>
      </c>
      <c r="G1010" s="40" t="s">
        <v>115</v>
      </c>
      <c r="H1010" s="40" t="s">
        <v>227</v>
      </c>
      <c r="I1010" s="40" t="s">
        <v>236</v>
      </c>
      <c r="J1010" s="40">
        <v>3.3121999999999999E-2</v>
      </c>
      <c r="K1010" s="40">
        <v>2.0732E-2</v>
      </c>
      <c r="L1010" s="40">
        <v>0</v>
      </c>
      <c r="M1010" s="40">
        <v>4.3900000000000002E-2</v>
      </c>
      <c r="N1010" s="40">
        <v>7.7100000000000002E-2</v>
      </c>
      <c r="O1010" s="40">
        <v>0.25469599999999998</v>
      </c>
      <c r="P1010" s="40">
        <v>0</v>
      </c>
      <c r="Q1010" s="41" t="s">
        <v>137</v>
      </c>
    </row>
    <row r="1011" spans="1:17" x14ac:dyDescent="0.25">
      <c r="A1011" s="40" t="s">
        <v>182</v>
      </c>
      <c r="B1011" s="42" t="s">
        <v>18</v>
      </c>
      <c r="C1011" s="40" t="s">
        <v>19</v>
      </c>
      <c r="D1011" s="40" t="s">
        <v>20</v>
      </c>
      <c r="E1011" s="40" t="s">
        <v>21</v>
      </c>
      <c r="F1011" s="40" t="s">
        <v>114</v>
      </c>
      <c r="G1011" s="40" t="s">
        <v>115</v>
      </c>
      <c r="H1011" s="40" t="s">
        <v>227</v>
      </c>
      <c r="I1011" s="40" t="s">
        <v>232</v>
      </c>
      <c r="J1011" s="40">
        <v>4.9208000000000002E-2</v>
      </c>
      <c r="K1011" s="40">
        <v>0.28909699999999999</v>
      </c>
      <c r="L1011" s="40">
        <v>7.2899999999999996E-3</v>
      </c>
      <c r="M1011" s="40">
        <v>6.7991999999999999</v>
      </c>
      <c r="N1011" s="40">
        <v>8.094100000000001</v>
      </c>
      <c r="O1011" s="40">
        <v>0.44499999999999995</v>
      </c>
      <c r="P1011" s="40">
        <v>0.2601</v>
      </c>
      <c r="Q1011" s="41" t="s">
        <v>137</v>
      </c>
    </row>
    <row r="1012" spans="1:17" x14ac:dyDescent="0.25">
      <c r="A1012" s="40" t="s">
        <v>182</v>
      </c>
      <c r="B1012" s="42" t="s">
        <v>18</v>
      </c>
      <c r="C1012" s="40" t="s">
        <v>19</v>
      </c>
      <c r="D1012" s="40" t="s">
        <v>20</v>
      </c>
      <c r="E1012" s="40" t="s">
        <v>21</v>
      </c>
      <c r="F1012" s="40" t="s">
        <v>114</v>
      </c>
      <c r="G1012" s="40" t="s">
        <v>115</v>
      </c>
      <c r="H1012" s="40" t="s">
        <v>227</v>
      </c>
      <c r="I1012" s="40" t="s">
        <v>233</v>
      </c>
      <c r="J1012" s="40">
        <v>147.07854609842627</v>
      </c>
      <c r="K1012" s="40">
        <v>95.150367514818043</v>
      </c>
      <c r="L1012" s="40">
        <v>113.03246501192</v>
      </c>
      <c r="M1012" s="40">
        <v>219.65957428010401</v>
      </c>
      <c r="N1012" s="40">
        <v>1299.1372605148417</v>
      </c>
      <c r="O1012" s="40">
        <v>1947.3551439720002</v>
      </c>
      <c r="P1012" s="40">
        <v>7.9302839604481399</v>
      </c>
      <c r="Q1012" s="41" t="s">
        <v>137</v>
      </c>
    </row>
    <row r="1013" spans="1:17" x14ac:dyDescent="0.25">
      <c r="A1013" s="40" t="s">
        <v>182</v>
      </c>
      <c r="B1013" s="42" t="s">
        <v>18</v>
      </c>
      <c r="C1013" s="40" t="s">
        <v>19</v>
      </c>
      <c r="D1013" s="40" t="s">
        <v>20</v>
      </c>
      <c r="E1013" s="40" t="s">
        <v>21</v>
      </c>
      <c r="F1013" s="40" t="s">
        <v>114</v>
      </c>
      <c r="G1013" s="40" t="s">
        <v>115</v>
      </c>
      <c r="H1013" s="40" t="s">
        <v>227</v>
      </c>
      <c r="I1013" s="40" t="s">
        <v>235</v>
      </c>
      <c r="J1013" s="40">
        <v>3.6300000000000006E-2</v>
      </c>
      <c r="K1013" s="40">
        <v>3.6300000000000006E-2</v>
      </c>
      <c r="L1013" s="40">
        <v>2.8999999999999998E-3</v>
      </c>
      <c r="M1013" s="40">
        <v>0.40160000000000001</v>
      </c>
      <c r="N1013" s="40">
        <v>0.47809999999999997</v>
      </c>
      <c r="O1013" s="40">
        <v>2.6299999999999997E-2</v>
      </c>
      <c r="P1013" s="40">
        <v>1.5399999999999999E-2</v>
      </c>
      <c r="Q1013" s="41" t="s">
        <v>137</v>
      </c>
    </row>
    <row r="1014" spans="1:17" x14ac:dyDescent="0.25">
      <c r="A1014" s="40" t="s">
        <v>182</v>
      </c>
      <c r="B1014" s="42" t="s">
        <v>18</v>
      </c>
      <c r="C1014" s="40" t="s">
        <v>19</v>
      </c>
      <c r="D1014" s="40" t="s">
        <v>20</v>
      </c>
      <c r="E1014" s="40" t="s">
        <v>21</v>
      </c>
      <c r="F1014" s="40" t="s">
        <v>116</v>
      </c>
      <c r="G1014" s="40" t="s">
        <v>117</v>
      </c>
      <c r="H1014" s="40" t="s">
        <v>227</v>
      </c>
      <c r="I1014" s="40" t="s">
        <v>237</v>
      </c>
      <c r="J1014" s="40">
        <v>0.21216999999999997</v>
      </c>
      <c r="K1014" s="40">
        <v>0.10608499999999998</v>
      </c>
      <c r="L1014" s="40">
        <v>0</v>
      </c>
      <c r="M1014" s="40">
        <v>0</v>
      </c>
      <c r="N1014" s="40">
        <v>0</v>
      </c>
      <c r="O1014" s="40">
        <v>0</v>
      </c>
      <c r="P1014" s="40">
        <v>0</v>
      </c>
      <c r="Q1014" s="41" t="s">
        <v>137</v>
      </c>
    </row>
    <row r="1015" spans="1:17" x14ac:dyDescent="0.25">
      <c r="A1015" s="40" t="s">
        <v>182</v>
      </c>
      <c r="B1015" s="42" t="s">
        <v>18</v>
      </c>
      <c r="C1015" s="40" t="s">
        <v>19</v>
      </c>
      <c r="D1015" s="40" t="s">
        <v>20</v>
      </c>
      <c r="E1015" s="40" t="s">
        <v>21</v>
      </c>
      <c r="F1015" s="40" t="s">
        <v>118</v>
      </c>
      <c r="G1015" s="40" t="s">
        <v>119</v>
      </c>
      <c r="H1015" s="40" t="s">
        <v>227</v>
      </c>
      <c r="I1015" s="40" t="s">
        <v>229</v>
      </c>
      <c r="J1015" s="40">
        <v>15.127416386401599</v>
      </c>
      <c r="K1015" s="40">
        <v>10.957744714992799</v>
      </c>
      <c r="L1015" s="40">
        <v>3.670000000000001E-2</v>
      </c>
      <c r="M1015" s="40">
        <v>5.1063459764735999</v>
      </c>
      <c r="N1015" s="40">
        <v>6.2437682176000004</v>
      </c>
      <c r="O1015" s="40">
        <v>23.652311999999998</v>
      </c>
      <c r="P1015" s="40">
        <v>0.1966</v>
      </c>
      <c r="Q1015" s="41" t="s">
        <v>137</v>
      </c>
    </row>
    <row r="1016" spans="1:17" x14ac:dyDescent="0.25">
      <c r="A1016" s="40" t="s">
        <v>182</v>
      </c>
      <c r="B1016" s="42" t="s">
        <v>18</v>
      </c>
      <c r="C1016" s="40" t="s">
        <v>19</v>
      </c>
      <c r="D1016" s="40" t="s">
        <v>20</v>
      </c>
      <c r="E1016" s="40" t="s">
        <v>21</v>
      </c>
      <c r="F1016" s="40" t="s">
        <v>118</v>
      </c>
      <c r="G1016" s="40" t="s">
        <v>119</v>
      </c>
      <c r="H1016" s="40" t="s">
        <v>227</v>
      </c>
      <c r="I1016" s="40" t="s">
        <v>230</v>
      </c>
      <c r="J1016" s="40">
        <v>0.39499750239999998</v>
      </c>
      <c r="K1016" s="40">
        <v>0.39499750239999998</v>
      </c>
      <c r="L1016" s="40">
        <v>2.930005059584E-2</v>
      </c>
      <c r="M1016" s="40">
        <v>2.9311356336000003</v>
      </c>
      <c r="N1016" s="40">
        <v>5.1799182879999996</v>
      </c>
      <c r="O1016" s="40">
        <v>157.63592330271078</v>
      </c>
      <c r="P1016" s="40">
        <v>0.15660000000000002</v>
      </c>
      <c r="Q1016" s="41" t="s">
        <v>137</v>
      </c>
    </row>
    <row r="1017" spans="1:17" x14ac:dyDescent="0.25">
      <c r="A1017" s="40" t="s">
        <v>182</v>
      </c>
      <c r="B1017" s="42" t="s">
        <v>18</v>
      </c>
      <c r="C1017" s="40" t="s">
        <v>19</v>
      </c>
      <c r="D1017" s="40" t="s">
        <v>20</v>
      </c>
      <c r="E1017" s="40" t="s">
        <v>21</v>
      </c>
      <c r="F1017" s="40" t="s">
        <v>118</v>
      </c>
      <c r="G1017" s="40" t="s">
        <v>119</v>
      </c>
      <c r="H1017" s="40" t="s">
        <v>227</v>
      </c>
      <c r="I1017" s="40" t="s">
        <v>228</v>
      </c>
      <c r="J1017" s="40">
        <v>154.13519993476797</v>
      </c>
      <c r="K1017" s="40">
        <v>111.67003283476799</v>
      </c>
      <c r="L1017" s="40">
        <v>0.165671058008</v>
      </c>
      <c r="M1017" s="40">
        <v>22.902048121120004</v>
      </c>
      <c r="N1017" s="40">
        <v>27.291309668000004</v>
      </c>
      <c r="O1017" s="40">
        <v>147.59201803174</v>
      </c>
      <c r="P1017" s="40">
        <v>0.87484377602822527</v>
      </c>
      <c r="Q1017" s="41" t="s">
        <v>137</v>
      </c>
    </row>
    <row r="1018" spans="1:17" x14ac:dyDescent="0.25">
      <c r="A1018" s="40" t="s">
        <v>182</v>
      </c>
      <c r="B1018" s="42" t="s">
        <v>18</v>
      </c>
      <c r="C1018" s="40" t="s">
        <v>19</v>
      </c>
      <c r="D1018" s="40" t="s">
        <v>20</v>
      </c>
      <c r="E1018" s="40" t="s">
        <v>21</v>
      </c>
      <c r="F1018" s="40" t="s">
        <v>118</v>
      </c>
      <c r="G1018" s="40" t="s">
        <v>119</v>
      </c>
      <c r="H1018" s="40" t="s">
        <v>227</v>
      </c>
      <c r="I1018" s="40" t="s">
        <v>236</v>
      </c>
      <c r="J1018" s="40">
        <v>3.1537450094450019</v>
      </c>
      <c r="K1018" s="40">
        <v>3.1537450094450019</v>
      </c>
      <c r="L1018" s="40">
        <v>4.3005545564634887E-2</v>
      </c>
      <c r="M1018" s="40">
        <v>4.9407989127390843</v>
      </c>
      <c r="N1018" s="40">
        <v>19.280852728899326</v>
      </c>
      <c r="O1018" s="40">
        <v>115.09106439214233</v>
      </c>
      <c r="P1018" s="40">
        <v>0</v>
      </c>
      <c r="Q1018" s="41" t="s">
        <v>137</v>
      </c>
    </row>
    <row r="1019" spans="1:17" x14ac:dyDescent="0.25">
      <c r="A1019" s="40" t="s">
        <v>182</v>
      </c>
      <c r="B1019" s="42" t="s">
        <v>18</v>
      </c>
      <c r="C1019" s="40" t="s">
        <v>19</v>
      </c>
      <c r="D1019" s="40" t="s">
        <v>20</v>
      </c>
      <c r="E1019" s="40" t="s">
        <v>21</v>
      </c>
      <c r="F1019" s="40" t="s">
        <v>118</v>
      </c>
      <c r="G1019" s="40" t="s">
        <v>119</v>
      </c>
      <c r="H1019" s="40" t="s">
        <v>227</v>
      </c>
      <c r="I1019" s="40" t="s">
        <v>232</v>
      </c>
      <c r="J1019" s="40">
        <v>17.77773551229</v>
      </c>
      <c r="K1019" s="40">
        <v>8.539730991519999</v>
      </c>
      <c r="L1019" s="40">
        <v>0.1069</v>
      </c>
      <c r="M1019" s="40">
        <v>7.7010290023999994</v>
      </c>
      <c r="N1019" s="40">
        <v>10.346671277819199</v>
      </c>
      <c r="O1019" s="40">
        <v>0.81498575369477078</v>
      </c>
      <c r="P1019" s="40">
        <v>0.40870000000000001</v>
      </c>
      <c r="Q1019" s="41" t="s">
        <v>137</v>
      </c>
    </row>
    <row r="1020" spans="1:17" x14ac:dyDescent="0.25">
      <c r="A1020" s="40" t="s">
        <v>182</v>
      </c>
      <c r="B1020" s="42" t="s">
        <v>18</v>
      </c>
      <c r="C1020" s="40" t="s">
        <v>19</v>
      </c>
      <c r="D1020" s="40" t="s">
        <v>20</v>
      </c>
      <c r="E1020" s="40" t="s">
        <v>21</v>
      </c>
      <c r="F1020" s="40" t="s">
        <v>118</v>
      </c>
      <c r="G1020" s="40" t="s">
        <v>119</v>
      </c>
      <c r="H1020" s="40" t="s">
        <v>227</v>
      </c>
      <c r="I1020" s="40" t="s">
        <v>233</v>
      </c>
      <c r="J1020" s="40">
        <v>1.9977215000000001</v>
      </c>
      <c r="K1020" s="40">
        <v>1.4880332000000001</v>
      </c>
      <c r="L1020" s="40">
        <v>2.4746808000000002</v>
      </c>
      <c r="M1020" s="40">
        <v>13.687100000000001</v>
      </c>
      <c r="N1020" s="40">
        <v>66.961068000000012</v>
      </c>
      <c r="O1020" s="40">
        <v>0.60969999999999991</v>
      </c>
      <c r="P1020" s="40">
        <v>0.35680000000000001</v>
      </c>
      <c r="Q1020" s="41" t="s">
        <v>137</v>
      </c>
    </row>
    <row r="1021" spans="1:17" x14ac:dyDescent="0.25">
      <c r="A1021" s="40" t="s">
        <v>17</v>
      </c>
      <c r="B1021" s="40" t="s">
        <v>18</v>
      </c>
      <c r="C1021" s="40" t="s">
        <v>19</v>
      </c>
      <c r="D1021" s="40" t="s">
        <v>20</v>
      </c>
      <c r="E1021" s="40" t="s">
        <v>21</v>
      </c>
      <c r="F1021" s="40" t="s">
        <v>61</v>
      </c>
      <c r="G1021" s="40" t="s">
        <v>62</v>
      </c>
      <c r="H1021" s="40" t="s">
        <v>143</v>
      </c>
      <c r="I1021" s="40" t="s">
        <v>148</v>
      </c>
      <c r="J1021" s="40">
        <v>0</v>
      </c>
      <c r="K1021" s="40">
        <v>0</v>
      </c>
      <c r="L1021" s="40"/>
      <c r="M1021" s="40"/>
      <c r="N1021" s="40"/>
      <c r="O1021" s="40"/>
      <c r="P1021" s="40"/>
      <c r="Q1021" s="41" t="s">
        <v>26</v>
      </c>
    </row>
    <row r="1022" spans="1:17" x14ac:dyDescent="0.25">
      <c r="A1022" s="40" t="s">
        <v>17</v>
      </c>
      <c r="B1022" s="40" t="s">
        <v>18</v>
      </c>
      <c r="C1022" s="40" t="s">
        <v>19</v>
      </c>
      <c r="D1022" s="40" t="s">
        <v>20</v>
      </c>
      <c r="E1022" s="40" t="s">
        <v>21</v>
      </c>
      <c r="F1022" s="40" t="s">
        <v>61</v>
      </c>
      <c r="G1022" s="40" t="s">
        <v>62</v>
      </c>
      <c r="H1022" s="40" t="s">
        <v>149</v>
      </c>
      <c r="I1022" s="40" t="s">
        <v>152</v>
      </c>
      <c r="J1022" s="40">
        <v>0</v>
      </c>
      <c r="K1022" s="40">
        <v>0</v>
      </c>
      <c r="L1022" s="40">
        <v>0</v>
      </c>
      <c r="M1022" s="40">
        <v>0</v>
      </c>
      <c r="N1022" s="40"/>
      <c r="O1022" s="40">
        <v>0</v>
      </c>
      <c r="P1022" s="40"/>
      <c r="Q1022" s="41" t="s">
        <v>26</v>
      </c>
    </row>
    <row r="1023" spans="1:17" x14ac:dyDescent="0.25">
      <c r="A1023" s="40" t="s">
        <v>17</v>
      </c>
      <c r="B1023" s="40" t="s">
        <v>18</v>
      </c>
      <c r="C1023" s="40" t="s">
        <v>19</v>
      </c>
      <c r="D1023" s="40" t="s">
        <v>20</v>
      </c>
      <c r="E1023" s="40" t="s">
        <v>21</v>
      </c>
      <c r="F1023" s="40" t="s">
        <v>61</v>
      </c>
      <c r="G1023" s="40" t="s">
        <v>62</v>
      </c>
      <c r="H1023" s="40" t="s">
        <v>153</v>
      </c>
      <c r="I1023" s="40" t="s">
        <v>154</v>
      </c>
      <c r="J1023" s="40">
        <v>0</v>
      </c>
      <c r="K1023" s="40">
        <v>0</v>
      </c>
      <c r="L1023" s="40"/>
      <c r="M1023" s="40"/>
      <c r="N1023" s="40"/>
      <c r="O1023" s="40"/>
      <c r="P1023" s="40"/>
      <c r="Q1023" s="41" t="s">
        <v>26</v>
      </c>
    </row>
    <row r="1024" spans="1:17" x14ac:dyDescent="0.25">
      <c r="A1024" s="40" t="s">
        <v>17</v>
      </c>
      <c r="B1024" s="40" t="s">
        <v>18</v>
      </c>
      <c r="C1024" s="40" t="s">
        <v>19</v>
      </c>
      <c r="D1024" s="40" t="s">
        <v>20</v>
      </c>
      <c r="E1024" s="40" t="s">
        <v>21</v>
      </c>
      <c r="F1024" s="40" t="s">
        <v>61</v>
      </c>
      <c r="G1024" s="40" t="s">
        <v>62</v>
      </c>
      <c r="H1024" s="40" t="s">
        <v>153</v>
      </c>
      <c r="I1024" s="40" t="s">
        <v>156</v>
      </c>
      <c r="J1024" s="40">
        <v>0</v>
      </c>
      <c r="K1024" s="40">
        <v>0</v>
      </c>
      <c r="L1024" s="40">
        <v>0</v>
      </c>
      <c r="M1024" s="40">
        <v>0</v>
      </c>
      <c r="N1024" s="40">
        <v>0</v>
      </c>
      <c r="O1024" s="40">
        <v>0</v>
      </c>
      <c r="P1024" s="40">
        <v>0</v>
      </c>
      <c r="Q1024" s="41" t="s">
        <v>137</v>
      </c>
    </row>
    <row r="1025" spans="1:17" x14ac:dyDescent="0.25">
      <c r="A1025" s="40" t="s">
        <v>17</v>
      </c>
      <c r="B1025" s="40" t="s">
        <v>18</v>
      </c>
      <c r="C1025" s="40" t="s">
        <v>19</v>
      </c>
      <c r="D1025" s="40" t="s">
        <v>20</v>
      </c>
      <c r="E1025" s="40" t="s">
        <v>21</v>
      </c>
      <c r="F1025" s="40" t="s">
        <v>61</v>
      </c>
      <c r="G1025" s="40" t="s">
        <v>62</v>
      </c>
      <c r="H1025" s="40" t="s">
        <v>153</v>
      </c>
      <c r="I1025" s="40" t="s">
        <v>159</v>
      </c>
      <c r="J1025" s="40">
        <v>0</v>
      </c>
      <c r="K1025" s="40">
        <v>0</v>
      </c>
      <c r="L1025" s="40">
        <v>0</v>
      </c>
      <c r="M1025" s="40">
        <v>0</v>
      </c>
      <c r="N1025" s="40">
        <v>0</v>
      </c>
      <c r="O1025" s="40">
        <v>0</v>
      </c>
      <c r="P1025" s="40">
        <v>0</v>
      </c>
      <c r="Q1025" s="41" t="s">
        <v>26</v>
      </c>
    </row>
    <row r="1026" spans="1:17" x14ac:dyDescent="0.25">
      <c r="A1026" s="40" t="s">
        <v>17</v>
      </c>
      <c r="B1026" s="43" t="s">
        <v>18</v>
      </c>
      <c r="C1026" s="40" t="s">
        <v>19</v>
      </c>
      <c r="D1026" s="43" t="s">
        <v>20</v>
      </c>
      <c r="E1026" s="43" t="s">
        <v>21</v>
      </c>
      <c r="F1026" s="40" t="s">
        <v>61</v>
      </c>
      <c r="G1026" s="43" t="s">
        <v>62</v>
      </c>
      <c r="H1026" s="43" t="s">
        <v>143</v>
      </c>
      <c r="I1026" s="43" t="s">
        <v>243</v>
      </c>
      <c r="J1026" s="43">
        <v>0</v>
      </c>
      <c r="K1026" s="43">
        <v>0</v>
      </c>
      <c r="L1026" s="43">
        <v>0</v>
      </c>
      <c r="M1026" s="43">
        <v>0</v>
      </c>
      <c r="N1026" s="43">
        <v>0</v>
      </c>
      <c r="O1026" s="43">
        <v>0</v>
      </c>
      <c r="P1026" s="43">
        <v>0</v>
      </c>
      <c r="Q1026" s="41" t="s">
        <v>26</v>
      </c>
    </row>
    <row r="1027" spans="1:17" x14ac:dyDescent="0.25">
      <c r="A1027" s="40" t="s">
        <v>17</v>
      </c>
      <c r="B1027" s="40" t="s">
        <v>18</v>
      </c>
      <c r="C1027" s="40" t="s">
        <v>19</v>
      </c>
      <c r="D1027" s="40" t="s">
        <v>20</v>
      </c>
      <c r="E1027" s="40" t="s">
        <v>21</v>
      </c>
      <c r="F1027" s="40" t="s">
        <v>61</v>
      </c>
      <c r="G1027" s="40" t="s">
        <v>62</v>
      </c>
      <c r="H1027" s="40" t="s">
        <v>127</v>
      </c>
      <c r="I1027" s="40" t="s">
        <v>128</v>
      </c>
      <c r="J1027" s="40"/>
      <c r="K1027" s="40"/>
      <c r="L1027" s="40"/>
      <c r="M1027" s="40"/>
      <c r="N1027" s="40"/>
      <c r="O1027" s="40">
        <v>0</v>
      </c>
      <c r="P1027" s="40"/>
      <c r="Q1027" s="41" t="s">
        <v>26</v>
      </c>
    </row>
    <row r="1028" spans="1:17" x14ac:dyDescent="0.25">
      <c r="A1028" s="40" t="s">
        <v>17</v>
      </c>
      <c r="B1028" s="40" t="s">
        <v>18</v>
      </c>
      <c r="C1028" s="40" t="s">
        <v>19</v>
      </c>
      <c r="D1028" s="40" t="s">
        <v>20</v>
      </c>
      <c r="E1028" s="40" t="s">
        <v>21</v>
      </c>
      <c r="F1028" s="40" t="s">
        <v>61</v>
      </c>
      <c r="G1028" s="40" t="s">
        <v>62</v>
      </c>
      <c r="H1028" s="40" t="s">
        <v>127</v>
      </c>
      <c r="I1028" s="40" t="s">
        <v>129</v>
      </c>
      <c r="J1028" s="40"/>
      <c r="K1028" s="40"/>
      <c r="L1028" s="40"/>
      <c r="M1028" s="40"/>
      <c r="N1028" s="40"/>
      <c r="O1028" s="40">
        <v>1.7431083327272601</v>
      </c>
      <c r="P1028" s="40"/>
      <c r="Q1028" s="41" t="s">
        <v>26</v>
      </c>
    </row>
    <row r="1029" spans="1:17" x14ac:dyDescent="0.25">
      <c r="A1029" s="40" t="s">
        <v>17</v>
      </c>
      <c r="B1029" s="40" t="s">
        <v>18</v>
      </c>
      <c r="C1029" s="40" t="s">
        <v>19</v>
      </c>
      <c r="D1029" s="40" t="s">
        <v>20</v>
      </c>
      <c r="E1029" s="40" t="s">
        <v>21</v>
      </c>
      <c r="F1029" s="40" t="s">
        <v>61</v>
      </c>
      <c r="G1029" s="40" t="s">
        <v>62</v>
      </c>
      <c r="H1029" s="40" t="s">
        <v>127</v>
      </c>
      <c r="I1029" s="40" t="s">
        <v>130</v>
      </c>
      <c r="J1029" s="40"/>
      <c r="K1029" s="40"/>
      <c r="L1029" s="40"/>
      <c r="M1029" s="40"/>
      <c r="N1029" s="40"/>
      <c r="O1029" s="40">
        <v>242.38096285936155</v>
      </c>
      <c r="P1029" s="40"/>
      <c r="Q1029" s="41" t="s">
        <v>26</v>
      </c>
    </row>
    <row r="1030" spans="1:17" x14ac:dyDescent="0.25">
      <c r="A1030" s="40" t="s">
        <v>17</v>
      </c>
      <c r="B1030" s="40" t="s">
        <v>18</v>
      </c>
      <c r="C1030" s="40" t="s">
        <v>19</v>
      </c>
      <c r="D1030" s="40" t="s">
        <v>20</v>
      </c>
      <c r="E1030" s="40" t="s">
        <v>21</v>
      </c>
      <c r="F1030" s="40" t="s">
        <v>61</v>
      </c>
      <c r="G1030" s="40" t="s">
        <v>62</v>
      </c>
      <c r="H1030" s="40" t="s">
        <v>127</v>
      </c>
      <c r="I1030" s="40" t="s">
        <v>131</v>
      </c>
      <c r="J1030" s="40"/>
      <c r="K1030" s="40"/>
      <c r="L1030" s="40"/>
      <c r="M1030" s="40"/>
      <c r="N1030" s="40"/>
      <c r="O1030" s="40">
        <v>51.315929650141904</v>
      </c>
      <c r="P1030" s="40"/>
      <c r="Q1030" s="41" t="s">
        <v>26</v>
      </c>
    </row>
    <row r="1031" spans="1:17" x14ac:dyDescent="0.25">
      <c r="A1031" s="40" t="s">
        <v>17</v>
      </c>
      <c r="B1031" s="40" t="s">
        <v>18</v>
      </c>
      <c r="C1031" s="40" t="s">
        <v>19</v>
      </c>
      <c r="D1031" s="40" t="s">
        <v>20</v>
      </c>
      <c r="E1031" s="40" t="s">
        <v>21</v>
      </c>
      <c r="F1031" s="40" t="s">
        <v>61</v>
      </c>
      <c r="G1031" s="40" t="s">
        <v>62</v>
      </c>
      <c r="H1031" s="40" t="s">
        <v>127</v>
      </c>
      <c r="I1031" s="40" t="s">
        <v>132</v>
      </c>
      <c r="J1031" s="40"/>
      <c r="K1031" s="40"/>
      <c r="L1031" s="40"/>
      <c r="M1031" s="40"/>
      <c r="N1031" s="40"/>
      <c r="O1031" s="40">
        <v>145.58936494826892</v>
      </c>
      <c r="P1031" s="40"/>
      <c r="Q1031" s="41" t="s">
        <v>26</v>
      </c>
    </row>
    <row r="1032" spans="1:17" x14ac:dyDescent="0.25">
      <c r="A1032" s="40" t="s">
        <v>17</v>
      </c>
      <c r="B1032" s="40" t="s">
        <v>18</v>
      </c>
      <c r="C1032" s="40" t="s">
        <v>19</v>
      </c>
      <c r="D1032" s="40" t="s">
        <v>20</v>
      </c>
      <c r="E1032" s="40" t="s">
        <v>21</v>
      </c>
      <c r="F1032" s="40" t="s">
        <v>61</v>
      </c>
      <c r="G1032" s="40" t="s">
        <v>62</v>
      </c>
      <c r="H1032" s="40" t="s">
        <v>127</v>
      </c>
      <c r="I1032" s="40" t="s">
        <v>133</v>
      </c>
      <c r="J1032" s="40"/>
      <c r="K1032" s="40"/>
      <c r="L1032" s="40"/>
      <c r="M1032" s="40"/>
      <c r="N1032" s="40"/>
      <c r="O1032" s="40">
        <v>29.467812929303104</v>
      </c>
      <c r="P1032" s="40"/>
      <c r="Q1032" s="41" t="s">
        <v>26</v>
      </c>
    </row>
    <row r="1033" spans="1:17" x14ac:dyDescent="0.25">
      <c r="A1033" s="40" t="s">
        <v>17</v>
      </c>
      <c r="B1033" s="40" t="s">
        <v>18</v>
      </c>
      <c r="C1033" s="40" t="s">
        <v>19</v>
      </c>
      <c r="D1033" s="40" t="s">
        <v>20</v>
      </c>
      <c r="E1033" s="40" t="s">
        <v>21</v>
      </c>
      <c r="F1033" s="40" t="s">
        <v>61</v>
      </c>
      <c r="G1033" s="40" t="s">
        <v>62</v>
      </c>
      <c r="H1033" s="40" t="s">
        <v>127</v>
      </c>
      <c r="I1033" s="40" t="s">
        <v>134</v>
      </c>
      <c r="J1033" s="40"/>
      <c r="K1033" s="40"/>
      <c r="L1033" s="40"/>
      <c r="M1033" s="40"/>
      <c r="N1033" s="40"/>
      <c r="O1033" s="40">
        <v>348.16980000000001</v>
      </c>
      <c r="P1033" s="40"/>
      <c r="Q1033" s="41" t="s">
        <v>26</v>
      </c>
    </row>
    <row r="1034" spans="1:17" x14ac:dyDescent="0.25">
      <c r="A1034" s="40" t="s">
        <v>17</v>
      </c>
      <c r="B1034" s="40" t="s">
        <v>18</v>
      </c>
      <c r="C1034" s="40" t="s">
        <v>19</v>
      </c>
      <c r="D1034" s="40" t="s">
        <v>20</v>
      </c>
      <c r="E1034" s="40" t="s">
        <v>21</v>
      </c>
      <c r="F1034" s="40" t="s">
        <v>61</v>
      </c>
      <c r="G1034" s="40" t="s">
        <v>62</v>
      </c>
      <c r="H1034" s="40" t="s">
        <v>135</v>
      </c>
      <c r="I1034" s="40" t="s">
        <v>136</v>
      </c>
      <c r="J1034" s="40"/>
      <c r="K1034" s="40"/>
      <c r="L1034" s="40"/>
      <c r="M1034" s="40"/>
      <c r="N1034" s="40"/>
      <c r="O1034" s="40">
        <v>521.45684811502019</v>
      </c>
      <c r="P1034" s="40"/>
      <c r="Q1034" s="41" t="s">
        <v>137</v>
      </c>
    </row>
    <row r="1035" spans="1:17" x14ac:dyDescent="0.25">
      <c r="A1035" s="40" t="s">
        <v>17</v>
      </c>
      <c r="B1035" s="40" t="s">
        <v>18</v>
      </c>
      <c r="C1035" s="40" t="s">
        <v>19</v>
      </c>
      <c r="D1035" s="40" t="s">
        <v>20</v>
      </c>
      <c r="E1035" s="40" t="s">
        <v>21</v>
      </c>
      <c r="F1035" s="40" t="s">
        <v>61</v>
      </c>
      <c r="G1035" s="40" t="s">
        <v>62</v>
      </c>
      <c r="H1035" s="40" t="s">
        <v>135</v>
      </c>
      <c r="I1035" s="40" t="s">
        <v>138</v>
      </c>
      <c r="J1035" s="40"/>
      <c r="K1035" s="40"/>
      <c r="L1035" s="40"/>
      <c r="M1035" s="40"/>
      <c r="N1035" s="40"/>
      <c r="O1035" s="40">
        <v>99.5118453478281</v>
      </c>
      <c r="P1035" s="40"/>
      <c r="Q1035" s="41" t="s">
        <v>137</v>
      </c>
    </row>
    <row r="1036" spans="1:17" x14ac:dyDescent="0.25">
      <c r="A1036" s="40" t="s">
        <v>17</v>
      </c>
      <c r="B1036" s="40" t="s">
        <v>18</v>
      </c>
      <c r="C1036" s="40" t="s">
        <v>19</v>
      </c>
      <c r="D1036" s="40" t="s">
        <v>20</v>
      </c>
      <c r="E1036" s="40" t="s">
        <v>21</v>
      </c>
      <c r="F1036" s="40" t="s">
        <v>61</v>
      </c>
      <c r="G1036" s="40" t="s">
        <v>62</v>
      </c>
      <c r="H1036" s="40" t="s">
        <v>139</v>
      </c>
      <c r="I1036" s="40" t="s">
        <v>142</v>
      </c>
      <c r="J1036" s="40"/>
      <c r="K1036" s="40"/>
      <c r="L1036" s="40"/>
      <c r="M1036" s="40"/>
      <c r="N1036" s="40"/>
      <c r="O1036" s="40">
        <v>4.5729190049449047</v>
      </c>
      <c r="P1036" s="40"/>
      <c r="Q1036" s="41" t="s">
        <v>26</v>
      </c>
    </row>
    <row r="1037" spans="1:17" x14ac:dyDescent="0.25">
      <c r="A1037" s="40" t="s">
        <v>17</v>
      </c>
      <c r="B1037" s="40" t="s">
        <v>18</v>
      </c>
      <c r="C1037" s="40" t="s">
        <v>19</v>
      </c>
      <c r="D1037" s="40" t="s">
        <v>20</v>
      </c>
      <c r="E1037" s="40" t="s">
        <v>21</v>
      </c>
      <c r="F1037" s="40" t="s">
        <v>61</v>
      </c>
      <c r="G1037" s="40" t="s">
        <v>62</v>
      </c>
      <c r="H1037" s="40" t="s">
        <v>143</v>
      </c>
      <c r="I1037" s="40" t="s">
        <v>144</v>
      </c>
      <c r="J1037" s="40"/>
      <c r="K1037" s="40"/>
      <c r="L1037" s="40"/>
      <c r="M1037" s="40"/>
      <c r="N1037" s="40"/>
      <c r="O1037" s="40"/>
      <c r="P1037" s="40">
        <v>0</v>
      </c>
      <c r="Q1037" s="41" t="s">
        <v>26</v>
      </c>
    </row>
    <row r="1038" spans="1:17" x14ac:dyDescent="0.25">
      <c r="A1038" s="40" t="s">
        <v>17</v>
      </c>
      <c r="B1038" s="40" t="s">
        <v>18</v>
      </c>
      <c r="C1038" s="40" t="s">
        <v>19</v>
      </c>
      <c r="D1038" s="40" t="s">
        <v>20</v>
      </c>
      <c r="E1038" s="40" t="s">
        <v>21</v>
      </c>
      <c r="F1038" s="40" t="s">
        <v>61</v>
      </c>
      <c r="G1038" s="40" t="s">
        <v>62</v>
      </c>
      <c r="H1038" s="40" t="s">
        <v>143</v>
      </c>
      <c r="I1038" s="40" t="s">
        <v>145</v>
      </c>
      <c r="J1038" s="40"/>
      <c r="K1038" s="40"/>
      <c r="L1038" s="40"/>
      <c r="M1038" s="40"/>
      <c r="N1038" s="40"/>
      <c r="O1038" s="40">
        <v>0</v>
      </c>
      <c r="P1038" s="40"/>
      <c r="Q1038" s="41" t="s">
        <v>26</v>
      </c>
    </row>
    <row r="1039" spans="1:17" x14ac:dyDescent="0.25">
      <c r="A1039" s="40" t="s">
        <v>17</v>
      </c>
      <c r="B1039" s="40" t="s">
        <v>18</v>
      </c>
      <c r="C1039" s="40" t="s">
        <v>19</v>
      </c>
      <c r="D1039" s="40" t="s">
        <v>20</v>
      </c>
      <c r="E1039" s="40" t="s">
        <v>21</v>
      </c>
      <c r="F1039" s="40" t="s">
        <v>61</v>
      </c>
      <c r="G1039" s="40" t="s">
        <v>62</v>
      </c>
      <c r="H1039" s="40" t="s">
        <v>143</v>
      </c>
      <c r="I1039" s="40" t="s">
        <v>146</v>
      </c>
      <c r="J1039" s="40"/>
      <c r="K1039" s="40"/>
      <c r="L1039" s="40"/>
      <c r="M1039" s="40"/>
      <c r="N1039" s="40"/>
      <c r="O1039" s="40"/>
      <c r="P1039" s="40">
        <v>3.6599999999999994E-2</v>
      </c>
      <c r="Q1039" s="41" t="s">
        <v>26</v>
      </c>
    </row>
    <row r="1040" spans="1:17" x14ac:dyDescent="0.25">
      <c r="A1040" s="40" t="s">
        <v>17</v>
      </c>
      <c r="B1040" s="40" t="s">
        <v>18</v>
      </c>
      <c r="C1040" s="40" t="s">
        <v>19</v>
      </c>
      <c r="D1040" s="40" t="s">
        <v>20</v>
      </c>
      <c r="E1040" s="40" t="s">
        <v>21</v>
      </c>
      <c r="F1040" s="40" t="s">
        <v>61</v>
      </c>
      <c r="G1040" s="40" t="s">
        <v>62</v>
      </c>
      <c r="H1040" s="40" t="s">
        <v>149</v>
      </c>
      <c r="I1040" s="40" t="s">
        <v>150</v>
      </c>
      <c r="J1040" s="40"/>
      <c r="K1040" s="40"/>
      <c r="L1040" s="40"/>
      <c r="M1040" s="40"/>
      <c r="N1040" s="40"/>
      <c r="O1040" s="40">
        <v>0</v>
      </c>
      <c r="P1040" s="40"/>
      <c r="Q1040" s="41" t="s">
        <v>26</v>
      </c>
    </row>
    <row r="1041" spans="1:17" x14ac:dyDescent="0.25">
      <c r="A1041" s="40" t="s">
        <v>17</v>
      </c>
      <c r="B1041" s="40" t="s">
        <v>18</v>
      </c>
      <c r="C1041" s="40" t="s">
        <v>19</v>
      </c>
      <c r="D1041" s="40" t="s">
        <v>20</v>
      </c>
      <c r="E1041" s="40" t="s">
        <v>21</v>
      </c>
      <c r="F1041" s="40" t="s">
        <v>61</v>
      </c>
      <c r="G1041" s="40" t="s">
        <v>62</v>
      </c>
      <c r="H1041" s="40" t="s">
        <v>153</v>
      </c>
      <c r="I1041" s="40" t="s">
        <v>155</v>
      </c>
      <c r="J1041" s="40"/>
      <c r="K1041" s="40"/>
      <c r="L1041" s="40"/>
      <c r="M1041" s="40"/>
      <c r="N1041" s="40"/>
      <c r="O1041" s="40"/>
      <c r="P1041" s="40">
        <v>152.85767772929961</v>
      </c>
      <c r="Q1041" s="41" t="s">
        <v>26</v>
      </c>
    </row>
    <row r="1042" spans="1:17" x14ac:dyDescent="0.25">
      <c r="A1042" s="40" t="s">
        <v>17</v>
      </c>
      <c r="B1042" s="40" t="s">
        <v>18</v>
      </c>
      <c r="C1042" s="40" t="s">
        <v>19</v>
      </c>
      <c r="D1042" s="40" t="s">
        <v>20</v>
      </c>
      <c r="E1042" s="40" t="s">
        <v>21</v>
      </c>
      <c r="F1042" s="40" t="s">
        <v>61</v>
      </c>
      <c r="G1042" s="40" t="s">
        <v>62</v>
      </c>
      <c r="H1042" s="40" t="s">
        <v>153</v>
      </c>
      <c r="I1042" s="40" t="s">
        <v>157</v>
      </c>
      <c r="J1042" s="40"/>
      <c r="K1042" s="40"/>
      <c r="L1042" s="40"/>
      <c r="M1042" s="40"/>
      <c r="N1042" s="40"/>
      <c r="O1042" s="40">
        <v>1.968E-2</v>
      </c>
      <c r="P1042" s="40"/>
      <c r="Q1042" s="41" t="s">
        <v>26</v>
      </c>
    </row>
    <row r="1043" spans="1:17" x14ac:dyDescent="0.25">
      <c r="A1043" s="40" t="s">
        <v>17</v>
      </c>
      <c r="B1043" s="43" t="s">
        <v>18</v>
      </c>
      <c r="C1043" s="40" t="s">
        <v>19</v>
      </c>
      <c r="D1043" s="43" t="s">
        <v>20</v>
      </c>
      <c r="E1043" s="43" t="s">
        <v>21</v>
      </c>
      <c r="F1043" s="40" t="s">
        <v>61</v>
      </c>
      <c r="G1043" s="43" t="s">
        <v>62</v>
      </c>
      <c r="H1043" s="43" t="s">
        <v>240</v>
      </c>
      <c r="I1043" s="43" t="s">
        <v>241</v>
      </c>
      <c r="J1043" s="43"/>
      <c r="K1043" s="43"/>
      <c r="L1043" s="43"/>
      <c r="M1043" s="43"/>
      <c r="N1043" s="43"/>
      <c r="O1043" s="43">
        <v>30.425170708706354</v>
      </c>
      <c r="P1043" s="43"/>
      <c r="Q1043" s="41" t="s">
        <v>26</v>
      </c>
    </row>
    <row r="1044" spans="1:17" x14ac:dyDescent="0.25">
      <c r="A1044" s="40" t="s">
        <v>17</v>
      </c>
      <c r="B1044" s="43" t="s">
        <v>18</v>
      </c>
      <c r="C1044" s="40" t="s">
        <v>19</v>
      </c>
      <c r="D1044" s="43" t="s">
        <v>20</v>
      </c>
      <c r="E1044" s="43" t="s">
        <v>21</v>
      </c>
      <c r="F1044" s="40" t="s">
        <v>61</v>
      </c>
      <c r="G1044" s="43" t="s">
        <v>62</v>
      </c>
      <c r="H1044" s="43" t="s">
        <v>240</v>
      </c>
      <c r="I1044" s="43" t="s">
        <v>242</v>
      </c>
      <c r="J1044" s="43"/>
      <c r="K1044" s="43"/>
      <c r="L1044" s="43"/>
      <c r="M1044" s="43"/>
      <c r="N1044" s="43"/>
      <c r="O1044" s="43">
        <v>0</v>
      </c>
      <c r="P1044" s="43"/>
      <c r="Q1044" s="41" t="s">
        <v>26</v>
      </c>
    </row>
    <row r="1045" spans="1:17" x14ac:dyDescent="0.25">
      <c r="A1045" s="40" t="s">
        <v>17</v>
      </c>
      <c r="B1045" s="40" t="s">
        <v>18</v>
      </c>
      <c r="C1045" s="40" t="s">
        <v>19</v>
      </c>
      <c r="D1045" s="40" t="s">
        <v>20</v>
      </c>
      <c r="E1045" s="40" t="s">
        <v>21</v>
      </c>
      <c r="F1045" s="40" t="s">
        <v>118</v>
      </c>
      <c r="G1045" s="40" t="s">
        <v>119</v>
      </c>
      <c r="H1045" s="40" t="s">
        <v>139</v>
      </c>
      <c r="I1045" s="40" t="s">
        <v>140</v>
      </c>
      <c r="J1045" s="40">
        <v>114.46344581357947</v>
      </c>
      <c r="K1045" s="40">
        <v>11.446344581357948</v>
      </c>
      <c r="L1045" s="40"/>
      <c r="M1045" s="40"/>
      <c r="N1045" s="40"/>
      <c r="O1045" s="40"/>
      <c r="P1045" s="40"/>
      <c r="Q1045" s="41" t="s">
        <v>26</v>
      </c>
    </row>
    <row r="1046" spans="1:17" x14ac:dyDescent="0.25">
      <c r="A1046" s="40" t="s">
        <v>17</v>
      </c>
      <c r="B1046" s="40" t="s">
        <v>18</v>
      </c>
      <c r="C1046" s="40" t="s">
        <v>19</v>
      </c>
      <c r="D1046" s="40" t="s">
        <v>20</v>
      </c>
      <c r="E1046" s="40" t="s">
        <v>21</v>
      </c>
      <c r="F1046" s="40" t="s">
        <v>118</v>
      </c>
      <c r="G1046" s="40" t="s">
        <v>119</v>
      </c>
      <c r="H1046" s="40" t="s">
        <v>139</v>
      </c>
      <c r="I1046" s="40" t="s">
        <v>141</v>
      </c>
      <c r="J1046" s="40">
        <v>25.13188275000001</v>
      </c>
      <c r="K1046" s="40">
        <v>20.057755622774994</v>
      </c>
      <c r="L1046" s="40">
        <v>0</v>
      </c>
      <c r="M1046" s="40">
        <v>50.034293649999974</v>
      </c>
      <c r="N1046" s="40">
        <v>0.92103085000000062</v>
      </c>
      <c r="O1046" s="40">
        <v>3.2283231500000023</v>
      </c>
      <c r="P1046" s="40">
        <v>0</v>
      </c>
      <c r="Q1046" s="41" t="s">
        <v>26</v>
      </c>
    </row>
    <row r="1047" spans="1:17" x14ac:dyDescent="0.25">
      <c r="A1047" s="40" t="s">
        <v>17</v>
      </c>
      <c r="B1047" s="40" t="s">
        <v>18</v>
      </c>
      <c r="C1047" s="40" t="s">
        <v>19</v>
      </c>
      <c r="D1047" s="40" t="s">
        <v>20</v>
      </c>
      <c r="E1047" s="40" t="s">
        <v>21</v>
      </c>
      <c r="F1047" s="40" t="s">
        <v>118</v>
      </c>
      <c r="G1047" s="40" t="s">
        <v>119</v>
      </c>
      <c r="H1047" s="40" t="s">
        <v>24</v>
      </c>
      <c r="I1047" s="40" t="s">
        <v>126</v>
      </c>
      <c r="J1047" s="40">
        <v>20.273359315196821</v>
      </c>
      <c r="K1047" s="40">
        <v>19.604537930825387</v>
      </c>
      <c r="L1047" s="40">
        <v>0.77033108926311211</v>
      </c>
      <c r="M1047" s="40">
        <v>170.97135650872895</v>
      </c>
      <c r="N1047" s="40">
        <v>36.42700418145143</v>
      </c>
      <c r="O1047" s="40">
        <v>69.30161379476101</v>
      </c>
      <c r="P1047" s="40">
        <v>1.1734463858239876</v>
      </c>
      <c r="Q1047" s="41" t="s">
        <v>26</v>
      </c>
    </row>
    <row r="1048" spans="1:17" x14ac:dyDescent="0.25">
      <c r="A1048" s="40" t="s">
        <v>17</v>
      </c>
      <c r="B1048" s="40" t="s">
        <v>18</v>
      </c>
      <c r="C1048" s="40" t="s">
        <v>19</v>
      </c>
      <c r="D1048" s="40" t="s">
        <v>20</v>
      </c>
      <c r="E1048" s="40" t="s">
        <v>21</v>
      </c>
      <c r="F1048" s="40" t="s">
        <v>118</v>
      </c>
      <c r="G1048" s="40" t="s">
        <v>119</v>
      </c>
      <c r="H1048" s="40" t="s">
        <v>149</v>
      </c>
      <c r="I1048" s="40" t="s">
        <v>151</v>
      </c>
      <c r="J1048" s="40">
        <v>4.8413069655380117</v>
      </c>
      <c r="K1048" s="40">
        <v>4.433617957913758</v>
      </c>
      <c r="L1048" s="40">
        <v>0.12740281488257926</v>
      </c>
      <c r="M1048" s="40">
        <v>10.829239265019238</v>
      </c>
      <c r="N1048" s="40">
        <v>0.76441688929547558</v>
      </c>
      <c r="O1048" s="40">
        <v>1.090058484135348</v>
      </c>
      <c r="P1048" s="40"/>
      <c r="Q1048" s="41" t="s">
        <v>26</v>
      </c>
    </row>
    <row r="1049" spans="1:17" x14ac:dyDescent="0.25">
      <c r="A1049" s="40" t="s">
        <v>17</v>
      </c>
      <c r="B1049" s="40" t="s">
        <v>18</v>
      </c>
      <c r="C1049" s="40" t="s">
        <v>19</v>
      </c>
      <c r="D1049" s="40" t="s">
        <v>20</v>
      </c>
      <c r="E1049" s="40" t="s">
        <v>21</v>
      </c>
      <c r="F1049" s="40" t="s">
        <v>118</v>
      </c>
      <c r="G1049" s="40" t="s">
        <v>119</v>
      </c>
      <c r="H1049" s="40" t="s">
        <v>153</v>
      </c>
      <c r="I1049" s="40" t="s">
        <v>154</v>
      </c>
      <c r="J1049" s="40">
        <v>2.8640128139287002</v>
      </c>
      <c r="K1049" s="40">
        <v>0.44407922974449104</v>
      </c>
      <c r="L1049" s="40"/>
      <c r="M1049" s="40"/>
      <c r="N1049" s="40"/>
      <c r="O1049" s="40"/>
      <c r="P1049" s="40"/>
      <c r="Q1049" s="41" t="s">
        <v>26</v>
      </c>
    </row>
    <row r="1050" spans="1:17" x14ac:dyDescent="0.25">
      <c r="A1050" s="40" t="s">
        <v>17</v>
      </c>
      <c r="B1050" s="43" t="s">
        <v>18</v>
      </c>
      <c r="C1050" s="40" t="s">
        <v>19</v>
      </c>
      <c r="D1050" s="43" t="s">
        <v>20</v>
      </c>
      <c r="E1050" s="43" t="s">
        <v>21</v>
      </c>
      <c r="F1050" s="43" t="s">
        <v>118</v>
      </c>
      <c r="G1050" s="43" t="s">
        <v>119</v>
      </c>
      <c r="H1050" s="43" t="s">
        <v>24</v>
      </c>
      <c r="I1050" s="43" t="s">
        <v>239</v>
      </c>
      <c r="J1050" s="43">
        <v>1.1308754411666695</v>
      </c>
      <c r="K1050" s="43">
        <v>0.76925022161591872</v>
      </c>
      <c r="L1050" s="43">
        <v>0.1061978107900567</v>
      </c>
      <c r="M1050" s="43">
        <v>7.7445935711820963</v>
      </c>
      <c r="N1050" s="43">
        <v>18.936762042810706</v>
      </c>
      <c r="O1050" s="43">
        <v>0.42419271176709122</v>
      </c>
      <c r="P1050" s="43">
        <v>0.38065812584289566</v>
      </c>
      <c r="Q1050" s="41" t="s">
        <v>26</v>
      </c>
    </row>
    <row r="1051" spans="1:17" x14ac:dyDescent="0.25">
      <c r="A1051" s="40" t="s">
        <v>17</v>
      </c>
      <c r="B1051" s="40" t="s">
        <v>18</v>
      </c>
      <c r="C1051" s="40" t="s">
        <v>19</v>
      </c>
      <c r="D1051" s="40" t="s">
        <v>20</v>
      </c>
      <c r="E1051" s="40" t="s">
        <v>21</v>
      </c>
      <c r="F1051" s="40" t="s">
        <v>118</v>
      </c>
      <c r="G1051" s="40" t="s">
        <v>119</v>
      </c>
      <c r="H1051" s="40" t="s">
        <v>143</v>
      </c>
      <c r="I1051" s="40" t="s">
        <v>148</v>
      </c>
      <c r="J1051" s="40">
        <v>0.71767736456634534</v>
      </c>
      <c r="K1051" s="40">
        <v>0.15910907172435876</v>
      </c>
      <c r="L1051" s="40"/>
      <c r="M1051" s="40"/>
      <c r="N1051" s="40"/>
      <c r="O1051" s="40"/>
      <c r="P1051" s="40"/>
      <c r="Q1051" s="41" t="s">
        <v>26</v>
      </c>
    </row>
    <row r="1052" spans="1:17" x14ac:dyDescent="0.25">
      <c r="A1052" s="40" t="s">
        <v>17</v>
      </c>
      <c r="B1052" s="43" t="s">
        <v>18</v>
      </c>
      <c r="C1052" s="40" t="s">
        <v>19</v>
      </c>
      <c r="D1052" s="43" t="s">
        <v>20</v>
      </c>
      <c r="E1052" s="43" t="s">
        <v>21</v>
      </c>
      <c r="F1052" s="43" t="s">
        <v>118</v>
      </c>
      <c r="G1052" s="43" t="s">
        <v>119</v>
      </c>
      <c r="H1052" s="40" t="s">
        <v>24</v>
      </c>
      <c r="I1052" s="40" t="s">
        <v>238</v>
      </c>
      <c r="J1052" s="43">
        <v>0.36779544983380913</v>
      </c>
      <c r="K1052" s="43">
        <v>0.36779544983380913</v>
      </c>
      <c r="L1052" s="43">
        <v>4.3041011655849858E-2</v>
      </c>
      <c r="M1052" s="43">
        <v>3.1538047097679196</v>
      </c>
      <c r="N1052" s="43">
        <v>5.2289042791152891</v>
      </c>
      <c r="O1052" s="43">
        <v>0.31446981725375328</v>
      </c>
      <c r="P1052" s="43">
        <v>3.1817403720955212E-3</v>
      </c>
      <c r="Q1052" s="41" t="s">
        <v>26</v>
      </c>
    </row>
    <row r="1053" spans="1:17" x14ac:dyDescent="0.25">
      <c r="A1053" s="40" t="s">
        <v>17</v>
      </c>
      <c r="B1053" s="40" t="s">
        <v>18</v>
      </c>
      <c r="C1053" s="40" t="s">
        <v>19</v>
      </c>
      <c r="D1053" s="40" t="s">
        <v>20</v>
      </c>
      <c r="E1053" s="40" t="s">
        <v>21</v>
      </c>
      <c r="F1053" s="40" t="s">
        <v>118</v>
      </c>
      <c r="G1053" s="40" t="s">
        <v>119</v>
      </c>
      <c r="H1053" s="40" t="s">
        <v>153</v>
      </c>
      <c r="I1053" s="40" t="s">
        <v>158</v>
      </c>
      <c r="J1053" s="40">
        <v>0.24490687712104417</v>
      </c>
      <c r="K1053" s="40">
        <v>0.22870320850244957</v>
      </c>
      <c r="L1053" s="40">
        <v>0</v>
      </c>
      <c r="M1053" s="40">
        <v>3.888880468462705</v>
      </c>
      <c r="N1053" s="40">
        <v>9.2592392106254875E-2</v>
      </c>
      <c r="O1053" s="40">
        <v>0.24120318143679401</v>
      </c>
      <c r="P1053" s="40">
        <v>0</v>
      </c>
      <c r="Q1053" s="41" t="s">
        <v>26</v>
      </c>
    </row>
    <row r="1054" spans="1:17" x14ac:dyDescent="0.25">
      <c r="A1054" s="40" t="s">
        <v>17</v>
      </c>
      <c r="B1054" s="40" t="s">
        <v>18</v>
      </c>
      <c r="C1054" s="40" t="s">
        <v>19</v>
      </c>
      <c r="D1054" s="40" t="s">
        <v>20</v>
      </c>
      <c r="E1054" s="40" t="s">
        <v>21</v>
      </c>
      <c r="F1054" s="40" t="s">
        <v>118</v>
      </c>
      <c r="G1054" s="40" t="s">
        <v>119</v>
      </c>
      <c r="H1054" s="40" t="s">
        <v>143</v>
      </c>
      <c r="I1054" s="40" t="s">
        <v>147</v>
      </c>
      <c r="J1054" s="40">
        <v>0.19158600000000001</v>
      </c>
      <c r="K1054" s="40">
        <v>2.1879121200000001E-2</v>
      </c>
      <c r="L1054" s="40"/>
      <c r="M1054" s="40"/>
      <c r="N1054" s="40"/>
      <c r="O1054" s="40"/>
      <c r="P1054" s="40"/>
      <c r="Q1054" s="41" t="s">
        <v>26</v>
      </c>
    </row>
    <row r="1055" spans="1:17" x14ac:dyDescent="0.25">
      <c r="A1055" s="40" t="s">
        <v>17</v>
      </c>
      <c r="B1055" s="40" t="s">
        <v>18</v>
      </c>
      <c r="C1055" s="40" t="s">
        <v>19</v>
      </c>
      <c r="D1055" s="40" t="s">
        <v>20</v>
      </c>
      <c r="E1055" s="40" t="s">
        <v>21</v>
      </c>
      <c r="F1055" s="40" t="s">
        <v>118</v>
      </c>
      <c r="G1055" s="40" t="s">
        <v>119</v>
      </c>
      <c r="H1055" s="40" t="s">
        <v>153</v>
      </c>
      <c r="I1055" s="40" t="s">
        <v>156</v>
      </c>
      <c r="J1055" s="40">
        <v>4.7449276270617206E-3</v>
      </c>
      <c r="K1055" s="40">
        <v>4.0265720500563601E-3</v>
      </c>
      <c r="L1055" s="40">
        <v>4.3479416502956002E-4</v>
      </c>
      <c r="M1055" s="40">
        <v>4.7109002576246242E-2</v>
      </c>
      <c r="N1055" s="40">
        <v>1.3989029657472802E-3</v>
      </c>
      <c r="O1055" s="40">
        <v>3.2893123789192796E-3</v>
      </c>
      <c r="P1055" s="40">
        <v>4.7260235329300013E-4</v>
      </c>
      <c r="Q1055" s="41" t="s">
        <v>137</v>
      </c>
    </row>
    <row r="1056" spans="1:17" x14ac:dyDescent="0.25">
      <c r="A1056" s="40" t="s">
        <v>17</v>
      </c>
      <c r="B1056" s="40" t="s">
        <v>18</v>
      </c>
      <c r="C1056" s="40" t="s">
        <v>19</v>
      </c>
      <c r="D1056" s="40" t="s">
        <v>20</v>
      </c>
      <c r="E1056" s="40" t="s">
        <v>21</v>
      </c>
      <c r="F1056" s="40" t="s">
        <v>118</v>
      </c>
      <c r="G1056" s="40" t="s">
        <v>119</v>
      </c>
      <c r="H1056" s="40" t="s">
        <v>24</v>
      </c>
      <c r="I1056" s="40" t="s">
        <v>25</v>
      </c>
      <c r="J1056" s="40">
        <v>0</v>
      </c>
      <c r="K1056" s="40">
        <v>0</v>
      </c>
      <c r="L1056" s="40">
        <v>0</v>
      </c>
      <c r="M1056" s="40">
        <v>0</v>
      </c>
      <c r="N1056" s="40">
        <v>0</v>
      </c>
      <c r="O1056" s="40">
        <v>0</v>
      </c>
      <c r="P1056" s="40">
        <v>0</v>
      </c>
      <c r="Q1056" s="41" t="s">
        <v>26</v>
      </c>
    </row>
    <row r="1057" spans="1:17" x14ac:dyDescent="0.25">
      <c r="A1057" s="40" t="s">
        <v>17</v>
      </c>
      <c r="B1057" s="40" t="s">
        <v>18</v>
      </c>
      <c r="C1057" s="40" t="s">
        <v>19</v>
      </c>
      <c r="D1057" s="40" t="s">
        <v>20</v>
      </c>
      <c r="E1057" s="40" t="s">
        <v>21</v>
      </c>
      <c r="F1057" s="40" t="s">
        <v>118</v>
      </c>
      <c r="G1057" s="40" t="s">
        <v>119</v>
      </c>
      <c r="H1057" s="40" t="s">
        <v>149</v>
      </c>
      <c r="I1057" s="40" t="s">
        <v>152</v>
      </c>
      <c r="J1057" s="40">
        <v>0</v>
      </c>
      <c r="K1057" s="40">
        <v>0</v>
      </c>
      <c r="L1057" s="40">
        <v>0</v>
      </c>
      <c r="M1057" s="40">
        <v>0</v>
      </c>
      <c r="N1057" s="40"/>
      <c r="O1057" s="40">
        <v>0</v>
      </c>
      <c r="P1057" s="40"/>
      <c r="Q1057" s="41" t="s">
        <v>26</v>
      </c>
    </row>
    <row r="1058" spans="1:17" x14ac:dyDescent="0.25">
      <c r="A1058" s="40" t="s">
        <v>17</v>
      </c>
      <c r="B1058" s="40" t="s">
        <v>18</v>
      </c>
      <c r="C1058" s="40" t="s">
        <v>19</v>
      </c>
      <c r="D1058" s="40" t="s">
        <v>20</v>
      </c>
      <c r="E1058" s="40" t="s">
        <v>21</v>
      </c>
      <c r="F1058" s="40" t="s">
        <v>118</v>
      </c>
      <c r="G1058" s="40" t="s">
        <v>119</v>
      </c>
      <c r="H1058" s="40" t="s">
        <v>153</v>
      </c>
      <c r="I1058" s="40" t="s">
        <v>159</v>
      </c>
      <c r="J1058" s="40">
        <v>0</v>
      </c>
      <c r="K1058" s="40">
        <v>0</v>
      </c>
      <c r="L1058" s="40">
        <v>0</v>
      </c>
      <c r="M1058" s="40">
        <v>0</v>
      </c>
      <c r="N1058" s="40">
        <v>0</v>
      </c>
      <c r="O1058" s="40">
        <v>0</v>
      </c>
      <c r="P1058" s="40">
        <v>0</v>
      </c>
      <c r="Q1058" s="41" t="s">
        <v>26</v>
      </c>
    </row>
    <row r="1059" spans="1:17" x14ac:dyDescent="0.25">
      <c r="A1059" s="40" t="s">
        <v>17</v>
      </c>
      <c r="B1059" s="43" t="s">
        <v>18</v>
      </c>
      <c r="C1059" s="40" t="s">
        <v>19</v>
      </c>
      <c r="D1059" s="43" t="s">
        <v>20</v>
      </c>
      <c r="E1059" s="43" t="s">
        <v>21</v>
      </c>
      <c r="F1059" s="43" t="s">
        <v>118</v>
      </c>
      <c r="G1059" s="43" t="s">
        <v>119</v>
      </c>
      <c r="H1059" s="43" t="s">
        <v>143</v>
      </c>
      <c r="I1059" s="43" t="s">
        <v>243</v>
      </c>
      <c r="J1059" s="43">
        <v>0</v>
      </c>
      <c r="K1059" s="43">
        <v>0</v>
      </c>
      <c r="L1059" s="43">
        <v>0</v>
      </c>
      <c r="M1059" s="43">
        <v>0</v>
      </c>
      <c r="N1059" s="43">
        <v>0</v>
      </c>
      <c r="O1059" s="43">
        <v>0</v>
      </c>
      <c r="P1059" s="43">
        <v>0</v>
      </c>
      <c r="Q1059" s="41" t="s">
        <v>26</v>
      </c>
    </row>
    <row r="1060" spans="1:17" x14ac:dyDescent="0.25">
      <c r="A1060" s="40" t="s">
        <v>17</v>
      </c>
      <c r="B1060" s="40" t="s">
        <v>18</v>
      </c>
      <c r="C1060" s="40" t="s">
        <v>19</v>
      </c>
      <c r="D1060" s="40" t="s">
        <v>20</v>
      </c>
      <c r="E1060" s="40" t="s">
        <v>21</v>
      </c>
      <c r="F1060" s="40" t="s">
        <v>118</v>
      </c>
      <c r="G1060" s="40" t="s">
        <v>119</v>
      </c>
      <c r="H1060" s="40" t="s">
        <v>127</v>
      </c>
      <c r="I1060" s="40" t="s">
        <v>128</v>
      </c>
      <c r="J1060" s="40"/>
      <c r="K1060" s="40"/>
      <c r="L1060" s="40"/>
      <c r="M1060" s="40"/>
      <c r="N1060" s="40"/>
      <c r="O1060" s="40">
        <v>0.43265634542622561</v>
      </c>
      <c r="P1060" s="40"/>
      <c r="Q1060" s="41" t="s">
        <v>26</v>
      </c>
    </row>
    <row r="1061" spans="1:17" x14ac:dyDescent="0.25">
      <c r="A1061" s="40" t="s">
        <v>17</v>
      </c>
      <c r="B1061" s="40" t="s">
        <v>18</v>
      </c>
      <c r="C1061" s="40" t="s">
        <v>19</v>
      </c>
      <c r="D1061" s="40" t="s">
        <v>20</v>
      </c>
      <c r="E1061" s="40" t="s">
        <v>21</v>
      </c>
      <c r="F1061" s="40" t="s">
        <v>118</v>
      </c>
      <c r="G1061" s="40" t="s">
        <v>119</v>
      </c>
      <c r="H1061" s="40" t="s">
        <v>127</v>
      </c>
      <c r="I1061" s="40" t="s">
        <v>129</v>
      </c>
      <c r="J1061" s="40"/>
      <c r="K1061" s="40"/>
      <c r="L1061" s="40"/>
      <c r="M1061" s="40"/>
      <c r="N1061" s="40"/>
      <c r="O1061" s="40">
        <v>0.80999457840486055</v>
      </c>
      <c r="P1061" s="40"/>
      <c r="Q1061" s="41" t="s">
        <v>26</v>
      </c>
    </row>
    <row r="1062" spans="1:17" x14ac:dyDescent="0.25">
      <c r="A1062" s="40" t="s">
        <v>17</v>
      </c>
      <c r="B1062" s="40" t="s">
        <v>18</v>
      </c>
      <c r="C1062" s="40" t="s">
        <v>19</v>
      </c>
      <c r="D1062" s="40" t="s">
        <v>20</v>
      </c>
      <c r="E1062" s="40" t="s">
        <v>21</v>
      </c>
      <c r="F1062" s="40" t="s">
        <v>118</v>
      </c>
      <c r="G1062" s="40" t="s">
        <v>119</v>
      </c>
      <c r="H1062" s="40" t="s">
        <v>127</v>
      </c>
      <c r="I1062" s="40" t="s">
        <v>130</v>
      </c>
      <c r="J1062" s="40"/>
      <c r="K1062" s="40"/>
      <c r="L1062" s="40"/>
      <c r="M1062" s="40"/>
      <c r="N1062" s="40"/>
      <c r="O1062" s="40">
        <v>1308.328345887187</v>
      </c>
      <c r="P1062" s="40"/>
      <c r="Q1062" s="41" t="s">
        <v>26</v>
      </c>
    </row>
    <row r="1063" spans="1:17" x14ac:dyDescent="0.25">
      <c r="A1063" s="40" t="s">
        <v>17</v>
      </c>
      <c r="B1063" s="40" t="s">
        <v>18</v>
      </c>
      <c r="C1063" s="40" t="s">
        <v>19</v>
      </c>
      <c r="D1063" s="40" t="s">
        <v>20</v>
      </c>
      <c r="E1063" s="40" t="s">
        <v>21</v>
      </c>
      <c r="F1063" s="40" t="s">
        <v>118</v>
      </c>
      <c r="G1063" s="40" t="s">
        <v>119</v>
      </c>
      <c r="H1063" s="40" t="s">
        <v>127</v>
      </c>
      <c r="I1063" s="40" t="s">
        <v>131</v>
      </c>
      <c r="J1063" s="40"/>
      <c r="K1063" s="40"/>
      <c r="L1063" s="40"/>
      <c r="M1063" s="40"/>
      <c r="N1063" s="40"/>
      <c r="O1063" s="40">
        <v>27.601750039091474</v>
      </c>
      <c r="P1063" s="40"/>
      <c r="Q1063" s="41" t="s">
        <v>26</v>
      </c>
    </row>
    <row r="1064" spans="1:17" x14ac:dyDescent="0.25">
      <c r="A1064" s="40" t="s">
        <v>17</v>
      </c>
      <c r="B1064" s="40" t="s">
        <v>18</v>
      </c>
      <c r="C1064" s="40" t="s">
        <v>19</v>
      </c>
      <c r="D1064" s="40" t="s">
        <v>20</v>
      </c>
      <c r="E1064" s="40" t="s">
        <v>21</v>
      </c>
      <c r="F1064" s="40" t="s">
        <v>118</v>
      </c>
      <c r="G1064" s="40" t="s">
        <v>119</v>
      </c>
      <c r="H1064" s="40" t="s">
        <v>127</v>
      </c>
      <c r="I1064" s="40" t="s">
        <v>132</v>
      </c>
      <c r="J1064" s="40"/>
      <c r="K1064" s="40"/>
      <c r="L1064" s="40"/>
      <c r="M1064" s="40"/>
      <c r="N1064" s="40"/>
      <c r="O1064" s="40">
        <v>337.81244701918143</v>
      </c>
      <c r="P1064" s="40"/>
      <c r="Q1064" s="41" t="s">
        <v>26</v>
      </c>
    </row>
    <row r="1065" spans="1:17" x14ac:dyDescent="0.25">
      <c r="A1065" s="40" t="s">
        <v>17</v>
      </c>
      <c r="B1065" s="40" t="s">
        <v>18</v>
      </c>
      <c r="C1065" s="40" t="s">
        <v>19</v>
      </c>
      <c r="D1065" s="40" t="s">
        <v>20</v>
      </c>
      <c r="E1065" s="40" t="s">
        <v>21</v>
      </c>
      <c r="F1065" s="40" t="s">
        <v>118</v>
      </c>
      <c r="G1065" s="40" t="s">
        <v>119</v>
      </c>
      <c r="H1065" s="40" t="s">
        <v>127</v>
      </c>
      <c r="I1065" s="40" t="s">
        <v>133</v>
      </c>
      <c r="J1065" s="40"/>
      <c r="K1065" s="40"/>
      <c r="L1065" s="40"/>
      <c r="M1065" s="40"/>
      <c r="N1065" s="40"/>
      <c r="O1065" s="40">
        <v>147.91323098584786</v>
      </c>
      <c r="P1065" s="40"/>
      <c r="Q1065" s="41" t="s">
        <v>26</v>
      </c>
    </row>
    <row r="1066" spans="1:17" x14ac:dyDescent="0.25">
      <c r="A1066" s="40" t="s">
        <v>17</v>
      </c>
      <c r="B1066" s="40" t="s">
        <v>18</v>
      </c>
      <c r="C1066" s="40" t="s">
        <v>19</v>
      </c>
      <c r="D1066" s="40" t="s">
        <v>20</v>
      </c>
      <c r="E1066" s="40" t="s">
        <v>21</v>
      </c>
      <c r="F1066" s="40" t="s">
        <v>118</v>
      </c>
      <c r="G1066" s="40" t="s">
        <v>119</v>
      </c>
      <c r="H1066" s="40" t="s">
        <v>127</v>
      </c>
      <c r="I1066" s="40" t="s">
        <v>134</v>
      </c>
      <c r="J1066" s="40"/>
      <c r="K1066" s="40"/>
      <c r="L1066" s="40"/>
      <c r="M1066" s="40"/>
      <c r="N1066" s="40"/>
      <c r="O1066" s="40">
        <v>807.93385000000023</v>
      </c>
      <c r="P1066" s="40"/>
      <c r="Q1066" s="41" t="s">
        <v>26</v>
      </c>
    </row>
    <row r="1067" spans="1:17" x14ac:dyDescent="0.25">
      <c r="A1067" s="40" t="s">
        <v>17</v>
      </c>
      <c r="B1067" s="40" t="s">
        <v>18</v>
      </c>
      <c r="C1067" s="40" t="s">
        <v>19</v>
      </c>
      <c r="D1067" s="40" t="s">
        <v>20</v>
      </c>
      <c r="E1067" s="40" t="s">
        <v>21</v>
      </c>
      <c r="F1067" s="40" t="s">
        <v>118</v>
      </c>
      <c r="G1067" s="40" t="s">
        <v>119</v>
      </c>
      <c r="H1067" s="40" t="s">
        <v>135</v>
      </c>
      <c r="I1067" s="40" t="s">
        <v>136</v>
      </c>
      <c r="J1067" s="40"/>
      <c r="K1067" s="40"/>
      <c r="L1067" s="40"/>
      <c r="M1067" s="40"/>
      <c r="N1067" s="40"/>
      <c r="O1067" s="40">
        <v>1088.9871131851401</v>
      </c>
      <c r="P1067" s="40"/>
      <c r="Q1067" s="41" t="s">
        <v>137</v>
      </c>
    </row>
    <row r="1068" spans="1:17" x14ac:dyDescent="0.25">
      <c r="A1068" s="40" t="s">
        <v>17</v>
      </c>
      <c r="B1068" s="40" t="s">
        <v>18</v>
      </c>
      <c r="C1068" s="40" t="s">
        <v>19</v>
      </c>
      <c r="D1068" s="40" t="s">
        <v>20</v>
      </c>
      <c r="E1068" s="40" t="s">
        <v>21</v>
      </c>
      <c r="F1068" s="40" t="s">
        <v>118</v>
      </c>
      <c r="G1068" s="40" t="s">
        <v>119</v>
      </c>
      <c r="H1068" s="40" t="s">
        <v>135</v>
      </c>
      <c r="I1068" s="40" t="s">
        <v>138</v>
      </c>
      <c r="J1068" s="40"/>
      <c r="K1068" s="40"/>
      <c r="L1068" s="40"/>
      <c r="M1068" s="40"/>
      <c r="N1068" s="40"/>
      <c r="O1068" s="40">
        <v>101.45478561568243</v>
      </c>
      <c r="P1068" s="40"/>
      <c r="Q1068" s="41" t="s">
        <v>137</v>
      </c>
    </row>
    <row r="1069" spans="1:17" x14ac:dyDescent="0.25">
      <c r="A1069" s="40" t="s">
        <v>17</v>
      </c>
      <c r="B1069" s="40" t="s">
        <v>18</v>
      </c>
      <c r="C1069" s="40" t="s">
        <v>19</v>
      </c>
      <c r="D1069" s="40" t="s">
        <v>20</v>
      </c>
      <c r="E1069" s="40" t="s">
        <v>21</v>
      </c>
      <c r="F1069" s="40" t="s">
        <v>118</v>
      </c>
      <c r="G1069" s="40" t="s">
        <v>119</v>
      </c>
      <c r="H1069" s="40" t="s">
        <v>139</v>
      </c>
      <c r="I1069" s="40" t="s">
        <v>142</v>
      </c>
      <c r="J1069" s="40"/>
      <c r="K1069" s="40"/>
      <c r="L1069" s="40"/>
      <c r="M1069" s="40"/>
      <c r="N1069" s="40"/>
      <c r="O1069" s="40">
        <v>5.0531799050076112</v>
      </c>
      <c r="P1069" s="40"/>
      <c r="Q1069" s="41" t="s">
        <v>26</v>
      </c>
    </row>
    <row r="1070" spans="1:17" x14ac:dyDescent="0.25">
      <c r="A1070" s="40" t="s">
        <v>17</v>
      </c>
      <c r="B1070" s="40" t="s">
        <v>18</v>
      </c>
      <c r="C1070" s="40" t="s">
        <v>19</v>
      </c>
      <c r="D1070" s="40" t="s">
        <v>20</v>
      </c>
      <c r="E1070" s="40" t="s">
        <v>21</v>
      </c>
      <c r="F1070" s="40" t="s">
        <v>118</v>
      </c>
      <c r="G1070" s="40" t="s">
        <v>119</v>
      </c>
      <c r="H1070" s="40" t="s">
        <v>143</v>
      </c>
      <c r="I1070" s="40" t="s">
        <v>144</v>
      </c>
      <c r="J1070" s="40"/>
      <c r="K1070" s="40"/>
      <c r="L1070" s="40"/>
      <c r="M1070" s="40"/>
      <c r="N1070" s="40"/>
      <c r="O1070" s="40"/>
      <c r="P1070" s="40">
        <v>1.0004659024854761</v>
      </c>
      <c r="Q1070" s="41" t="s">
        <v>26</v>
      </c>
    </row>
    <row r="1071" spans="1:17" x14ac:dyDescent="0.25">
      <c r="A1071" s="40" t="s">
        <v>17</v>
      </c>
      <c r="B1071" s="40" t="s">
        <v>18</v>
      </c>
      <c r="C1071" s="40" t="s">
        <v>19</v>
      </c>
      <c r="D1071" s="40" t="s">
        <v>20</v>
      </c>
      <c r="E1071" s="40" t="s">
        <v>21</v>
      </c>
      <c r="F1071" s="40" t="s">
        <v>118</v>
      </c>
      <c r="G1071" s="40" t="s">
        <v>119</v>
      </c>
      <c r="H1071" s="40" t="s">
        <v>143</v>
      </c>
      <c r="I1071" s="40" t="s">
        <v>145</v>
      </c>
      <c r="J1071" s="40"/>
      <c r="K1071" s="40"/>
      <c r="L1071" s="40"/>
      <c r="M1071" s="40"/>
      <c r="N1071" s="40"/>
      <c r="O1071" s="40">
        <v>3.567190410904629E-2</v>
      </c>
      <c r="P1071" s="40"/>
      <c r="Q1071" s="41" t="s">
        <v>26</v>
      </c>
    </row>
    <row r="1072" spans="1:17" x14ac:dyDescent="0.25">
      <c r="A1072" s="40" t="s">
        <v>17</v>
      </c>
      <c r="B1072" s="40" t="s">
        <v>18</v>
      </c>
      <c r="C1072" s="40" t="s">
        <v>19</v>
      </c>
      <c r="D1072" s="40" t="s">
        <v>20</v>
      </c>
      <c r="E1072" s="40" t="s">
        <v>21</v>
      </c>
      <c r="F1072" s="40" t="s">
        <v>118</v>
      </c>
      <c r="G1072" s="40" t="s">
        <v>119</v>
      </c>
      <c r="H1072" s="40" t="s">
        <v>143</v>
      </c>
      <c r="I1072" s="40" t="s">
        <v>146</v>
      </c>
      <c r="J1072" s="40"/>
      <c r="K1072" s="40"/>
      <c r="L1072" s="40"/>
      <c r="M1072" s="40"/>
      <c r="N1072" s="40"/>
      <c r="O1072" s="40"/>
      <c r="P1072" s="40">
        <v>23.773870000000002</v>
      </c>
      <c r="Q1072" s="41" t="s">
        <v>26</v>
      </c>
    </row>
    <row r="1073" spans="1:17" x14ac:dyDescent="0.25">
      <c r="A1073" s="40" t="s">
        <v>17</v>
      </c>
      <c r="B1073" s="40" t="s">
        <v>18</v>
      </c>
      <c r="C1073" s="40" t="s">
        <v>19</v>
      </c>
      <c r="D1073" s="40" t="s">
        <v>20</v>
      </c>
      <c r="E1073" s="40" t="s">
        <v>21</v>
      </c>
      <c r="F1073" s="40" t="s">
        <v>118</v>
      </c>
      <c r="G1073" s="40" t="s">
        <v>119</v>
      </c>
      <c r="H1073" s="40" t="s">
        <v>149</v>
      </c>
      <c r="I1073" s="40" t="s">
        <v>150</v>
      </c>
      <c r="J1073" s="40"/>
      <c r="K1073" s="40"/>
      <c r="L1073" s="40"/>
      <c r="M1073" s="40"/>
      <c r="N1073" s="40"/>
      <c r="O1073" s="40">
        <v>0</v>
      </c>
      <c r="P1073" s="40"/>
      <c r="Q1073" s="41" t="s">
        <v>26</v>
      </c>
    </row>
    <row r="1074" spans="1:17" x14ac:dyDescent="0.25">
      <c r="A1074" s="40" t="s">
        <v>17</v>
      </c>
      <c r="B1074" s="40" t="s">
        <v>18</v>
      </c>
      <c r="C1074" s="40" t="s">
        <v>19</v>
      </c>
      <c r="D1074" s="40" t="s">
        <v>20</v>
      </c>
      <c r="E1074" s="40" t="s">
        <v>21</v>
      </c>
      <c r="F1074" s="40" t="s">
        <v>118</v>
      </c>
      <c r="G1074" s="40" t="s">
        <v>119</v>
      </c>
      <c r="H1074" s="40" t="s">
        <v>153</v>
      </c>
      <c r="I1074" s="40" t="s">
        <v>155</v>
      </c>
      <c r="J1074" s="40"/>
      <c r="K1074" s="40"/>
      <c r="L1074" s="40"/>
      <c r="M1074" s="40"/>
      <c r="N1074" s="40"/>
      <c r="O1074" s="40"/>
      <c r="P1074" s="40">
        <v>323.63859914967816</v>
      </c>
      <c r="Q1074" s="41" t="s">
        <v>26</v>
      </c>
    </row>
    <row r="1075" spans="1:17" x14ac:dyDescent="0.25">
      <c r="A1075" s="40" t="s">
        <v>17</v>
      </c>
      <c r="B1075" s="40" t="s">
        <v>18</v>
      </c>
      <c r="C1075" s="40" t="s">
        <v>19</v>
      </c>
      <c r="D1075" s="40" t="s">
        <v>20</v>
      </c>
      <c r="E1075" s="40" t="s">
        <v>21</v>
      </c>
      <c r="F1075" s="40" t="s">
        <v>118</v>
      </c>
      <c r="G1075" s="40" t="s">
        <v>119</v>
      </c>
      <c r="H1075" s="40" t="s">
        <v>153</v>
      </c>
      <c r="I1075" s="40" t="s">
        <v>157</v>
      </c>
      <c r="J1075" s="40"/>
      <c r="K1075" s="40"/>
      <c r="L1075" s="40"/>
      <c r="M1075" s="40"/>
      <c r="N1075" s="40"/>
      <c r="O1075" s="40">
        <v>1.64E-3</v>
      </c>
      <c r="P1075" s="40"/>
      <c r="Q1075" s="41" t="s">
        <v>26</v>
      </c>
    </row>
    <row r="1076" spans="1:17" x14ac:dyDescent="0.25">
      <c r="A1076" s="40" t="s">
        <v>17</v>
      </c>
      <c r="B1076" s="43" t="s">
        <v>18</v>
      </c>
      <c r="C1076" s="40" t="s">
        <v>19</v>
      </c>
      <c r="D1076" s="43" t="s">
        <v>20</v>
      </c>
      <c r="E1076" s="43" t="s">
        <v>21</v>
      </c>
      <c r="F1076" s="43" t="s">
        <v>118</v>
      </c>
      <c r="G1076" s="43" t="s">
        <v>119</v>
      </c>
      <c r="H1076" s="43" t="s">
        <v>240</v>
      </c>
      <c r="I1076" s="43" t="s">
        <v>241</v>
      </c>
      <c r="J1076" s="43"/>
      <c r="K1076" s="43"/>
      <c r="L1076" s="43"/>
      <c r="M1076" s="43"/>
      <c r="N1076" s="43"/>
      <c r="O1076" s="43">
        <v>213.35955612030699</v>
      </c>
      <c r="P1076" s="43"/>
      <c r="Q1076" s="41" t="s">
        <v>26</v>
      </c>
    </row>
    <row r="1077" spans="1:17" x14ac:dyDescent="0.25">
      <c r="A1077" s="40" t="s">
        <v>17</v>
      </c>
      <c r="B1077" s="43" t="s">
        <v>18</v>
      </c>
      <c r="C1077" s="40" t="s">
        <v>19</v>
      </c>
      <c r="D1077" s="43" t="s">
        <v>20</v>
      </c>
      <c r="E1077" s="43" t="s">
        <v>21</v>
      </c>
      <c r="F1077" s="43" t="s">
        <v>118</v>
      </c>
      <c r="G1077" s="43" t="s">
        <v>119</v>
      </c>
      <c r="H1077" s="43" t="s">
        <v>240</v>
      </c>
      <c r="I1077" s="43" t="s">
        <v>242</v>
      </c>
      <c r="J1077" s="43"/>
      <c r="K1077" s="43"/>
      <c r="L1077" s="43"/>
      <c r="M1077" s="43"/>
      <c r="N1077" s="43"/>
      <c r="O1077" s="43">
        <v>0.77921059806809201</v>
      </c>
      <c r="P1077" s="43"/>
      <c r="Q1077" s="41" t="s">
        <v>26</v>
      </c>
    </row>
    <row r="1078" spans="1:17" x14ac:dyDescent="0.25">
      <c r="A1078" s="40" t="s">
        <v>17</v>
      </c>
      <c r="B1078" s="40" t="s">
        <v>18</v>
      </c>
      <c r="C1078" s="40" t="s">
        <v>19</v>
      </c>
      <c r="D1078" s="40" t="s">
        <v>20</v>
      </c>
      <c r="E1078" s="40" t="s">
        <v>21</v>
      </c>
      <c r="F1078" s="40" t="s">
        <v>120</v>
      </c>
      <c r="G1078" s="40" t="s">
        <v>121</v>
      </c>
      <c r="H1078" s="40" t="s">
        <v>153</v>
      </c>
      <c r="I1078" s="40" t="s">
        <v>154</v>
      </c>
      <c r="J1078" s="40">
        <v>46.612020571488273</v>
      </c>
      <c r="K1078" s="40">
        <v>7.2274223395762345</v>
      </c>
      <c r="L1078" s="40"/>
      <c r="M1078" s="40"/>
      <c r="N1078" s="40"/>
      <c r="O1078" s="40"/>
      <c r="P1078" s="40"/>
      <c r="Q1078" s="41" t="s">
        <v>26</v>
      </c>
    </row>
    <row r="1079" spans="1:17" x14ac:dyDescent="0.25">
      <c r="A1079" s="40" t="s">
        <v>17</v>
      </c>
      <c r="B1079" s="40" t="s">
        <v>18</v>
      </c>
      <c r="C1079" s="40" t="s">
        <v>19</v>
      </c>
      <c r="D1079" s="40" t="s">
        <v>20</v>
      </c>
      <c r="E1079" s="40" t="s">
        <v>21</v>
      </c>
      <c r="F1079" s="40" t="s">
        <v>120</v>
      </c>
      <c r="G1079" s="40" t="s">
        <v>121</v>
      </c>
      <c r="H1079" s="40" t="s">
        <v>24</v>
      </c>
      <c r="I1079" s="40" t="s">
        <v>126</v>
      </c>
      <c r="J1079" s="40">
        <v>8.9938256291502192</v>
      </c>
      <c r="K1079" s="40">
        <v>8.6724508399817584</v>
      </c>
      <c r="L1079" s="40">
        <v>0.28800905457536563</v>
      </c>
      <c r="M1079" s="40">
        <v>75.393121640470184</v>
      </c>
      <c r="N1079" s="40">
        <v>7.0224370346472869</v>
      </c>
      <c r="O1079" s="40">
        <v>32.875305902533761</v>
      </c>
      <c r="P1079" s="40">
        <v>0.54952822783704092</v>
      </c>
      <c r="Q1079" s="41" t="s">
        <v>26</v>
      </c>
    </row>
    <row r="1080" spans="1:17" x14ac:dyDescent="0.25">
      <c r="A1080" s="40" t="s">
        <v>17</v>
      </c>
      <c r="B1080" s="40" t="s">
        <v>18</v>
      </c>
      <c r="C1080" s="40" t="s">
        <v>19</v>
      </c>
      <c r="D1080" s="40" t="s">
        <v>20</v>
      </c>
      <c r="E1080" s="40" t="s">
        <v>21</v>
      </c>
      <c r="F1080" s="40" t="s">
        <v>120</v>
      </c>
      <c r="G1080" s="40" t="s">
        <v>121</v>
      </c>
      <c r="H1080" s="40" t="s">
        <v>139</v>
      </c>
      <c r="I1080" s="40" t="s">
        <v>141</v>
      </c>
      <c r="J1080" s="40">
        <v>3.342869400000001</v>
      </c>
      <c r="K1080" s="40">
        <v>2.6679440681400002</v>
      </c>
      <c r="L1080" s="40">
        <v>0</v>
      </c>
      <c r="M1080" s="40">
        <v>6.65521604</v>
      </c>
      <c r="N1080" s="40">
        <v>0.12250915999999998</v>
      </c>
      <c r="O1080" s="40">
        <v>0.42940924000000008</v>
      </c>
      <c r="P1080" s="40">
        <v>0</v>
      </c>
      <c r="Q1080" s="41" t="s">
        <v>26</v>
      </c>
    </row>
    <row r="1081" spans="1:17" x14ac:dyDescent="0.25">
      <c r="A1081" s="40" t="s">
        <v>17</v>
      </c>
      <c r="B1081" s="40" t="s">
        <v>18</v>
      </c>
      <c r="C1081" s="40" t="s">
        <v>19</v>
      </c>
      <c r="D1081" s="40" t="s">
        <v>20</v>
      </c>
      <c r="E1081" s="40" t="s">
        <v>21</v>
      </c>
      <c r="F1081" s="40" t="s">
        <v>120</v>
      </c>
      <c r="G1081" s="40" t="s">
        <v>121</v>
      </c>
      <c r="H1081" s="40" t="s">
        <v>149</v>
      </c>
      <c r="I1081" s="40" t="s">
        <v>151</v>
      </c>
      <c r="J1081" s="40">
        <v>1.3029995731347817</v>
      </c>
      <c r="K1081" s="40">
        <v>1.1932732932918528</v>
      </c>
      <c r="L1081" s="40">
        <v>3.4289462450915312E-2</v>
      </c>
      <c r="M1081" s="40">
        <v>2.9146043083278017</v>
      </c>
      <c r="N1081" s="40">
        <v>0.20573677470549187</v>
      </c>
      <c r="O1081" s="40">
        <v>0.29338064073003134</v>
      </c>
      <c r="P1081" s="40"/>
      <c r="Q1081" s="41" t="s">
        <v>26</v>
      </c>
    </row>
    <row r="1082" spans="1:17" x14ac:dyDescent="0.25">
      <c r="A1082" s="40" t="s">
        <v>17</v>
      </c>
      <c r="B1082" s="40" t="s">
        <v>18</v>
      </c>
      <c r="C1082" s="40" t="s">
        <v>19</v>
      </c>
      <c r="D1082" s="40" t="s">
        <v>20</v>
      </c>
      <c r="E1082" s="40" t="s">
        <v>21</v>
      </c>
      <c r="F1082" s="40" t="s">
        <v>120</v>
      </c>
      <c r="G1082" s="40" t="s">
        <v>121</v>
      </c>
      <c r="H1082" s="40" t="s">
        <v>153</v>
      </c>
      <c r="I1082" s="40" t="s">
        <v>156</v>
      </c>
      <c r="J1082" s="40">
        <v>1.1979410725702322</v>
      </c>
      <c r="K1082" s="40">
        <v>1.0165794759261333</v>
      </c>
      <c r="L1082" s="40">
        <v>0.10977149270563882</v>
      </c>
      <c r="M1082" s="40">
        <v>11.89350260097617</v>
      </c>
      <c r="N1082" s="40">
        <v>0.35317784609640318</v>
      </c>
      <c r="O1082" s="40">
        <v>0.830445205686137</v>
      </c>
      <c r="P1082" s="40">
        <v>0.11931683989743352</v>
      </c>
      <c r="Q1082" s="41" t="s">
        <v>137</v>
      </c>
    </row>
    <row r="1083" spans="1:17" x14ac:dyDescent="0.25">
      <c r="A1083" s="40" t="s">
        <v>17</v>
      </c>
      <c r="B1083" s="40" t="s">
        <v>18</v>
      </c>
      <c r="C1083" s="40" t="s">
        <v>19</v>
      </c>
      <c r="D1083" s="40" t="s">
        <v>20</v>
      </c>
      <c r="E1083" s="40" t="s">
        <v>21</v>
      </c>
      <c r="F1083" s="40" t="s">
        <v>120</v>
      </c>
      <c r="G1083" s="40" t="s">
        <v>121</v>
      </c>
      <c r="H1083" s="40" t="s">
        <v>143</v>
      </c>
      <c r="I1083" s="40" t="s">
        <v>148</v>
      </c>
      <c r="J1083" s="40">
        <v>1.0999185696071161</v>
      </c>
      <c r="K1083" s="40">
        <v>0.24385194688189768</v>
      </c>
      <c r="L1083" s="40"/>
      <c r="M1083" s="40"/>
      <c r="N1083" s="40"/>
      <c r="O1083" s="40"/>
      <c r="P1083" s="40"/>
      <c r="Q1083" s="41" t="s">
        <v>26</v>
      </c>
    </row>
    <row r="1084" spans="1:17" x14ac:dyDescent="0.25">
      <c r="A1084" s="40" t="s">
        <v>17</v>
      </c>
      <c r="B1084" s="43" t="s">
        <v>18</v>
      </c>
      <c r="C1084" s="40" t="s">
        <v>19</v>
      </c>
      <c r="D1084" s="43" t="s">
        <v>20</v>
      </c>
      <c r="E1084" s="43" t="s">
        <v>21</v>
      </c>
      <c r="F1084" s="43" t="s">
        <v>120</v>
      </c>
      <c r="G1084" s="43" t="s">
        <v>121</v>
      </c>
      <c r="H1084" s="40" t="s">
        <v>24</v>
      </c>
      <c r="I1084" s="40" t="s">
        <v>238</v>
      </c>
      <c r="J1084" s="43">
        <v>0.1506242673992291</v>
      </c>
      <c r="K1084" s="43">
        <v>0.1506242673992291</v>
      </c>
      <c r="L1084" s="43">
        <v>1.7626702156629356E-2</v>
      </c>
      <c r="M1084" s="43">
        <v>1.291586190486264</v>
      </c>
      <c r="N1084" s="43">
        <v>2.1414073412227284</v>
      </c>
      <c r="O1084" s="43">
        <v>0.12878567656130341</v>
      </c>
      <c r="P1084" s="43">
        <v>1.3030267579927635E-3</v>
      </c>
      <c r="Q1084" s="41" t="s">
        <v>26</v>
      </c>
    </row>
    <row r="1085" spans="1:17" x14ac:dyDescent="0.25">
      <c r="A1085" s="40" t="s">
        <v>17</v>
      </c>
      <c r="B1085" s="43" t="s">
        <v>18</v>
      </c>
      <c r="C1085" s="40" t="s">
        <v>19</v>
      </c>
      <c r="D1085" s="43" t="s">
        <v>20</v>
      </c>
      <c r="E1085" s="43" t="s">
        <v>21</v>
      </c>
      <c r="F1085" s="43" t="s">
        <v>120</v>
      </c>
      <c r="G1085" s="43" t="s">
        <v>121</v>
      </c>
      <c r="H1085" s="43" t="s">
        <v>24</v>
      </c>
      <c r="I1085" s="43" t="s">
        <v>239</v>
      </c>
      <c r="J1085" s="43">
        <v>7.4510400946043776E-2</v>
      </c>
      <c r="K1085" s="43">
        <v>5.0683868756848945E-2</v>
      </c>
      <c r="L1085" s="43">
        <v>6.9970937324414098E-3</v>
      </c>
      <c r="M1085" s="43">
        <v>0.51027084959738234</v>
      </c>
      <c r="N1085" s="43">
        <v>1.2476933188804624</v>
      </c>
      <c r="O1085" s="43">
        <v>2.7948939274468967E-2</v>
      </c>
      <c r="P1085" s="43">
        <v>2.5080560199152453E-2</v>
      </c>
      <c r="Q1085" s="41" t="s">
        <v>26</v>
      </c>
    </row>
    <row r="1086" spans="1:17" x14ac:dyDescent="0.25">
      <c r="A1086" s="40" t="s">
        <v>17</v>
      </c>
      <c r="B1086" s="40" t="s">
        <v>18</v>
      </c>
      <c r="C1086" s="40" t="s">
        <v>19</v>
      </c>
      <c r="D1086" s="40" t="s">
        <v>20</v>
      </c>
      <c r="E1086" s="40" t="s">
        <v>21</v>
      </c>
      <c r="F1086" s="40" t="s">
        <v>120</v>
      </c>
      <c r="G1086" s="40" t="s">
        <v>121</v>
      </c>
      <c r="H1086" s="40" t="s">
        <v>153</v>
      </c>
      <c r="I1086" s="40" t="s">
        <v>158</v>
      </c>
      <c r="J1086" s="40">
        <v>3.6757008956587872E-2</v>
      </c>
      <c r="K1086" s="40">
        <v>3.4325070745849548E-2</v>
      </c>
      <c r="L1086" s="40">
        <v>0</v>
      </c>
      <c r="M1086" s="40">
        <v>0.5836651705771988</v>
      </c>
      <c r="N1086" s="40">
        <v>1.3896789775647589E-2</v>
      </c>
      <c r="O1086" s="40">
        <v>3.6201137365561978E-2</v>
      </c>
      <c r="P1086" s="40">
        <v>0</v>
      </c>
      <c r="Q1086" s="41" t="s">
        <v>26</v>
      </c>
    </row>
    <row r="1087" spans="1:17" x14ac:dyDescent="0.25">
      <c r="A1087" s="40" t="s">
        <v>17</v>
      </c>
      <c r="B1087" s="40" t="s">
        <v>18</v>
      </c>
      <c r="C1087" s="40" t="s">
        <v>19</v>
      </c>
      <c r="D1087" s="40" t="s">
        <v>20</v>
      </c>
      <c r="E1087" s="40" t="s">
        <v>21</v>
      </c>
      <c r="F1087" s="40" t="s">
        <v>120</v>
      </c>
      <c r="G1087" s="40" t="s">
        <v>121</v>
      </c>
      <c r="H1087" s="40" t="s">
        <v>24</v>
      </c>
      <c r="I1087" s="40" t="s">
        <v>25</v>
      </c>
      <c r="J1087" s="40">
        <v>0</v>
      </c>
      <c r="K1087" s="40">
        <v>0</v>
      </c>
      <c r="L1087" s="40">
        <v>0</v>
      </c>
      <c r="M1087" s="40">
        <v>0</v>
      </c>
      <c r="N1087" s="40">
        <v>0</v>
      </c>
      <c r="O1087" s="40">
        <v>0</v>
      </c>
      <c r="P1087" s="40">
        <v>0</v>
      </c>
      <c r="Q1087" s="41" t="s">
        <v>26</v>
      </c>
    </row>
    <row r="1088" spans="1:17" x14ac:dyDescent="0.25">
      <c r="A1088" s="40" t="s">
        <v>17</v>
      </c>
      <c r="B1088" s="40" t="s">
        <v>18</v>
      </c>
      <c r="C1088" s="40" t="s">
        <v>19</v>
      </c>
      <c r="D1088" s="40" t="s">
        <v>20</v>
      </c>
      <c r="E1088" s="40" t="s">
        <v>21</v>
      </c>
      <c r="F1088" s="40" t="s">
        <v>120</v>
      </c>
      <c r="G1088" s="40" t="s">
        <v>121</v>
      </c>
      <c r="H1088" s="40" t="s">
        <v>139</v>
      </c>
      <c r="I1088" s="40" t="s">
        <v>140</v>
      </c>
      <c r="J1088" s="40">
        <v>0</v>
      </c>
      <c r="K1088" s="40">
        <v>0</v>
      </c>
      <c r="L1088" s="40"/>
      <c r="M1088" s="40"/>
      <c r="N1088" s="40"/>
      <c r="O1088" s="40"/>
      <c r="P1088" s="40"/>
      <c r="Q1088" s="41" t="s">
        <v>26</v>
      </c>
    </row>
    <row r="1089" spans="1:17" x14ac:dyDescent="0.25">
      <c r="A1089" s="40" t="s">
        <v>17</v>
      </c>
      <c r="B1089" s="40" t="s">
        <v>18</v>
      </c>
      <c r="C1089" s="40" t="s">
        <v>19</v>
      </c>
      <c r="D1089" s="40" t="s">
        <v>20</v>
      </c>
      <c r="E1089" s="40" t="s">
        <v>21</v>
      </c>
      <c r="F1089" s="40" t="s">
        <v>120</v>
      </c>
      <c r="G1089" s="40" t="s">
        <v>121</v>
      </c>
      <c r="H1089" s="40" t="s">
        <v>143</v>
      </c>
      <c r="I1089" s="40" t="s">
        <v>147</v>
      </c>
      <c r="J1089" s="40">
        <v>0</v>
      </c>
      <c r="K1089" s="40">
        <v>0</v>
      </c>
      <c r="L1089" s="40"/>
      <c r="M1089" s="40"/>
      <c r="N1089" s="40"/>
      <c r="O1089" s="40"/>
      <c r="P1089" s="40"/>
      <c r="Q1089" s="41" t="s">
        <v>26</v>
      </c>
    </row>
    <row r="1090" spans="1:17" x14ac:dyDescent="0.25">
      <c r="A1090" s="40" t="s">
        <v>17</v>
      </c>
      <c r="B1090" s="40" t="s">
        <v>18</v>
      </c>
      <c r="C1090" s="40" t="s">
        <v>19</v>
      </c>
      <c r="D1090" s="40" t="s">
        <v>20</v>
      </c>
      <c r="E1090" s="40" t="s">
        <v>21</v>
      </c>
      <c r="F1090" s="40" t="s">
        <v>120</v>
      </c>
      <c r="G1090" s="40" t="s">
        <v>121</v>
      </c>
      <c r="H1090" s="40" t="s">
        <v>149</v>
      </c>
      <c r="I1090" s="40" t="s">
        <v>152</v>
      </c>
      <c r="J1090" s="40">
        <v>0</v>
      </c>
      <c r="K1090" s="40">
        <v>0</v>
      </c>
      <c r="L1090" s="40">
        <v>0</v>
      </c>
      <c r="M1090" s="40">
        <v>0</v>
      </c>
      <c r="N1090" s="40"/>
      <c r="O1090" s="40">
        <v>0</v>
      </c>
      <c r="P1090" s="40"/>
      <c r="Q1090" s="41" t="s">
        <v>26</v>
      </c>
    </row>
    <row r="1091" spans="1:17" x14ac:dyDescent="0.25">
      <c r="A1091" s="40" t="s">
        <v>17</v>
      </c>
      <c r="B1091" s="40" t="s">
        <v>18</v>
      </c>
      <c r="C1091" s="40" t="s">
        <v>19</v>
      </c>
      <c r="D1091" s="40" t="s">
        <v>20</v>
      </c>
      <c r="E1091" s="40" t="s">
        <v>21</v>
      </c>
      <c r="F1091" s="40" t="s">
        <v>120</v>
      </c>
      <c r="G1091" s="40" t="s">
        <v>121</v>
      </c>
      <c r="H1091" s="40" t="s">
        <v>153</v>
      </c>
      <c r="I1091" s="40" t="s">
        <v>159</v>
      </c>
      <c r="J1091" s="40">
        <v>0</v>
      </c>
      <c r="K1091" s="40">
        <v>0</v>
      </c>
      <c r="L1091" s="40">
        <v>0</v>
      </c>
      <c r="M1091" s="40">
        <v>0</v>
      </c>
      <c r="N1091" s="40">
        <v>0</v>
      </c>
      <c r="O1091" s="40">
        <v>0</v>
      </c>
      <c r="P1091" s="40">
        <v>0</v>
      </c>
      <c r="Q1091" s="41" t="s">
        <v>26</v>
      </c>
    </row>
    <row r="1092" spans="1:17" x14ac:dyDescent="0.25">
      <c r="A1092" s="40" t="s">
        <v>17</v>
      </c>
      <c r="B1092" s="43" t="s">
        <v>18</v>
      </c>
      <c r="C1092" s="40" t="s">
        <v>19</v>
      </c>
      <c r="D1092" s="43" t="s">
        <v>20</v>
      </c>
      <c r="E1092" s="43" t="s">
        <v>21</v>
      </c>
      <c r="F1092" s="43" t="s">
        <v>120</v>
      </c>
      <c r="G1092" s="43" t="s">
        <v>121</v>
      </c>
      <c r="H1092" s="43" t="s">
        <v>143</v>
      </c>
      <c r="I1092" s="43" t="s">
        <v>243</v>
      </c>
      <c r="J1092" s="43">
        <v>0</v>
      </c>
      <c r="K1092" s="43">
        <v>0</v>
      </c>
      <c r="L1092" s="43">
        <v>0</v>
      </c>
      <c r="M1092" s="43">
        <v>0</v>
      </c>
      <c r="N1092" s="43">
        <v>0</v>
      </c>
      <c r="O1092" s="43">
        <v>0</v>
      </c>
      <c r="P1092" s="43">
        <v>0</v>
      </c>
      <c r="Q1092" s="41" t="s">
        <v>26</v>
      </c>
    </row>
    <row r="1093" spans="1:17" x14ac:dyDescent="0.25">
      <c r="A1093" s="40" t="s">
        <v>17</v>
      </c>
      <c r="B1093" s="40" t="s">
        <v>18</v>
      </c>
      <c r="C1093" s="40" t="s">
        <v>19</v>
      </c>
      <c r="D1093" s="40" t="s">
        <v>20</v>
      </c>
      <c r="E1093" s="40" t="s">
        <v>21</v>
      </c>
      <c r="F1093" s="40" t="s">
        <v>120</v>
      </c>
      <c r="G1093" s="40" t="s">
        <v>121</v>
      </c>
      <c r="H1093" s="40" t="s">
        <v>127</v>
      </c>
      <c r="I1093" s="40" t="s">
        <v>128</v>
      </c>
      <c r="J1093" s="40"/>
      <c r="K1093" s="40"/>
      <c r="L1093" s="40"/>
      <c r="M1093" s="40"/>
      <c r="N1093" s="40"/>
      <c r="O1093" s="40">
        <v>1.7454385511542498</v>
      </c>
      <c r="P1093" s="40"/>
      <c r="Q1093" s="41" t="s">
        <v>26</v>
      </c>
    </row>
    <row r="1094" spans="1:17" x14ac:dyDescent="0.25">
      <c r="A1094" s="40" t="s">
        <v>17</v>
      </c>
      <c r="B1094" s="40" t="s">
        <v>18</v>
      </c>
      <c r="C1094" s="40" t="s">
        <v>19</v>
      </c>
      <c r="D1094" s="40" t="s">
        <v>20</v>
      </c>
      <c r="E1094" s="40" t="s">
        <v>21</v>
      </c>
      <c r="F1094" s="40" t="s">
        <v>120</v>
      </c>
      <c r="G1094" s="40" t="s">
        <v>121</v>
      </c>
      <c r="H1094" s="40" t="s">
        <v>127</v>
      </c>
      <c r="I1094" s="40" t="s">
        <v>129</v>
      </c>
      <c r="J1094" s="40"/>
      <c r="K1094" s="40"/>
      <c r="L1094" s="40"/>
      <c r="M1094" s="40"/>
      <c r="N1094" s="40"/>
      <c r="O1094" s="40">
        <v>7.775947952686664E-2</v>
      </c>
      <c r="P1094" s="40"/>
      <c r="Q1094" s="41" t="s">
        <v>26</v>
      </c>
    </row>
    <row r="1095" spans="1:17" x14ac:dyDescent="0.25">
      <c r="A1095" s="40" t="s">
        <v>17</v>
      </c>
      <c r="B1095" s="40" t="s">
        <v>18</v>
      </c>
      <c r="C1095" s="40" t="s">
        <v>19</v>
      </c>
      <c r="D1095" s="40" t="s">
        <v>20</v>
      </c>
      <c r="E1095" s="40" t="s">
        <v>21</v>
      </c>
      <c r="F1095" s="40" t="s">
        <v>120</v>
      </c>
      <c r="G1095" s="40" t="s">
        <v>121</v>
      </c>
      <c r="H1095" s="40" t="s">
        <v>127</v>
      </c>
      <c r="I1095" s="40" t="s">
        <v>130</v>
      </c>
      <c r="J1095" s="40"/>
      <c r="K1095" s="40"/>
      <c r="L1095" s="40"/>
      <c r="M1095" s="40"/>
      <c r="N1095" s="40"/>
      <c r="O1095" s="40">
        <v>22.998980111480712</v>
      </c>
      <c r="P1095" s="40"/>
      <c r="Q1095" s="41" t="s">
        <v>26</v>
      </c>
    </row>
    <row r="1096" spans="1:17" x14ac:dyDescent="0.25">
      <c r="A1096" s="40" t="s">
        <v>17</v>
      </c>
      <c r="B1096" s="40" t="s">
        <v>18</v>
      </c>
      <c r="C1096" s="40" t="s">
        <v>19</v>
      </c>
      <c r="D1096" s="40" t="s">
        <v>20</v>
      </c>
      <c r="E1096" s="40" t="s">
        <v>21</v>
      </c>
      <c r="F1096" s="40" t="s">
        <v>120</v>
      </c>
      <c r="G1096" s="40" t="s">
        <v>121</v>
      </c>
      <c r="H1096" s="40" t="s">
        <v>127</v>
      </c>
      <c r="I1096" s="40" t="s">
        <v>131</v>
      </c>
      <c r="J1096" s="40"/>
      <c r="K1096" s="40"/>
      <c r="L1096" s="40"/>
      <c r="M1096" s="40"/>
      <c r="N1096" s="40"/>
      <c r="O1096" s="40">
        <v>7.1920052918759474</v>
      </c>
      <c r="P1096" s="40"/>
      <c r="Q1096" s="41" t="s">
        <v>26</v>
      </c>
    </row>
    <row r="1097" spans="1:17" x14ac:dyDescent="0.25">
      <c r="A1097" s="40" t="s">
        <v>17</v>
      </c>
      <c r="B1097" s="40" t="s">
        <v>18</v>
      </c>
      <c r="C1097" s="40" t="s">
        <v>19</v>
      </c>
      <c r="D1097" s="40" t="s">
        <v>20</v>
      </c>
      <c r="E1097" s="40" t="s">
        <v>21</v>
      </c>
      <c r="F1097" s="40" t="s">
        <v>120</v>
      </c>
      <c r="G1097" s="40" t="s">
        <v>121</v>
      </c>
      <c r="H1097" s="40" t="s">
        <v>127</v>
      </c>
      <c r="I1097" s="40" t="s">
        <v>132</v>
      </c>
      <c r="J1097" s="40"/>
      <c r="K1097" s="40"/>
      <c r="L1097" s="40"/>
      <c r="M1097" s="40"/>
      <c r="N1097" s="40"/>
      <c r="O1097" s="40">
        <v>44.923640209994439</v>
      </c>
      <c r="P1097" s="40"/>
      <c r="Q1097" s="41" t="s">
        <v>26</v>
      </c>
    </row>
    <row r="1098" spans="1:17" x14ac:dyDescent="0.25">
      <c r="A1098" s="40" t="s">
        <v>17</v>
      </c>
      <c r="B1098" s="40" t="s">
        <v>18</v>
      </c>
      <c r="C1098" s="40" t="s">
        <v>19</v>
      </c>
      <c r="D1098" s="40" t="s">
        <v>20</v>
      </c>
      <c r="E1098" s="40" t="s">
        <v>21</v>
      </c>
      <c r="F1098" s="40" t="s">
        <v>120</v>
      </c>
      <c r="G1098" s="40" t="s">
        <v>121</v>
      </c>
      <c r="H1098" s="40" t="s">
        <v>127</v>
      </c>
      <c r="I1098" s="40" t="s">
        <v>133</v>
      </c>
      <c r="J1098" s="40"/>
      <c r="K1098" s="40"/>
      <c r="L1098" s="40"/>
      <c r="M1098" s="40"/>
      <c r="N1098" s="40"/>
      <c r="O1098" s="40">
        <v>11.845787536647746</v>
      </c>
      <c r="P1098" s="40"/>
      <c r="Q1098" s="41" t="s">
        <v>26</v>
      </c>
    </row>
    <row r="1099" spans="1:17" x14ac:dyDescent="0.25">
      <c r="A1099" s="40" t="s">
        <v>17</v>
      </c>
      <c r="B1099" s="40" t="s">
        <v>18</v>
      </c>
      <c r="C1099" s="40" t="s">
        <v>19</v>
      </c>
      <c r="D1099" s="40" t="s">
        <v>20</v>
      </c>
      <c r="E1099" s="40" t="s">
        <v>21</v>
      </c>
      <c r="F1099" s="40" t="s">
        <v>120</v>
      </c>
      <c r="G1099" s="40" t="s">
        <v>121</v>
      </c>
      <c r="H1099" s="40" t="s">
        <v>127</v>
      </c>
      <c r="I1099" s="40" t="s">
        <v>134</v>
      </c>
      <c r="J1099" s="40"/>
      <c r="K1099" s="40"/>
      <c r="L1099" s="40"/>
      <c r="M1099" s="40"/>
      <c r="N1099" s="40"/>
      <c r="O1099" s="40">
        <v>107.46205</v>
      </c>
      <c r="P1099" s="40"/>
      <c r="Q1099" s="41" t="s">
        <v>26</v>
      </c>
    </row>
    <row r="1100" spans="1:17" x14ac:dyDescent="0.25">
      <c r="A1100" s="40" t="s">
        <v>17</v>
      </c>
      <c r="B1100" s="40" t="s">
        <v>18</v>
      </c>
      <c r="C1100" s="40" t="s">
        <v>19</v>
      </c>
      <c r="D1100" s="40" t="s">
        <v>20</v>
      </c>
      <c r="E1100" s="40" t="s">
        <v>21</v>
      </c>
      <c r="F1100" s="40" t="s">
        <v>120</v>
      </c>
      <c r="G1100" s="40" t="s">
        <v>121</v>
      </c>
      <c r="H1100" s="40" t="s">
        <v>135</v>
      </c>
      <c r="I1100" s="40" t="s">
        <v>136</v>
      </c>
      <c r="J1100" s="40"/>
      <c r="K1100" s="40"/>
      <c r="L1100" s="40"/>
      <c r="M1100" s="40"/>
      <c r="N1100" s="40"/>
      <c r="O1100" s="40">
        <v>135.21200067942584</v>
      </c>
      <c r="P1100" s="40"/>
      <c r="Q1100" s="41" t="s">
        <v>137</v>
      </c>
    </row>
    <row r="1101" spans="1:17" x14ac:dyDescent="0.25">
      <c r="A1101" s="40" t="s">
        <v>17</v>
      </c>
      <c r="B1101" s="40" t="s">
        <v>18</v>
      </c>
      <c r="C1101" s="40" t="s">
        <v>19</v>
      </c>
      <c r="D1101" s="40" t="s">
        <v>20</v>
      </c>
      <c r="E1101" s="40" t="s">
        <v>21</v>
      </c>
      <c r="F1101" s="40" t="s">
        <v>120</v>
      </c>
      <c r="G1101" s="40" t="s">
        <v>121</v>
      </c>
      <c r="H1101" s="40" t="s">
        <v>135</v>
      </c>
      <c r="I1101" s="40" t="s">
        <v>138</v>
      </c>
      <c r="J1101" s="40"/>
      <c r="K1101" s="40"/>
      <c r="L1101" s="40"/>
      <c r="M1101" s="40"/>
      <c r="N1101" s="40"/>
      <c r="O1101" s="40">
        <v>26.784525097412885</v>
      </c>
      <c r="P1101" s="40"/>
      <c r="Q1101" s="41" t="s">
        <v>137</v>
      </c>
    </row>
    <row r="1102" spans="1:17" x14ac:dyDescent="0.25">
      <c r="A1102" s="40" t="s">
        <v>17</v>
      </c>
      <c r="B1102" s="40" t="s">
        <v>18</v>
      </c>
      <c r="C1102" s="40" t="s">
        <v>19</v>
      </c>
      <c r="D1102" s="40" t="s">
        <v>20</v>
      </c>
      <c r="E1102" s="40" t="s">
        <v>21</v>
      </c>
      <c r="F1102" s="40" t="s">
        <v>120</v>
      </c>
      <c r="G1102" s="40" t="s">
        <v>121</v>
      </c>
      <c r="H1102" s="40" t="s">
        <v>139</v>
      </c>
      <c r="I1102" s="40" t="s">
        <v>142</v>
      </c>
      <c r="J1102" s="40"/>
      <c r="K1102" s="40"/>
      <c r="L1102" s="40"/>
      <c r="M1102" s="40"/>
      <c r="N1102" s="40"/>
      <c r="O1102" s="40">
        <v>1.2528545219027136</v>
      </c>
      <c r="P1102" s="40"/>
      <c r="Q1102" s="41" t="s">
        <v>26</v>
      </c>
    </row>
    <row r="1103" spans="1:17" x14ac:dyDescent="0.25">
      <c r="A1103" s="40" t="s">
        <v>17</v>
      </c>
      <c r="B1103" s="40" t="s">
        <v>18</v>
      </c>
      <c r="C1103" s="40" t="s">
        <v>19</v>
      </c>
      <c r="D1103" s="40" t="s">
        <v>20</v>
      </c>
      <c r="E1103" s="40" t="s">
        <v>21</v>
      </c>
      <c r="F1103" s="40" t="s">
        <v>120</v>
      </c>
      <c r="G1103" s="40" t="s">
        <v>121</v>
      </c>
      <c r="H1103" s="40" t="s">
        <v>143</v>
      </c>
      <c r="I1103" s="40" t="s">
        <v>144</v>
      </c>
      <c r="J1103" s="40"/>
      <c r="K1103" s="40"/>
      <c r="L1103" s="40"/>
      <c r="M1103" s="40"/>
      <c r="N1103" s="40"/>
      <c r="O1103" s="40"/>
      <c r="P1103" s="40">
        <v>0</v>
      </c>
      <c r="Q1103" s="41" t="s">
        <v>26</v>
      </c>
    </row>
    <row r="1104" spans="1:17" x14ac:dyDescent="0.25">
      <c r="A1104" s="40" t="s">
        <v>17</v>
      </c>
      <c r="B1104" s="40" t="s">
        <v>18</v>
      </c>
      <c r="C1104" s="40" t="s">
        <v>19</v>
      </c>
      <c r="D1104" s="40" t="s">
        <v>20</v>
      </c>
      <c r="E1104" s="40" t="s">
        <v>21</v>
      </c>
      <c r="F1104" s="40" t="s">
        <v>120</v>
      </c>
      <c r="G1104" s="40" t="s">
        <v>121</v>
      </c>
      <c r="H1104" s="40" t="s">
        <v>143</v>
      </c>
      <c r="I1104" s="40" t="s">
        <v>145</v>
      </c>
      <c r="J1104" s="40"/>
      <c r="K1104" s="40"/>
      <c r="L1104" s="40"/>
      <c r="M1104" s="40"/>
      <c r="N1104" s="40"/>
      <c r="O1104" s="40">
        <v>0.2473777430463279</v>
      </c>
      <c r="P1104" s="40"/>
      <c r="Q1104" s="41" t="s">
        <v>26</v>
      </c>
    </row>
    <row r="1105" spans="1:17" x14ac:dyDescent="0.25">
      <c r="A1105" s="40" t="s">
        <v>17</v>
      </c>
      <c r="B1105" s="40" t="s">
        <v>18</v>
      </c>
      <c r="C1105" s="40" t="s">
        <v>19</v>
      </c>
      <c r="D1105" s="40" t="s">
        <v>20</v>
      </c>
      <c r="E1105" s="40" t="s">
        <v>21</v>
      </c>
      <c r="F1105" s="40" t="s">
        <v>120</v>
      </c>
      <c r="G1105" s="40" t="s">
        <v>121</v>
      </c>
      <c r="H1105" s="40" t="s">
        <v>143</v>
      </c>
      <c r="I1105" s="40" t="s">
        <v>146</v>
      </c>
      <c r="J1105" s="40"/>
      <c r="K1105" s="40"/>
      <c r="L1105" s="40"/>
      <c r="M1105" s="40"/>
      <c r="N1105" s="40"/>
      <c r="O1105" s="40"/>
      <c r="P1105" s="40">
        <v>14.09097</v>
      </c>
      <c r="Q1105" s="41" t="s">
        <v>26</v>
      </c>
    </row>
    <row r="1106" spans="1:17" x14ac:dyDescent="0.25">
      <c r="A1106" s="40" t="s">
        <v>17</v>
      </c>
      <c r="B1106" s="40" t="s">
        <v>18</v>
      </c>
      <c r="C1106" s="40" t="s">
        <v>19</v>
      </c>
      <c r="D1106" s="40" t="s">
        <v>20</v>
      </c>
      <c r="E1106" s="40" t="s">
        <v>21</v>
      </c>
      <c r="F1106" s="40" t="s">
        <v>120</v>
      </c>
      <c r="G1106" s="40" t="s">
        <v>121</v>
      </c>
      <c r="H1106" s="40" t="s">
        <v>149</v>
      </c>
      <c r="I1106" s="40" t="s">
        <v>150</v>
      </c>
      <c r="J1106" s="40"/>
      <c r="K1106" s="40"/>
      <c r="L1106" s="40"/>
      <c r="M1106" s="40"/>
      <c r="N1106" s="40"/>
      <c r="O1106" s="40">
        <v>65.985815690242632</v>
      </c>
      <c r="P1106" s="40"/>
      <c r="Q1106" s="41" t="s">
        <v>26</v>
      </c>
    </row>
    <row r="1107" spans="1:17" x14ac:dyDescent="0.25">
      <c r="A1107" s="40" t="s">
        <v>17</v>
      </c>
      <c r="B1107" s="40" t="s">
        <v>18</v>
      </c>
      <c r="C1107" s="40" t="s">
        <v>19</v>
      </c>
      <c r="D1107" s="40" t="s">
        <v>20</v>
      </c>
      <c r="E1107" s="40" t="s">
        <v>21</v>
      </c>
      <c r="F1107" s="40" t="s">
        <v>120</v>
      </c>
      <c r="G1107" s="40" t="s">
        <v>121</v>
      </c>
      <c r="H1107" s="40" t="s">
        <v>153</v>
      </c>
      <c r="I1107" s="40" t="s">
        <v>155</v>
      </c>
      <c r="J1107" s="40"/>
      <c r="K1107" s="40"/>
      <c r="L1107" s="40"/>
      <c r="M1107" s="40"/>
      <c r="N1107" s="40"/>
      <c r="O1107" s="40"/>
      <c r="P1107" s="40">
        <v>51.736472331461101</v>
      </c>
      <c r="Q1107" s="41" t="s">
        <v>26</v>
      </c>
    </row>
    <row r="1108" spans="1:17" x14ac:dyDescent="0.25">
      <c r="A1108" s="40" t="s">
        <v>17</v>
      </c>
      <c r="B1108" s="40" t="s">
        <v>18</v>
      </c>
      <c r="C1108" s="40" t="s">
        <v>19</v>
      </c>
      <c r="D1108" s="40" t="s">
        <v>20</v>
      </c>
      <c r="E1108" s="40" t="s">
        <v>21</v>
      </c>
      <c r="F1108" s="40" t="s">
        <v>120</v>
      </c>
      <c r="G1108" s="40" t="s">
        <v>121</v>
      </c>
      <c r="H1108" s="40" t="s">
        <v>153</v>
      </c>
      <c r="I1108" s="40" t="s">
        <v>157</v>
      </c>
      <c r="J1108" s="40"/>
      <c r="K1108" s="40"/>
      <c r="L1108" s="40"/>
      <c r="M1108" s="40"/>
      <c r="N1108" s="40"/>
      <c r="O1108" s="40">
        <v>4.0999999999999995E-3</v>
      </c>
      <c r="P1108" s="40"/>
      <c r="Q1108" s="41" t="s">
        <v>26</v>
      </c>
    </row>
    <row r="1109" spans="1:17" x14ac:dyDescent="0.25">
      <c r="A1109" s="40" t="s">
        <v>17</v>
      </c>
      <c r="B1109" s="43" t="s">
        <v>18</v>
      </c>
      <c r="C1109" s="40" t="s">
        <v>19</v>
      </c>
      <c r="D1109" s="43" t="s">
        <v>20</v>
      </c>
      <c r="E1109" s="43" t="s">
        <v>21</v>
      </c>
      <c r="F1109" s="43" t="s">
        <v>120</v>
      </c>
      <c r="G1109" s="43" t="s">
        <v>121</v>
      </c>
      <c r="H1109" s="43" t="s">
        <v>240</v>
      </c>
      <c r="I1109" s="43" t="s">
        <v>241</v>
      </c>
      <c r="J1109" s="43"/>
      <c r="K1109" s="43"/>
      <c r="L1109" s="43"/>
      <c r="M1109" s="43"/>
      <c r="N1109" s="43"/>
      <c r="O1109" s="43">
        <v>7.8516569570855115</v>
      </c>
      <c r="P1109" s="43"/>
      <c r="Q1109" s="41" t="s">
        <v>26</v>
      </c>
    </row>
    <row r="1110" spans="1:17" x14ac:dyDescent="0.25">
      <c r="A1110" s="40" t="s">
        <v>17</v>
      </c>
      <c r="B1110" s="43" t="s">
        <v>18</v>
      </c>
      <c r="C1110" s="40" t="s">
        <v>19</v>
      </c>
      <c r="D1110" s="43" t="s">
        <v>20</v>
      </c>
      <c r="E1110" s="43" t="s">
        <v>21</v>
      </c>
      <c r="F1110" s="43" t="s">
        <v>120</v>
      </c>
      <c r="G1110" s="43" t="s">
        <v>121</v>
      </c>
      <c r="H1110" s="43" t="s">
        <v>240</v>
      </c>
      <c r="I1110" s="43" t="s">
        <v>242</v>
      </c>
      <c r="J1110" s="43"/>
      <c r="K1110" s="43"/>
      <c r="L1110" s="43"/>
      <c r="M1110" s="43"/>
      <c r="N1110" s="43"/>
      <c r="O1110" s="43">
        <v>3.1435207913018308</v>
      </c>
      <c r="P1110" s="43"/>
      <c r="Q1110" s="41" t="s">
        <v>26</v>
      </c>
    </row>
  </sheetData>
  <autoFilter ref="A1:Q1110">
    <sortState ref="A2:Q1110">
      <sortCondition ref="G1:G1110"/>
    </sortState>
  </autoFilter>
  <mergeCells count="1">
    <mergeCell ref="AC7:AH7"/>
  </mergeCells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9"/>
  <sheetViews>
    <sheetView topLeftCell="A19" workbookViewId="0">
      <selection activeCell="O51" sqref="O51"/>
    </sheetView>
  </sheetViews>
  <sheetFormatPr defaultRowHeight="15" x14ac:dyDescent="0.25"/>
  <cols>
    <col min="2" max="2" width="43.5703125" bestFit="1" customWidth="1"/>
    <col min="8" max="8" width="9.5703125" bestFit="1" customWidth="1"/>
  </cols>
  <sheetData>
    <row r="1" spans="2:9" x14ac:dyDescent="0.25">
      <c r="C1" s="45" t="s">
        <v>17</v>
      </c>
      <c r="D1" s="45"/>
      <c r="E1" s="45"/>
      <c r="F1" s="45"/>
      <c r="G1" s="45"/>
      <c r="H1" s="45"/>
      <c r="I1" s="45"/>
    </row>
    <row r="2" spans="2:9" x14ac:dyDescent="0.25">
      <c r="B2" t="s">
        <v>36</v>
      </c>
      <c r="C2" s="37" t="s">
        <v>9</v>
      </c>
      <c r="D2" s="37" t="s">
        <v>10</v>
      </c>
      <c r="E2" s="37" t="s">
        <v>11</v>
      </c>
      <c r="F2" s="37" t="s">
        <v>12</v>
      </c>
      <c r="G2" s="37" t="s">
        <v>13</v>
      </c>
      <c r="H2" s="37" t="s">
        <v>14</v>
      </c>
      <c r="I2" s="37" t="s">
        <v>15</v>
      </c>
    </row>
    <row r="3" spans="2:9" x14ac:dyDescent="0.25">
      <c r="B3" s="40" t="s">
        <v>141</v>
      </c>
      <c r="C3" s="40">
        <v>50.80630620000003</v>
      </c>
      <c r="D3" s="40">
        <v>40.548512978219989</v>
      </c>
      <c r="E3" s="40">
        <v>0</v>
      </c>
      <c r="F3" s="40">
        <v>101.14871491999986</v>
      </c>
      <c r="G3" s="40">
        <v>1.8619446799999981</v>
      </c>
      <c r="H3" s="40">
        <v>6.5263385199999933</v>
      </c>
      <c r="I3" s="40">
        <v>0</v>
      </c>
    </row>
    <row r="4" spans="2:9" x14ac:dyDescent="0.25">
      <c r="B4" s="40" t="s">
        <v>154</v>
      </c>
      <c r="C4" s="40">
        <v>48.324001090810206</v>
      </c>
      <c r="D4" s="40">
        <v>7.492873313350052</v>
      </c>
      <c r="E4" s="40"/>
      <c r="F4" s="40"/>
      <c r="G4" s="40"/>
      <c r="H4" s="40"/>
      <c r="I4" s="40"/>
    </row>
    <row r="5" spans="2:9" x14ac:dyDescent="0.25">
      <c r="B5" s="40" t="s">
        <v>126</v>
      </c>
      <c r="C5" s="40">
        <v>13.931175906433502</v>
      </c>
      <c r="D5" s="40">
        <v>13.588630557479757</v>
      </c>
      <c r="E5" s="40">
        <v>0.78430556429963183</v>
      </c>
      <c r="F5" s="40">
        <v>119.64240311648521</v>
      </c>
      <c r="G5" s="40">
        <v>68.389852019980864</v>
      </c>
      <c r="H5" s="40">
        <v>37.509164173389969</v>
      </c>
      <c r="I5" s="40">
        <v>0.66895785175391032</v>
      </c>
    </row>
    <row r="6" spans="2:9" x14ac:dyDescent="0.25">
      <c r="B6" s="40" t="s">
        <v>147</v>
      </c>
      <c r="C6" s="40">
        <v>3.5023992000000002</v>
      </c>
      <c r="D6" s="40">
        <v>0.39997398864</v>
      </c>
      <c r="E6" s="40"/>
      <c r="F6" s="40"/>
      <c r="G6" s="40"/>
      <c r="H6" s="40"/>
      <c r="I6" s="40"/>
    </row>
    <row r="7" spans="2:9" x14ac:dyDescent="0.25">
      <c r="B7" s="43" t="s">
        <v>239</v>
      </c>
      <c r="C7" s="43">
        <v>2.0166205838416027</v>
      </c>
      <c r="D7" s="43">
        <v>1.3717565830547964</v>
      </c>
      <c r="E7" s="43">
        <v>0.1893760209145624</v>
      </c>
      <c r="F7" s="43">
        <v>13.810457138428017</v>
      </c>
      <c r="G7" s="43">
        <v>33.768762444293117</v>
      </c>
      <c r="H7" s="43">
        <v>0.75643675945654332</v>
      </c>
      <c r="I7" s="43">
        <v>0.67880421135453284</v>
      </c>
    </row>
    <row r="8" spans="2:9" x14ac:dyDescent="0.25">
      <c r="B8" s="40" t="s">
        <v>238</v>
      </c>
      <c r="C8" s="43">
        <v>0.763708346206315</v>
      </c>
      <c r="D8" s="43">
        <v>0.763708346206315</v>
      </c>
      <c r="E8" s="43">
        <v>8.9372448314922651E-2</v>
      </c>
      <c r="F8" s="43">
        <v>6.5487133683760419</v>
      </c>
      <c r="G8" s="43">
        <v>10.857550960129299</v>
      </c>
      <c r="H8" s="43">
        <v>0.6529804111910178</v>
      </c>
      <c r="I8" s="43">
        <v>6.606720335254045E-3</v>
      </c>
    </row>
    <row r="9" spans="2:9" x14ac:dyDescent="0.25">
      <c r="B9" s="40" t="s">
        <v>151</v>
      </c>
      <c r="C9" s="40">
        <v>0.60897638326965786</v>
      </c>
      <c r="D9" s="40">
        <v>0.557694161520634</v>
      </c>
      <c r="E9" s="40">
        <v>1.6025694296569946E-2</v>
      </c>
      <c r="F9" s="40">
        <v>1.3621840152084452</v>
      </c>
      <c r="G9" s="40">
        <v>9.6154165779419654E-2</v>
      </c>
      <c r="H9" s="40">
        <v>0.13711584040145244</v>
      </c>
      <c r="I9" s="40"/>
    </row>
    <row r="10" spans="2:9" x14ac:dyDescent="0.25">
      <c r="B10" s="40" t="s">
        <v>158</v>
      </c>
      <c r="C10" s="40">
        <v>0.50892952841295036</v>
      </c>
      <c r="D10" s="40">
        <v>0.47525744241209367</v>
      </c>
      <c r="E10" s="40">
        <v>0</v>
      </c>
      <c r="F10" s="40">
        <v>8.0813006402056402</v>
      </c>
      <c r="G10" s="40">
        <v>0.19241192000489618</v>
      </c>
      <c r="H10" s="40">
        <v>0.50123305161275455</v>
      </c>
      <c r="I10" s="40">
        <v>0</v>
      </c>
    </row>
    <row r="11" spans="2:9" x14ac:dyDescent="0.25">
      <c r="B11" s="40" t="s">
        <v>148</v>
      </c>
      <c r="C11" s="40">
        <v>0.38101727999999996</v>
      </c>
      <c r="D11" s="40">
        <v>8.4471530975999992E-2</v>
      </c>
      <c r="E11" s="40"/>
      <c r="F11" s="40"/>
      <c r="G11" s="40"/>
      <c r="H11" s="40"/>
      <c r="I11" s="40"/>
    </row>
    <row r="12" spans="2:9" x14ac:dyDescent="0.25">
      <c r="B12" s="40" t="s">
        <v>25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</row>
    <row r="13" spans="2:9" x14ac:dyDescent="0.25">
      <c r="B13" s="40" t="s">
        <v>140</v>
      </c>
      <c r="C13" s="40">
        <v>0</v>
      </c>
      <c r="D13" s="40">
        <v>0</v>
      </c>
      <c r="E13" s="40"/>
      <c r="F13" s="40"/>
      <c r="G13" s="40"/>
      <c r="H13" s="40"/>
      <c r="I13" s="40"/>
    </row>
    <row r="14" spans="2:9" x14ac:dyDescent="0.25">
      <c r="B14" s="40" t="s">
        <v>152</v>
      </c>
      <c r="C14" s="40">
        <v>0</v>
      </c>
      <c r="D14" s="40">
        <v>0</v>
      </c>
      <c r="E14" s="40">
        <v>0</v>
      </c>
      <c r="F14" s="40">
        <v>0</v>
      </c>
      <c r="G14" s="40"/>
      <c r="H14" s="40">
        <v>0</v>
      </c>
      <c r="I14" s="40"/>
    </row>
    <row r="15" spans="2:9" x14ac:dyDescent="0.25">
      <c r="B15" s="40" t="s">
        <v>156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</row>
    <row r="16" spans="2:9" x14ac:dyDescent="0.25">
      <c r="B16" s="40" t="s">
        <v>159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</row>
    <row r="17" spans="2:9" x14ac:dyDescent="0.25">
      <c r="B17" s="43" t="s">
        <v>243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</row>
    <row r="18" spans="2:9" x14ac:dyDescent="0.25">
      <c r="B18" s="40" t="s">
        <v>128</v>
      </c>
      <c r="C18" s="40"/>
      <c r="D18" s="40"/>
      <c r="E18" s="40"/>
      <c r="F18" s="40"/>
      <c r="G18" s="40"/>
      <c r="H18" s="40">
        <v>1.7772030173413882</v>
      </c>
      <c r="I18" s="40"/>
    </row>
    <row r="19" spans="2:9" x14ac:dyDescent="0.25">
      <c r="B19" s="40" t="s">
        <v>129</v>
      </c>
      <c r="C19" s="40"/>
      <c r="D19" s="40"/>
      <c r="E19" s="40"/>
      <c r="F19" s="40"/>
      <c r="G19" s="40"/>
      <c r="H19" s="40">
        <v>1.2506316290571045</v>
      </c>
      <c r="I19" s="40"/>
    </row>
    <row r="20" spans="2:9" x14ac:dyDescent="0.25">
      <c r="B20" s="40" t="s">
        <v>130</v>
      </c>
      <c r="C20" s="40"/>
      <c r="D20" s="40"/>
      <c r="E20" s="40"/>
      <c r="F20" s="40"/>
      <c r="G20" s="40"/>
      <c r="H20" s="40">
        <v>2865.1256199573622</v>
      </c>
      <c r="I20" s="40"/>
    </row>
    <row r="21" spans="2:9" x14ac:dyDescent="0.25">
      <c r="B21" s="40" t="s">
        <v>131</v>
      </c>
      <c r="C21" s="40"/>
      <c r="D21" s="40"/>
      <c r="E21" s="40"/>
      <c r="F21" s="40"/>
      <c r="G21" s="40"/>
      <c r="H21" s="40">
        <v>59.479827549028094</v>
      </c>
      <c r="I21" s="40"/>
    </row>
    <row r="22" spans="2:9" x14ac:dyDescent="0.25">
      <c r="B22" s="40" t="s">
        <v>132</v>
      </c>
      <c r="C22" s="40"/>
      <c r="D22" s="40"/>
      <c r="E22" s="40"/>
      <c r="F22" s="40"/>
      <c r="G22" s="40"/>
      <c r="H22" s="40">
        <v>682.87064245932879</v>
      </c>
      <c r="I22" s="40"/>
    </row>
    <row r="23" spans="2:9" x14ac:dyDescent="0.25">
      <c r="B23" s="40" t="s">
        <v>133</v>
      </c>
      <c r="C23" s="40"/>
      <c r="D23" s="40"/>
      <c r="E23" s="40"/>
      <c r="F23" s="40"/>
      <c r="G23" s="40"/>
      <c r="H23" s="40">
        <v>597.71153388063976</v>
      </c>
      <c r="I23" s="40"/>
    </row>
    <row r="24" spans="2:9" x14ac:dyDescent="0.25">
      <c r="B24" s="40" t="s">
        <v>134</v>
      </c>
      <c r="C24" s="40"/>
      <c r="D24" s="40"/>
      <c r="E24" s="40"/>
      <c r="F24" s="40"/>
      <c r="G24" s="40"/>
      <c r="H24" s="40">
        <v>1633.3549999999991</v>
      </c>
      <c r="I24" s="40"/>
    </row>
    <row r="25" spans="2:9" x14ac:dyDescent="0.25">
      <c r="B25" s="40" t="s">
        <v>136</v>
      </c>
      <c r="C25" s="40"/>
      <c r="D25" s="40"/>
      <c r="E25" s="40"/>
      <c r="F25" s="40"/>
      <c r="G25" s="40"/>
      <c r="H25" s="40">
        <v>2145.244942185243</v>
      </c>
      <c r="I25" s="40"/>
    </row>
    <row r="26" spans="2:9" x14ac:dyDescent="0.25">
      <c r="B26" s="40" t="s">
        <v>138</v>
      </c>
      <c r="C26" s="40"/>
      <c r="D26" s="40"/>
      <c r="E26" s="40"/>
      <c r="F26" s="40"/>
      <c r="G26" s="40"/>
      <c r="H26" s="40">
        <v>217.29391082820982</v>
      </c>
      <c r="I26" s="40"/>
    </row>
    <row r="27" spans="2:9" x14ac:dyDescent="0.25">
      <c r="B27" s="40" t="s">
        <v>142</v>
      </c>
      <c r="C27" s="40"/>
      <c r="D27" s="40"/>
      <c r="E27" s="40"/>
      <c r="F27" s="40"/>
      <c r="G27" s="40"/>
      <c r="H27" s="40">
        <v>8.4985298402400744</v>
      </c>
      <c r="I27" s="40"/>
    </row>
    <row r="28" spans="2:9" x14ac:dyDescent="0.25">
      <c r="B28" s="40" t="s">
        <v>144</v>
      </c>
      <c r="C28" s="40"/>
      <c r="D28" s="40"/>
      <c r="E28" s="40"/>
      <c r="F28" s="40"/>
      <c r="G28" s="40"/>
      <c r="H28" s="40"/>
      <c r="I28" s="40">
        <v>4.2833310524999994E-2</v>
      </c>
    </row>
    <row r="29" spans="2:9" x14ac:dyDescent="0.25">
      <c r="B29" s="40" t="s">
        <v>145</v>
      </c>
      <c r="C29" s="40"/>
      <c r="D29" s="40"/>
      <c r="E29" s="40"/>
      <c r="F29" s="40"/>
      <c r="G29" s="40"/>
      <c r="H29" s="40">
        <v>3.802459130484239E-4</v>
      </c>
      <c r="I29" s="40"/>
    </row>
    <row r="30" spans="2:9" x14ac:dyDescent="0.25">
      <c r="B30" s="40" t="s">
        <v>146</v>
      </c>
      <c r="C30" s="40"/>
      <c r="D30" s="40"/>
      <c r="E30" s="40"/>
      <c r="F30" s="40"/>
      <c r="G30" s="40"/>
      <c r="H30" s="40"/>
      <c r="I30" s="40">
        <v>143.22319000000002</v>
      </c>
    </row>
    <row r="31" spans="2:9" x14ac:dyDescent="0.25">
      <c r="B31" s="40" t="s">
        <v>150</v>
      </c>
      <c r="C31" s="40"/>
      <c r="D31" s="40"/>
      <c r="E31" s="40"/>
      <c r="F31" s="40"/>
      <c r="G31" s="40"/>
      <c r="H31" s="40">
        <v>629.0076456706247</v>
      </c>
      <c r="I31" s="40"/>
    </row>
    <row r="32" spans="2:9" x14ac:dyDescent="0.25">
      <c r="B32" s="40" t="s">
        <v>155</v>
      </c>
      <c r="C32" s="40"/>
      <c r="D32" s="40"/>
      <c r="E32" s="40"/>
      <c r="F32" s="40"/>
      <c r="G32" s="40"/>
      <c r="H32" s="40"/>
      <c r="I32" s="40">
        <v>632.81235817903939</v>
      </c>
    </row>
    <row r="33" spans="2:9" x14ac:dyDescent="0.25">
      <c r="B33" s="40" t="s">
        <v>157</v>
      </c>
      <c r="C33" s="40"/>
      <c r="D33" s="40"/>
      <c r="E33" s="40"/>
      <c r="F33" s="40"/>
      <c r="G33" s="40"/>
      <c r="H33" s="40">
        <v>0.15858</v>
      </c>
      <c r="I33" s="40"/>
    </row>
    <row r="34" spans="2:9" x14ac:dyDescent="0.25">
      <c r="B34" s="43" t="s">
        <v>241</v>
      </c>
      <c r="C34" s="43"/>
      <c r="D34" s="43"/>
      <c r="E34" s="43"/>
      <c r="F34" s="43"/>
      <c r="G34" s="43"/>
      <c r="H34" s="43">
        <v>258.95253312481799</v>
      </c>
      <c r="I34" s="43"/>
    </row>
    <row r="35" spans="2:9" x14ac:dyDescent="0.25">
      <c r="B35" s="43" t="s">
        <v>242</v>
      </c>
      <c r="C35" s="43"/>
      <c r="D35" s="43"/>
      <c r="E35" s="43"/>
      <c r="F35" s="43"/>
      <c r="G35" s="43"/>
      <c r="H35" s="43">
        <v>3.2007283394093498</v>
      </c>
      <c r="I35" s="43"/>
    </row>
    <row r="37" spans="2:9" x14ac:dyDescent="0.25">
      <c r="B37" s="40" t="s">
        <v>154</v>
      </c>
      <c r="C37" s="40">
        <v>252.67475721493125</v>
      </c>
      <c r="D37" s="40">
        <v>39.178460031386003</v>
      </c>
      <c r="E37" s="40"/>
      <c r="F37" s="40"/>
      <c r="G37" s="40"/>
      <c r="H37" s="40"/>
      <c r="I37" s="40"/>
    </row>
    <row r="38" spans="2:9" x14ac:dyDescent="0.25">
      <c r="B38" s="40" t="s">
        <v>148</v>
      </c>
      <c r="C38" s="40">
        <v>146.92951344102795</v>
      </c>
      <c r="D38" s="40">
        <v>32.574273129875891</v>
      </c>
      <c r="E38" s="40"/>
      <c r="F38" s="40"/>
      <c r="G38" s="40"/>
      <c r="H38" s="40"/>
      <c r="I38" s="40"/>
    </row>
    <row r="39" spans="2:9" x14ac:dyDescent="0.25">
      <c r="B39" s="40" t="s">
        <v>126</v>
      </c>
      <c r="C39" s="40">
        <v>8.2943279768750884</v>
      </c>
      <c r="D39" s="40">
        <v>8.0160031032564802</v>
      </c>
      <c r="E39" s="40">
        <v>0.30493792779856049</v>
      </c>
      <c r="F39" s="40">
        <v>69.86204320990845</v>
      </c>
      <c r="G39" s="40">
        <v>13.164489602320304</v>
      </c>
      <c r="H39" s="40">
        <v>28.758508010425537</v>
      </c>
      <c r="I39" s="40">
        <v>0.48559429462697051</v>
      </c>
    </row>
    <row r="40" spans="2:9" x14ac:dyDescent="0.25">
      <c r="B40" s="40" t="s">
        <v>141</v>
      </c>
      <c r="C40" s="40">
        <v>6.4438100999999985</v>
      </c>
      <c r="D40" s="40">
        <v>5.1428048408099984</v>
      </c>
      <c r="E40" s="40">
        <v>0</v>
      </c>
      <c r="F40" s="40">
        <v>12.828783659999999</v>
      </c>
      <c r="G40" s="40">
        <v>0.23615214000000004</v>
      </c>
      <c r="H40" s="40">
        <v>0.82774145999999982</v>
      </c>
      <c r="I40" s="40">
        <v>0</v>
      </c>
    </row>
    <row r="41" spans="2:9" x14ac:dyDescent="0.25">
      <c r="B41" s="40" t="s">
        <v>147</v>
      </c>
      <c r="C41" s="40">
        <v>6.3782604000000003</v>
      </c>
      <c r="D41" s="40">
        <v>0.72839733767999992</v>
      </c>
      <c r="E41" s="40"/>
      <c r="F41" s="40"/>
      <c r="G41" s="40"/>
      <c r="H41" s="40"/>
      <c r="I41" s="40"/>
    </row>
    <row r="42" spans="2:9" x14ac:dyDescent="0.25">
      <c r="B42" s="40" t="s">
        <v>151</v>
      </c>
      <c r="C42" s="40">
        <v>4.1943602868952032</v>
      </c>
      <c r="D42" s="40">
        <v>3.841150999577712</v>
      </c>
      <c r="E42" s="40">
        <v>0.11037790228671586</v>
      </c>
      <c r="F42" s="40">
        <v>9.3821216943708503</v>
      </c>
      <c r="G42" s="40">
        <v>0.66226741372029518</v>
      </c>
      <c r="H42" s="40">
        <v>0.94439333196514086</v>
      </c>
      <c r="I42" s="40"/>
    </row>
    <row r="43" spans="2:9" x14ac:dyDescent="0.25">
      <c r="B43" s="43" t="s">
        <v>243</v>
      </c>
      <c r="C43" s="43">
        <v>2.9695714268828253</v>
      </c>
      <c r="D43" s="43">
        <v>2.8215691869129249</v>
      </c>
      <c r="E43" s="43">
        <v>0.20115672720044811</v>
      </c>
      <c r="F43" s="43">
        <v>28.684591891797446</v>
      </c>
      <c r="G43" s="43">
        <v>1.0794350408945228</v>
      </c>
      <c r="H43" s="43">
        <v>2.3264783481091849</v>
      </c>
      <c r="I43" s="43">
        <v>0.5741188659409282</v>
      </c>
    </row>
    <row r="44" spans="2:9" x14ac:dyDescent="0.25">
      <c r="B44" s="40" t="s">
        <v>238</v>
      </c>
      <c r="C44" s="43">
        <v>0.20630918597219833</v>
      </c>
      <c r="D44" s="43">
        <v>0.20630918597219833</v>
      </c>
      <c r="E44" s="43">
        <v>2.41431917718141E-2</v>
      </c>
      <c r="F44" s="43">
        <v>1.7690781185072013</v>
      </c>
      <c r="G44" s="43">
        <v>2.9330732227336416</v>
      </c>
      <c r="H44" s="43">
        <v>0.17639699468757258</v>
      </c>
      <c r="I44" s="43">
        <v>1.7847481975062911E-3</v>
      </c>
    </row>
    <row r="45" spans="2:9" x14ac:dyDescent="0.25">
      <c r="B45" s="43" t="s">
        <v>239</v>
      </c>
      <c r="C45" s="43">
        <v>0.19598780589318812</v>
      </c>
      <c r="D45" s="43">
        <v>0.13331588752322451</v>
      </c>
      <c r="E45" s="43">
        <v>1.8404746596964644E-2</v>
      </c>
      <c r="F45" s="43">
        <v>1.3421866337326958</v>
      </c>
      <c r="G45" s="43">
        <v>3.281859618122958</v>
      </c>
      <c r="H45" s="43">
        <v>7.3515257143921847E-2</v>
      </c>
      <c r="I45" s="43">
        <v>6.5970440389435378E-2</v>
      </c>
    </row>
    <row r="46" spans="2:9" x14ac:dyDescent="0.25">
      <c r="B46" s="40" t="s">
        <v>158</v>
      </c>
      <c r="C46" s="40">
        <v>8.7396962438416007E-2</v>
      </c>
      <c r="D46" s="40">
        <v>8.1614554715647464E-2</v>
      </c>
      <c r="E46" s="40">
        <v>0</v>
      </c>
      <c r="F46" s="40">
        <v>1.3877778534644507</v>
      </c>
      <c r="G46" s="40">
        <v>3.3042329844391691E-2</v>
      </c>
      <c r="H46" s="40">
        <v>8.6075269244640346E-2</v>
      </c>
      <c r="I46" s="40">
        <v>0</v>
      </c>
    </row>
    <row r="47" spans="2:9" x14ac:dyDescent="0.25">
      <c r="B47" s="40" t="s">
        <v>25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</row>
    <row r="48" spans="2:9" x14ac:dyDescent="0.25">
      <c r="B48" s="40" t="s">
        <v>140</v>
      </c>
      <c r="C48" s="40">
        <v>0</v>
      </c>
      <c r="D48" s="40">
        <v>0</v>
      </c>
      <c r="E48" s="40"/>
      <c r="F48" s="40"/>
      <c r="G48" s="40"/>
      <c r="H48" s="40"/>
      <c r="I48" s="40"/>
    </row>
    <row r="49" spans="2:9" x14ac:dyDescent="0.25">
      <c r="B49" s="40" t="s">
        <v>152</v>
      </c>
      <c r="C49" s="40">
        <v>0</v>
      </c>
      <c r="D49" s="40">
        <v>0</v>
      </c>
      <c r="E49" s="40">
        <v>0</v>
      </c>
      <c r="F49" s="40">
        <v>1.8453032683837118</v>
      </c>
      <c r="G49" s="40"/>
      <c r="H49" s="40">
        <v>97.846122642109165</v>
      </c>
      <c r="I49" s="40"/>
    </row>
    <row r="50" spans="2:9" x14ac:dyDescent="0.25">
      <c r="B50" s="40" t="s">
        <v>156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</row>
    <row r="51" spans="2:9" x14ac:dyDescent="0.25">
      <c r="B51" s="40" t="s">
        <v>159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</row>
    <row r="52" spans="2:9" x14ac:dyDescent="0.25">
      <c r="B52" s="40" t="s">
        <v>128</v>
      </c>
      <c r="C52" s="40"/>
      <c r="D52" s="40"/>
      <c r="E52" s="40"/>
      <c r="F52" s="40"/>
      <c r="G52" s="40"/>
      <c r="H52" s="40">
        <v>4.0638393168587337</v>
      </c>
      <c r="I52" s="40"/>
    </row>
    <row r="53" spans="2:9" x14ac:dyDescent="0.25">
      <c r="B53" s="40" t="s">
        <v>129</v>
      </c>
      <c r="C53" s="40"/>
      <c r="D53" s="40"/>
      <c r="E53" s="40"/>
      <c r="F53" s="40"/>
      <c r="G53" s="40"/>
      <c r="H53" s="40">
        <v>0.3110379181074665</v>
      </c>
      <c r="I53" s="40"/>
    </row>
    <row r="54" spans="2:9" x14ac:dyDescent="0.25">
      <c r="B54" s="40" t="s">
        <v>130</v>
      </c>
      <c r="C54" s="40"/>
      <c r="D54" s="40"/>
      <c r="E54" s="40"/>
      <c r="F54" s="40"/>
      <c r="G54" s="40"/>
      <c r="H54" s="40">
        <v>223.62511009465135</v>
      </c>
      <c r="I54" s="40"/>
    </row>
    <row r="55" spans="2:9" x14ac:dyDescent="0.25">
      <c r="B55" s="40" t="s">
        <v>131</v>
      </c>
      <c r="C55" s="40"/>
      <c r="D55" s="40"/>
      <c r="E55" s="40"/>
      <c r="F55" s="40"/>
      <c r="G55" s="40"/>
      <c r="H55" s="40">
        <v>19.437852140205269</v>
      </c>
      <c r="I55" s="40"/>
    </row>
    <row r="56" spans="2:9" x14ac:dyDescent="0.25">
      <c r="B56" s="40" t="s">
        <v>132</v>
      </c>
      <c r="C56" s="40"/>
      <c r="D56" s="40"/>
      <c r="E56" s="40"/>
      <c r="F56" s="40"/>
      <c r="G56" s="40"/>
      <c r="H56" s="40">
        <v>86.607768522082893</v>
      </c>
      <c r="I56" s="40"/>
    </row>
    <row r="57" spans="2:9" x14ac:dyDescent="0.25">
      <c r="B57" s="40" t="s">
        <v>133</v>
      </c>
      <c r="C57" s="40"/>
      <c r="D57" s="40"/>
      <c r="E57" s="40"/>
      <c r="F57" s="40"/>
      <c r="G57" s="40"/>
      <c r="H57" s="40">
        <v>84.844451446506582</v>
      </c>
      <c r="I57" s="40"/>
    </row>
    <row r="58" spans="2:9" x14ac:dyDescent="0.25">
      <c r="B58" s="40" t="s">
        <v>134</v>
      </c>
      <c r="C58" s="40"/>
      <c r="D58" s="40"/>
      <c r="E58" s="40"/>
      <c r="F58" s="40"/>
      <c r="G58" s="40"/>
      <c r="H58" s="40">
        <v>207.14959999999996</v>
      </c>
      <c r="I58" s="40"/>
    </row>
    <row r="59" spans="2:9" x14ac:dyDescent="0.25">
      <c r="B59" s="40" t="s">
        <v>136</v>
      </c>
      <c r="C59" s="40"/>
      <c r="D59" s="40"/>
      <c r="E59" s="40"/>
      <c r="F59" s="40"/>
      <c r="G59" s="40"/>
      <c r="H59" s="40">
        <v>417.76889810395977</v>
      </c>
      <c r="I59" s="40"/>
    </row>
    <row r="60" spans="2:9" x14ac:dyDescent="0.25">
      <c r="B60" s="40" t="s">
        <v>138</v>
      </c>
      <c r="C60" s="40"/>
      <c r="D60" s="40"/>
      <c r="E60" s="40"/>
      <c r="F60" s="40"/>
      <c r="G60" s="40"/>
      <c r="H60" s="40">
        <v>39.521834726788271</v>
      </c>
      <c r="I60" s="40"/>
    </row>
    <row r="61" spans="2:9" x14ac:dyDescent="0.25">
      <c r="B61" s="40" t="s">
        <v>142</v>
      </c>
      <c r="C61" s="40"/>
      <c r="D61" s="40"/>
      <c r="E61" s="40"/>
      <c r="F61" s="40"/>
      <c r="G61" s="40"/>
      <c r="H61" s="40">
        <v>1.5869490610767705</v>
      </c>
      <c r="I61" s="40"/>
    </row>
    <row r="62" spans="2:9" x14ac:dyDescent="0.25">
      <c r="B62" s="40" t="s">
        <v>144</v>
      </c>
      <c r="C62" s="40"/>
      <c r="D62" s="40"/>
      <c r="E62" s="40"/>
      <c r="F62" s="40"/>
      <c r="G62" s="40"/>
      <c r="H62" s="40"/>
      <c r="I62" s="40">
        <v>185.55368618964621</v>
      </c>
    </row>
    <row r="63" spans="2:9" x14ac:dyDescent="0.25">
      <c r="B63" s="40" t="s">
        <v>145</v>
      </c>
      <c r="C63" s="40"/>
      <c r="D63" s="40"/>
      <c r="E63" s="40"/>
      <c r="F63" s="40"/>
      <c r="G63" s="40"/>
      <c r="H63" s="40">
        <v>1.7419881349890756</v>
      </c>
      <c r="I63" s="40"/>
    </row>
    <row r="64" spans="2:9" x14ac:dyDescent="0.25">
      <c r="B64" s="40" t="s">
        <v>146</v>
      </c>
      <c r="C64" s="40"/>
      <c r="D64" s="40"/>
      <c r="E64" s="40"/>
      <c r="F64" s="40"/>
      <c r="G64" s="40"/>
      <c r="H64" s="40"/>
      <c r="I64" s="40">
        <v>473.34028000000012</v>
      </c>
    </row>
    <row r="65" spans="2:9" x14ac:dyDescent="0.25">
      <c r="B65" s="40" t="s">
        <v>150</v>
      </c>
      <c r="C65" s="40"/>
      <c r="D65" s="40"/>
      <c r="E65" s="40"/>
      <c r="F65" s="40"/>
      <c r="G65" s="40"/>
      <c r="H65" s="40">
        <v>93.408492340733076</v>
      </c>
      <c r="I65" s="40"/>
    </row>
    <row r="66" spans="2:9" x14ac:dyDescent="0.25">
      <c r="B66" s="40" t="s">
        <v>155</v>
      </c>
      <c r="C66" s="40"/>
      <c r="D66" s="40"/>
      <c r="E66" s="40"/>
      <c r="F66" s="40"/>
      <c r="G66" s="40"/>
      <c r="H66" s="40"/>
      <c r="I66" s="40">
        <v>150.65446169570066</v>
      </c>
    </row>
    <row r="67" spans="2:9" x14ac:dyDescent="0.25">
      <c r="B67" s="40" t="s">
        <v>157</v>
      </c>
      <c r="C67" s="40"/>
      <c r="D67" s="40"/>
      <c r="E67" s="40"/>
      <c r="F67" s="40"/>
      <c r="G67" s="40"/>
      <c r="H67" s="40">
        <v>3.7720000000000004E-2</v>
      </c>
      <c r="I67" s="40"/>
    </row>
    <row r="68" spans="2:9" x14ac:dyDescent="0.25">
      <c r="B68" s="43" t="s">
        <v>241</v>
      </c>
      <c r="C68" s="43"/>
      <c r="D68" s="43"/>
      <c r="E68" s="43"/>
      <c r="F68" s="43"/>
      <c r="G68" s="43"/>
      <c r="H68" s="43">
        <v>11.041392595901499</v>
      </c>
      <c r="I68" s="43"/>
    </row>
    <row r="69" spans="2:9" x14ac:dyDescent="0.25">
      <c r="B69" s="43" t="s">
        <v>242</v>
      </c>
      <c r="C69" s="43"/>
      <c r="D69" s="43"/>
      <c r="E69" s="43"/>
      <c r="F69" s="43"/>
      <c r="G69" s="43"/>
      <c r="H69" s="43">
        <v>7.3189419224225185</v>
      </c>
      <c r="I69" s="43"/>
    </row>
  </sheetData>
  <mergeCells count="1">
    <mergeCell ref="C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1"/>
  <sheetViews>
    <sheetView tabSelected="1" workbookViewId="0">
      <selection activeCell="G5" sqref="G5"/>
    </sheetView>
  </sheetViews>
  <sheetFormatPr defaultColWidth="11.42578125" defaultRowHeight="15" x14ac:dyDescent="0.25"/>
  <cols>
    <col min="2" max="2" width="22.28515625" bestFit="1" customWidth="1"/>
  </cols>
  <sheetData>
    <row r="1" spans="2:2" x14ac:dyDescent="0.25">
      <c r="B1" s="19" t="s">
        <v>244</v>
      </c>
    </row>
    <row r="2" spans="2:2" x14ac:dyDescent="0.25">
      <c r="B2" s="20" t="s">
        <v>23</v>
      </c>
    </row>
    <row r="3" spans="2:2" x14ac:dyDescent="0.25">
      <c r="B3" s="20" t="s">
        <v>36</v>
      </c>
    </row>
    <row r="4" spans="2:2" x14ac:dyDescent="0.25">
      <c r="B4" s="20" t="s">
        <v>42</v>
      </c>
    </row>
    <row r="5" spans="2:2" x14ac:dyDescent="0.25">
      <c r="B5" s="20" t="s">
        <v>48</v>
      </c>
    </row>
    <row r="6" spans="2:2" x14ac:dyDescent="0.25">
      <c r="B6" s="20" t="s">
        <v>44</v>
      </c>
    </row>
    <row r="7" spans="2:2" x14ac:dyDescent="0.25">
      <c r="B7" s="20" t="s">
        <v>60</v>
      </c>
    </row>
    <row r="8" spans="2:2" x14ac:dyDescent="0.25">
      <c r="B8" s="20" t="s">
        <v>66</v>
      </c>
    </row>
    <row r="9" spans="2:2" x14ac:dyDescent="0.25">
      <c r="B9" s="20" t="s">
        <v>74</v>
      </c>
    </row>
    <row r="10" spans="2:2" x14ac:dyDescent="0.25">
      <c r="B10" s="20" t="s">
        <v>76</v>
      </c>
    </row>
    <row r="11" spans="2:2" x14ac:dyDescent="0.25">
      <c r="B11" s="20" t="s">
        <v>117</v>
      </c>
    </row>
    <row r="12" spans="2:2" x14ac:dyDescent="0.25">
      <c r="B12" s="20" t="s">
        <v>86</v>
      </c>
    </row>
    <row r="13" spans="2:2" x14ac:dyDescent="0.25">
      <c r="B13" s="20" t="s">
        <v>21</v>
      </c>
    </row>
    <row r="14" spans="2:2" x14ac:dyDescent="0.25">
      <c r="B14" s="20" t="s">
        <v>105</v>
      </c>
    </row>
    <row r="15" spans="2:2" x14ac:dyDescent="0.25">
      <c r="B15" s="20" t="s">
        <v>113</v>
      </c>
    </row>
    <row r="16" spans="2:2" x14ac:dyDescent="0.25">
      <c r="B16" s="20" t="s">
        <v>115</v>
      </c>
    </row>
    <row r="17" spans="2:2" x14ac:dyDescent="0.25">
      <c r="B17" s="20" t="s">
        <v>62</v>
      </c>
    </row>
    <row r="18" spans="2:2" x14ac:dyDescent="0.25">
      <c r="B18" s="20" t="s">
        <v>119</v>
      </c>
    </row>
    <row r="19" spans="2:2" x14ac:dyDescent="0.25">
      <c r="B19" s="20" t="s">
        <v>121</v>
      </c>
    </row>
    <row r="20" spans="2:2" x14ac:dyDescent="0.25">
      <c r="B20" s="20" t="s">
        <v>276</v>
      </c>
    </row>
    <row r="21" spans="2:2" x14ac:dyDescent="0.25">
      <c r="B21" s="2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 2018</vt:lpstr>
      <vt:lpstr>ZMM 2018</vt:lpstr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DAMAZO AGUILAR</dc:creator>
  <cp:lastModifiedBy>Armandina Valdez</cp:lastModifiedBy>
  <dcterms:created xsi:type="dcterms:W3CDTF">2023-10-19T15:17:40Z</dcterms:created>
  <dcterms:modified xsi:type="dcterms:W3CDTF">2024-11-02T03:03:33Z</dcterms:modified>
</cp:coreProperties>
</file>